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67321\xwechat_files\wxid_08d5yw4gfmhb21_8c75\msg\file\2026-09\"/>
    </mc:Choice>
  </mc:AlternateContent>
  <bookViews>
    <workbookView windowWidth="19200" windowHeight="7140" activeTab="2"/>
  </bookViews>
  <sheets>
    <sheet name="Sheet1" sheetId="2" r:id="rId1"/>
    <sheet name="data" sheetId="1" r:id="rId2"/>
    <sheet name="稻花翁  " sheetId="7" r:id="rId3"/>
  </sheets>
  <definedNames>
    <definedName name="_xlnm._FilterDatabase" localSheetId="2" hidden="1">'稻花翁  '!$A$1:$R$192</definedName>
    <definedName name="_xlnm._FilterDatabase" localSheetId="0" hidden="1">Sheet1!$A$1:$O$505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<sst xmlns="http://schemas.openxmlformats.org/spreadsheetml/2006/main" count="10531" uniqueCount="407">
  <si>
    <t>物理仓名称</t>
  </si>
  <si>
    <t>货品名称</t>
  </si>
  <si>
    <t>品牌名称</t>
  </si>
  <si>
    <t>货品状态</t>
  </si>
  <si>
    <t>规格</t>
  </si>
  <si>
    <t>箱规</t>
  </si>
  <si>
    <t>高库龄件数</t>
  </si>
  <si>
    <t>高周转件数</t>
  </si>
  <si>
    <t>良品可用</t>
  </si>
  <si>
    <t>在库良品非锁定库存件数</t>
  </si>
  <si>
    <t>最近1天出库件数</t>
  </si>
  <si>
    <t>最近7天出库件数</t>
  </si>
  <si>
    <t>最近14天出库件数</t>
  </si>
  <si>
    <t>最近30天出库件数</t>
  </si>
  <si>
    <t>9.23系统订单</t>
  </si>
  <si>
    <t>菜鸟潮州潮安猫超前置仓</t>
  </si>
  <si>
    <t>国宝桥米稻花翁大米油粘米5kg大米2023新米南方籼米10斤 5kg×1袋</t>
  </si>
  <si>
    <t>稻花翁</t>
  </si>
  <si>
    <t>淘汰</t>
  </si>
  <si>
    <t xml:space="preserve">国宝桥米稻花翁精选丝苗米南方籼米5KG真空粒粒分明当季新米10斤 </t>
  </si>
  <si>
    <t>正常</t>
  </si>
  <si>
    <t xml:space="preserve">国宝桥米稻花翁珍珠香米东北大米煮粥圆粒粳米5KG真空包装10斤 </t>
  </si>
  <si>
    <t>菜鸟成都双流猫超前置仓2104</t>
  </si>
  <si>
    <t>国宝桥米稻花翁泰玉京香大米5kg籼米南方大米5kg籼米南方大米 5kg×1袋</t>
  </si>
  <si>
    <t>国宝桥米猫牙香米5KG长粒米2024新米 5kg×1袋</t>
  </si>
  <si>
    <t>国宝桥米</t>
  </si>
  <si>
    <t>菜鸟成都新都猫超前置仓2140</t>
  </si>
  <si>
    <t>菜鸟东莞大岭山猫超前置仓2488</t>
  </si>
  <si>
    <t>菜鸟佛山陈村猫超前置仓2487</t>
  </si>
  <si>
    <t>菜鸟佛山顺德猫超前置仓2110</t>
  </si>
  <si>
    <t>菜鸟广州白云猫超前置仓2109</t>
  </si>
  <si>
    <t>菜鸟广州黄埔猫超前置仓2104</t>
  </si>
  <si>
    <t>菜鸟南通崇川猫超前置仓2527</t>
  </si>
  <si>
    <t>菜鸟深圳宝安猫超前置仓2218</t>
  </si>
  <si>
    <t>菜鸟深圳龙岗猫超前置仓2111</t>
  </si>
  <si>
    <t>菜鸟深圳龙华猫超前置仓2217</t>
  </si>
  <si>
    <t>菜鸟苏州相城猫超前置仓2098</t>
  </si>
  <si>
    <t>菜鸟武汉东西湖猫超前置仓2088</t>
  </si>
  <si>
    <t>国宝桥米大米京山大米5kg长粒籼米真空袋 5kg×1袋</t>
  </si>
  <si>
    <t>国宝桥米京山桥米2.5kg高端长粒籼米大米便携装5斤送礼佳品优质 2.5kg</t>
  </si>
  <si>
    <t>国宝桥米京山桥米5kg湖北大米真空包装泉水灌溉香软有回甘</t>
  </si>
  <si>
    <t>菜鸟武汉江夏猫超前置仓2090</t>
  </si>
  <si>
    <t>国宝桥米靓香丝苗米10斤 5kg×1袋</t>
  </si>
  <si>
    <t xml:space="preserve">国宝桥米甄选油粘米优质大米南方籼米5kg煲仔饭优选真空包装10斤 </t>
  </si>
  <si>
    <t>菜鸟扬州邗江猫超前置仓2613</t>
  </si>
  <si>
    <t>菜鸟长沙雨花猫超前置仓2258</t>
  </si>
  <si>
    <t>菜鸟中山板芙猫超前置仓2486</t>
  </si>
  <si>
    <t>华北北京直营商超仓</t>
  </si>
  <si>
    <t xml:space="preserve">国宝桥米京山桥米江汉大米高端南方籼米软糯10KG当季新米真空包装 </t>
  </si>
  <si>
    <t xml:space="preserve">国宝桥米甄选猫牙香米10kg南方籼米松散劲道适合炒饭真空包装20斤 </t>
  </si>
  <si>
    <t xml:space="preserve">国宝桥米甄选油粘米南方大米籼米煲仔饭10KG软香口感真空包装20斤 </t>
  </si>
  <si>
    <t>华北济南直营商超仓</t>
  </si>
  <si>
    <t>暂停</t>
  </si>
  <si>
    <t xml:space="preserve">国宝桥米连年旺米优质晚籼米南方大米劲道25kg家用商用囤货装50斤 </t>
  </si>
  <si>
    <t>华北青岛直营商超仓</t>
  </si>
  <si>
    <t>华北沈阳直营商超A仓</t>
  </si>
  <si>
    <t xml:space="preserve">国宝桥米京山桥米江汉大米高端南方籼米软糯5KG当季新米真空包装 </t>
  </si>
  <si>
    <t>华北天津直营商超A仓</t>
  </si>
  <si>
    <t>华东杭州直营商超仓</t>
  </si>
  <si>
    <t>稻花翁臻选丝苗米2.5kg 2.5kg</t>
  </si>
  <si>
    <t>国宝桥米大米稻花翁金泰南白兰香米10kg*1袋籼米新鲜大米 10kg×1袋</t>
  </si>
  <si>
    <t xml:space="preserve">国宝桥米稻花翁东北珍珠米煮粥圆粒粳米10KG饭粥皆宜当季新米20斤 </t>
  </si>
  <si>
    <t xml:space="preserve">国宝桥米稻花翁精选丝苗米南方籼米10KG粒粒分明当季新米20斤 </t>
  </si>
  <si>
    <t>国宝桥米稻花翁软香贡米25kg 25kg</t>
  </si>
  <si>
    <t>国宝桥米稻花翁丝苗米10kg湖北长粒大米20斤南方籼米 10kg×1袋</t>
  </si>
  <si>
    <t>国宝桥米稻花翁珍珠香米2.5kg大米粳米东北米 2.5kg</t>
  </si>
  <si>
    <t>国宝桥米京山桥米10kg南方籼米长粒大米新米</t>
  </si>
  <si>
    <t>华东合肥直营商超仓</t>
  </si>
  <si>
    <t>国宝桥米大米京山大米10kg稻米软糯适中 10kg×1袋</t>
  </si>
  <si>
    <t>华东嘉定直营商超仓</t>
  </si>
  <si>
    <t>未入仓</t>
  </si>
  <si>
    <t>国宝桥米大米京山大米268g268g南方大米籼米 268g×1袋</t>
  </si>
  <si>
    <t>268g</t>
  </si>
  <si>
    <t>国宝桥米大米严选京山桥米5kg长粒香米南方大米 5kg×1袋</t>
  </si>
  <si>
    <t>华东嘉兴直营商超A仓</t>
  </si>
  <si>
    <t>华东金义直营商超仓</t>
  </si>
  <si>
    <t>华东南京直营商超仓</t>
  </si>
  <si>
    <t>国宝桥米京山桥米25kg大米大规格50斤籼米长粒米 25kg×1袋</t>
  </si>
  <si>
    <t>华东无锡直营商超仓</t>
  </si>
  <si>
    <t>华南东莞直营商超仓</t>
  </si>
  <si>
    <t>华南广州直营商超A仓</t>
  </si>
  <si>
    <t>华南惠阳返退中心仓</t>
  </si>
  <si>
    <t>(空白)</t>
  </si>
  <si>
    <t>华南惠阳直营商超仓</t>
  </si>
  <si>
    <t>华南江门直营商超仓</t>
  </si>
  <si>
    <t>国宝桥米京山桥米10kg真空袋湖北特产大米20斤装籼米当季新米 10kg×1袋</t>
  </si>
  <si>
    <t>华南晋江直营商超仓</t>
  </si>
  <si>
    <t>华南南宁直营商超仓</t>
  </si>
  <si>
    <t>华西成都直营商超仓</t>
  </si>
  <si>
    <t>国宝桥米稻花翁大米御贡香米25kg2023新米南方籼米家庭装50斤 25kg×1袋</t>
  </si>
  <si>
    <t>华西贵阳直营商超仓</t>
  </si>
  <si>
    <t>华西猫超重庆RDC仓</t>
  </si>
  <si>
    <t>华西乌鲁木齐直营商超仓</t>
  </si>
  <si>
    <t>华西西安直营商超仓</t>
  </si>
  <si>
    <t>华中南昌直营商超仓</t>
  </si>
  <si>
    <t>华中武汉返退中心仓</t>
  </si>
  <si>
    <t>华中武汉直营集货仓</t>
  </si>
  <si>
    <t>华中武汉直营商超仓</t>
  </si>
  <si>
    <t>华中长沙直营商超仓</t>
  </si>
  <si>
    <t>华中郑州直营商超仓</t>
  </si>
  <si>
    <t>猫超重庆前置仓01</t>
  </si>
  <si>
    <t>总计</t>
  </si>
  <si>
    <t>日期</t>
  </si>
  <si>
    <t>商品</t>
  </si>
  <si>
    <t>商品名称</t>
  </si>
  <si>
    <t>商品id</t>
  </si>
  <si>
    <t>SKUID</t>
  </si>
  <si>
    <t>货ID</t>
  </si>
  <si>
    <t>条形码</t>
  </si>
  <si>
    <t>逻辑仓编码</t>
  </si>
  <si>
    <t>仓角色名称</t>
  </si>
  <si>
    <t>物理仓编码</t>
  </si>
  <si>
    <t>类目名称</t>
  </si>
  <si>
    <t>在库总库存件数</t>
  </si>
  <si>
    <t>在库良品库存件数</t>
  </si>
  <si>
    <t>在库残品库存件数占比</t>
  </si>
  <si>
    <t>在库残品库存件数</t>
  </si>
  <si>
    <t>库存周转天数</t>
  </si>
  <si>
    <t>周转影响值</t>
  </si>
  <si>
    <t>在库良品非销售锁定库存件数</t>
  </si>
  <si>
    <t>库存可售天数</t>
  </si>
  <si>
    <t>最近28天日均销售出库库存件数</t>
  </si>
  <si>
    <t>未来28天销量计划库存件数</t>
  </si>
  <si>
    <t>高库龄且高周转库存件数</t>
  </si>
  <si>
    <t>高库龄且高周转库存件数占比</t>
  </si>
  <si>
    <t>高库龄预警件数</t>
  </si>
  <si>
    <t>28天不动销件数</t>
  </si>
  <si>
    <t>效期预警件数</t>
  </si>
  <si>
    <t>调拨在途库存件数</t>
  </si>
  <si>
    <t>采购在途库存件数</t>
  </si>
  <si>
    <t>供应商到货原因导致残次</t>
  </si>
  <si>
    <t>20260922</t>
  </si>
  <si>
    <t>i4/6000000001986/O1CN01EQ5mfDeJ99J1chua_!!6000000001986-0-sm.jpg</t>
  </si>
  <si>
    <t>国宝桥米京山桥米10kg一级长粒籼米2020十大好吃米饭软糯青梗如玉</t>
  </si>
  <si>
    <t>668028612799</t>
  </si>
  <si>
    <t>0</t>
  </si>
  <si>
    <t>600998518128</t>
  </si>
  <si>
    <t>6911006000052#204291452</t>
  </si>
  <si>
    <t>LWUH001</t>
  </si>
  <si>
    <t>MRDC</t>
  </si>
  <si>
    <t>STORE_1228938</t>
  </si>
  <si>
    <t>大米</t>
  </si>
  <si>
    <t>i4/6000000006153/O1CN01BrAhicerjVF1chua_!!6000000006153-0-sm.jpg</t>
  </si>
  <si>
    <t>国宝桥米稻花翁精选丝苗米南方籼米5KG粒粒分明当季新米10斤</t>
  </si>
  <si>
    <t>998514466857</t>
  </si>
  <si>
    <t>773259839762</t>
  </si>
  <si>
    <t>6911006001394</t>
  </si>
  <si>
    <t>LHGH001</t>
  </si>
  <si>
    <t>RDC</t>
  </si>
  <si>
    <t>HGH101</t>
  </si>
  <si>
    <t>LHUZ001</t>
  </si>
  <si>
    <t>HUZ101</t>
  </si>
  <si>
    <t>LDGM001</t>
  </si>
  <si>
    <t>DGM105</t>
  </si>
  <si>
    <t>i1/6000000000903/O1CN01sBkmvqBeOVK1chua_!!6000000000903-0-sm.jpg</t>
  </si>
  <si>
    <t>【下拉详情享优惠】国宝桥米京山桥米2.5kg高端长粒大米便携锁鲜</t>
  </si>
  <si>
    <t>1067402750392</t>
  </si>
  <si>
    <t>787831973615</t>
  </si>
  <si>
    <t>6911006001493</t>
  </si>
  <si>
    <t>i2/6000000007971/O1CN01vOycMh9UReJ1chua_!!6000000007971-0-sm.jpg</t>
  </si>
  <si>
    <t>稻花翁臻选丝苗米2.5kg南方长粒米香甜籼米真空锁鲜大米5斤装</t>
  </si>
  <si>
    <t>1068721497062</t>
  </si>
  <si>
    <t>787834901418</t>
  </si>
  <si>
    <t>6911006001547</t>
  </si>
  <si>
    <t>LKHN001</t>
  </si>
  <si>
    <t>KHN101</t>
  </si>
  <si>
    <t>i1/6000000003369/O1CN014zT8Rjf8VMC1chua_!!6000000003369-0-sm.jpg</t>
  </si>
  <si>
    <t>国宝桥米稻花翁珍珠香米2.5kg大米粳米东北圆粒米Q弹5斤真空锁鲜</t>
  </si>
  <si>
    <t>1069465104868</t>
  </si>
  <si>
    <t>787829816192</t>
  </si>
  <si>
    <t>6911006001530</t>
  </si>
  <si>
    <t>LJHA001</t>
  </si>
  <si>
    <t>STORE_757914</t>
  </si>
  <si>
    <t>LCSX001</t>
  </si>
  <si>
    <t>CSX101</t>
  </si>
  <si>
    <t>LJIX001</t>
  </si>
  <si>
    <t>STORE_12005465</t>
  </si>
  <si>
    <t>LSHA001</t>
  </si>
  <si>
    <t>ALOG-0001</t>
  </si>
  <si>
    <t>i4/6000000006525/O1CN013V2wTdEXCuD1chua_!!6000000006525-0-sm.jpg</t>
  </si>
  <si>
    <t>国宝桥米稻花翁珍珠香米东北大米煮粥圆粒粳米5KG真空包装10斤</t>
  </si>
  <si>
    <t>997885659642</t>
  </si>
  <si>
    <t>773227660343</t>
  </si>
  <si>
    <t>6911006001400</t>
  </si>
  <si>
    <t>LCAN001</t>
  </si>
  <si>
    <t>ALOG-0002</t>
  </si>
  <si>
    <t>i1/6000000000658/O1CN01dpCDQ0R67qJ1chua_!!6000000000658-0-sm.jpg</t>
  </si>
  <si>
    <t>国宝桥米大米稻花翁丝苗米10kg大米当季新米南方籼米20斤实惠家庭</t>
  </si>
  <si>
    <t>717401139828</t>
  </si>
  <si>
    <t>701351399803</t>
  </si>
  <si>
    <t>6911006000090</t>
  </si>
  <si>
    <t>i1/6000000001651/O1CN01AD8yNYT7Y3D1chua_!!6000000001651-0-sm.jpg</t>
  </si>
  <si>
    <t>国宝桥米甄选猫牙香米10kg南方籼米松散劲道适合炒饭真空包装20斤</t>
  </si>
  <si>
    <t>975786993714</t>
  </si>
  <si>
    <t>773262618349</t>
  </si>
  <si>
    <t>6911006001349</t>
  </si>
  <si>
    <t>LWUH002</t>
  </si>
  <si>
    <t>CDC</t>
  </si>
  <si>
    <t>WHKC0001</t>
  </si>
  <si>
    <t>LWUX001</t>
  </si>
  <si>
    <t>WUX101</t>
  </si>
  <si>
    <t>LHFE001</t>
  </si>
  <si>
    <t>HFE101</t>
  </si>
  <si>
    <t>LCTU001</t>
  </si>
  <si>
    <t>CTU101</t>
  </si>
  <si>
    <t>i3/6000000005138/O1CN012ANgiyAFWXD1chua_!!6000000005138-0-sm.jpg</t>
  </si>
  <si>
    <t>国宝桥米稻花翁东北珍珠米煮粥圆粒粳米10KG饭粥皆宜当季新米20斤</t>
  </si>
  <si>
    <t>998494678893</t>
  </si>
  <si>
    <t>773286373539</t>
  </si>
  <si>
    <t>6911006001424</t>
  </si>
  <si>
    <t>i1/6000000001135/O1CN01cNndC0oNszI1chua_!!6000000001135-0-sm.jpg</t>
  </si>
  <si>
    <t>国宝桥米稻花翁正宗油粘米5kg大米新米南方籼米10斤优质家庭装</t>
  </si>
  <si>
    <t>755946319261</t>
  </si>
  <si>
    <t>732488116465</t>
  </si>
  <si>
    <t>6911006000236</t>
  </si>
  <si>
    <t>LNKG001</t>
  </si>
  <si>
    <t>NKG101</t>
  </si>
  <si>
    <t>LJIM001</t>
  </si>
  <si>
    <t>JIM101</t>
  </si>
  <si>
    <t>i1/6000000001018/O1CN01W2QgqdaPLfB1chua_!!6000000001018-0-sm.jpg</t>
  </si>
  <si>
    <t>【实惠大包】国宝桥米稻花翁软香贡米25kg大米丝苗米50斤量贩装</t>
  </si>
  <si>
    <t>1068723153370</t>
  </si>
  <si>
    <t>787834817429</t>
  </si>
  <si>
    <t>6911006001554</t>
  </si>
  <si>
    <t>i2/6000000001360/O1CN01skvYsrP3tzE1chua_!!6000000001360-0-sm.jpg</t>
  </si>
  <si>
    <t>国宝桥米京山大米10kg软糯适中米粒纤长软滑香甜优质米种原粮保障</t>
  </si>
  <si>
    <t>667030528932</t>
  </si>
  <si>
    <t>4991694214623</t>
  </si>
  <si>
    <t>660108216510</t>
  </si>
  <si>
    <t>6911006999301</t>
  </si>
  <si>
    <t>LW_TTCKG0001_LG</t>
  </si>
  <si>
    <t>LW_TTCKG0001</t>
  </si>
  <si>
    <t>i2/6000000000807/O1CN01uBDNvm6BQYL1chua_!!6000000000807-0-sm.jpg</t>
  </si>
  <si>
    <t>稻花翁泰玉京香大米5kg南方籼米米粒纤长爽滑甘甜口齿留香全家爱</t>
  </si>
  <si>
    <t>734206660081</t>
  </si>
  <si>
    <t>722171004327</t>
  </si>
  <si>
    <t>6911006000076</t>
  </si>
  <si>
    <t>i3/6000000007741/O1CN01TUGxKT0YWME1chua_!!6000000007741-0-sm.jpg</t>
  </si>
  <si>
    <t>国宝桥米稻花翁精选丝苗米南方籼米10KG粒粒分明当季新米20斤</t>
  </si>
  <si>
    <t>999300285513</t>
  </si>
  <si>
    <t>773286085956</t>
  </si>
  <si>
    <t>6911006001417</t>
  </si>
  <si>
    <t>i3/6000000002937/O1CN01JQhIcwQwpoL1chua_!!6000000002937-0-sm.jpg</t>
  </si>
  <si>
    <t>【下拉详情享优惠】国宝桥米猫牙香米5KG长粒米南方籼米适合炒饭</t>
  </si>
  <si>
    <t>925185676174</t>
  </si>
  <si>
    <t>773240295795</t>
  </si>
  <si>
    <t>6911006001202</t>
  </si>
  <si>
    <t>i1/6000000000797/O1CN01Ghny3juQtvH1chua_!!6000000000797-0-sm.jpg</t>
  </si>
  <si>
    <t>国宝桥米京山桥米江汉大米高端南方籼米软糯10KG当季新米真空包装</t>
  </si>
  <si>
    <t>986459427433</t>
  </si>
  <si>
    <t>773266354558</t>
  </si>
  <si>
    <t>6911006001127</t>
  </si>
  <si>
    <t>i3/6000000002116/O1CN010RpOxaPowyE1chua_!!6000000002116-0-sm.jpg</t>
  </si>
  <si>
    <t>国宝桥米大米京山桥米5kg长粒米软糯10斤装湖北籼米南方真空包装</t>
  </si>
  <si>
    <t>629248806737</t>
  </si>
  <si>
    <t>629548271567</t>
  </si>
  <si>
    <t>6911006000021</t>
  </si>
  <si>
    <t>LJJN001</t>
  </si>
  <si>
    <t>JJN101</t>
  </si>
  <si>
    <t>i3/6000000002981/O1CN01VPYNxSKG3ID1chua_!!6000000002981-0-sm.jpg</t>
  </si>
  <si>
    <t>国宝桥米甄选油粘米优质大米南方籼米5kg煲仔饭优选真空包装10斤</t>
  </si>
  <si>
    <t>999965800465</t>
  </si>
  <si>
    <t>773286709232</t>
  </si>
  <si>
    <t>6911006001387</t>
  </si>
  <si>
    <t>i2/6000000006157/O1CN01xt9W7w1vLxjaDUfdD_!!6000000006157-0-sm.jpg</t>
  </si>
  <si>
    <t>国宝桥米连年旺米优质晚籼米南方大米劲道25kg家用商用囤货装50斤</t>
  </si>
  <si>
    <t>989044829439</t>
  </si>
  <si>
    <t>773266794210</t>
  </si>
  <si>
    <t>6911006002117</t>
  </si>
  <si>
    <t>i3/6000000004057/O1CN01gMjZ6g5Bw5J1chua_!!6000000004057-0-sm.jpg</t>
  </si>
  <si>
    <t>国宝桥米大米稻花翁金泰南白兰香米10kg2024新米新鲜大米20斤</t>
  </si>
  <si>
    <t>736933527771</t>
  </si>
  <si>
    <t>722604401003</t>
  </si>
  <si>
    <t>6911006000441#691100600427</t>
  </si>
  <si>
    <t>i3/6000000005697/O1CN01v6LLcHSIbTE1chua_!!6000000005697-0-sm.jpg</t>
  </si>
  <si>
    <t>国宝桥米甄选油粘米南方大米籼米煲仔饭10KG软香口感真空包装20斤</t>
  </si>
  <si>
    <t>999997900779</t>
  </si>
  <si>
    <t>773286521283</t>
  </si>
  <si>
    <t>6911006001431</t>
  </si>
  <si>
    <t>FUO172_LG</t>
  </si>
  <si>
    <t>FDC</t>
  </si>
  <si>
    <t>FUO172</t>
  </si>
  <si>
    <t>i3/6000000007714/O1CN016KCoKx7JzCJ1chua_!!6000000007714-0-sm.jpg</t>
  </si>
  <si>
    <t>国宝桥米京山大米当季新米5kg一级南方软糯适中颗粒分明劲道真空</t>
  </si>
  <si>
    <t>668129247434</t>
  </si>
  <si>
    <t>4818231836948</t>
  </si>
  <si>
    <t>661287851627</t>
  </si>
  <si>
    <t>6911006999295</t>
  </si>
  <si>
    <t>LNNG001</t>
  </si>
  <si>
    <t>NNG101</t>
  </si>
  <si>
    <t>SZX162_LG</t>
  </si>
  <si>
    <t>SZX162</t>
  </si>
  <si>
    <t>CSX138_LG</t>
  </si>
  <si>
    <t>CSX138</t>
  </si>
  <si>
    <t>LCGO001</t>
  </si>
  <si>
    <t>CGO101</t>
  </si>
  <si>
    <t>SZX168_LG</t>
  </si>
  <si>
    <t>SZX168</t>
  </si>
  <si>
    <t>i4/6000000003087/O1CN019d5rgkZvYGK1chua_!!6000000003087-0-sm.jpg</t>
  </si>
  <si>
    <t>国宝桥米京山桥米25kg湖北地标大米长粒米晶莹剔透自然清香软糯</t>
  </si>
  <si>
    <t>672744604688</t>
  </si>
  <si>
    <t>673444534226</t>
  </si>
  <si>
    <t>6911006000069</t>
  </si>
  <si>
    <t>LW_TTFDC001_LG1</t>
  </si>
  <si>
    <t>LW_TTFDC001</t>
  </si>
  <si>
    <t>WUH1101_LG</t>
  </si>
  <si>
    <t>WUH1101</t>
  </si>
  <si>
    <t>WUH1103_LG</t>
  </si>
  <si>
    <t>WUH1103</t>
  </si>
  <si>
    <t>SZX166_LG</t>
  </si>
  <si>
    <t>SZX166</t>
  </si>
  <si>
    <t>LTSN001</t>
  </si>
  <si>
    <t>ALOG-0003</t>
  </si>
  <si>
    <t>CTU1101_LG</t>
  </si>
  <si>
    <t>CTU1101</t>
  </si>
  <si>
    <t>i3/6000000006918/O1CN01P5LDrvP25UH1chua_!!6000000006918-0-sm.jpg</t>
  </si>
  <si>
    <t>国宝桥米靓香米丝苗米南方大米10斤长粒米煲仔饭当季新米真空包装</t>
  </si>
  <si>
    <t>923845427877</t>
  </si>
  <si>
    <t>773266009677</t>
  </si>
  <si>
    <t>6911006000892</t>
  </si>
  <si>
    <t>CZH119_LG</t>
  </si>
  <si>
    <t>CZH119</t>
  </si>
  <si>
    <t>DGM1105_LG</t>
  </si>
  <si>
    <t>DGM1105</t>
  </si>
  <si>
    <t>NTG116_LG</t>
  </si>
  <si>
    <t>NTG116</t>
  </si>
  <si>
    <t>CTU1100_LG</t>
  </si>
  <si>
    <t>CTU1100</t>
  </si>
  <si>
    <t>LXIY001</t>
  </si>
  <si>
    <t>XIY101</t>
  </si>
  <si>
    <t>ZIS122_LG</t>
  </si>
  <si>
    <t>ZIS122</t>
  </si>
  <si>
    <t>CAN1106_LG</t>
  </si>
  <si>
    <t>CAN1106</t>
  </si>
  <si>
    <t>i4/6000000000824/O1CN01DsUdKeoYe0B1chua_!!6000000000824-0-sm.jpg</t>
  </si>
  <si>
    <t>国宝桥米京山桥米江汉大米高端南方籼米软糯5KG当季新米真空包装</t>
  </si>
  <si>
    <t>986449591515</t>
  </si>
  <si>
    <t>773282453572</t>
  </si>
  <si>
    <t>6911006001110</t>
  </si>
  <si>
    <t>LKWE001</t>
  </si>
  <si>
    <t>KWE101</t>
  </si>
  <si>
    <t>LSHE001</t>
  </si>
  <si>
    <t>SHE101</t>
  </si>
  <si>
    <t>FUO160_LG</t>
  </si>
  <si>
    <t>FUO160</t>
  </si>
  <si>
    <t>LTAO001</t>
  </si>
  <si>
    <t>TAO101</t>
  </si>
  <si>
    <t>SZV286_LG</t>
  </si>
  <si>
    <t>SZV286</t>
  </si>
  <si>
    <t>LPEK001</t>
  </si>
  <si>
    <t>STORE_11435919</t>
  </si>
  <si>
    <t>LTNA001</t>
  </si>
  <si>
    <t>STORE_1366687</t>
  </si>
  <si>
    <t>CAN1105_LG</t>
  </si>
  <si>
    <t>CAN1105</t>
  </si>
  <si>
    <t>LHUZ002</t>
  </si>
  <si>
    <t>逆向仓</t>
  </si>
  <si>
    <t>HYA101</t>
  </si>
  <si>
    <t>YZO108_LG</t>
  </si>
  <si>
    <t>YZO108</t>
  </si>
  <si>
    <t>LWUH006</t>
  </si>
  <si>
    <t>WUH106</t>
  </si>
  <si>
    <t>LURC001</t>
  </si>
  <si>
    <t>URC101</t>
  </si>
  <si>
    <t>i3/6000000005474/O1CN01r1VQva1qJ99kmtUSw_!!6000000005474-2-at.png</t>
  </si>
  <si>
    <t>国宝桥米大米京山桥米10kg籼米长粒米真空袋20斤高端大米家庭装</t>
  </si>
  <si>
    <t>667006256088</t>
  </si>
  <si>
    <t>660104440598</t>
  </si>
  <si>
    <t>6911006999325</t>
  </si>
  <si>
    <t>i4/6000000007876/O1CN01DXjSPtDgghC1chua_!!6000000007876-0-sm.jpg</t>
  </si>
  <si>
    <t>国宝桥米大米严选京山桥米5kg长粒香米南方大米10斤真空</t>
  </si>
  <si>
    <t>667763800649</t>
  </si>
  <si>
    <t>4996107787978</t>
  </si>
  <si>
    <t>660922898574</t>
  </si>
  <si>
    <t>6911006999356</t>
  </si>
  <si>
    <t>i1/6000000004132/O1CN01pDel791gOVSLR0kdm_!!6000000004132-2-at.png</t>
  </si>
  <si>
    <t>国宝桥米大米京山大米268g南方大米籼米</t>
  </si>
  <si>
    <t>740099869640</t>
  </si>
  <si>
    <t>723025387317</t>
  </si>
  <si>
    <t>6911006000380</t>
  </si>
  <si>
    <t>i4/6000000000051/O1CN01T2pcQ0qkRpK1chua_!!6000000000051-0-sm.jpg</t>
  </si>
  <si>
    <t>国宝桥米稻花翁大米御贡香米25kg2024新米南方籼米家庭装50斤</t>
  </si>
  <si>
    <t>755894810218</t>
  </si>
  <si>
    <t>732808838685</t>
  </si>
  <si>
    <t>6911006000250</t>
  </si>
  <si>
    <t>重量</t>
  </si>
  <si>
    <t>实际订单安排</t>
  </si>
  <si>
    <t>实际重量</t>
  </si>
  <si>
    <t>不安排</t>
  </si>
  <si>
    <t>华东杭州直营商超仓 汇总</t>
  </si>
  <si>
    <t>华东合肥直营商超仓 汇总</t>
  </si>
  <si>
    <t>安排</t>
  </si>
  <si>
    <t>华东嘉定直营商超仓 汇总</t>
  </si>
  <si>
    <t>华东嘉兴直营商超A仓 汇总</t>
  </si>
  <si>
    <t>华东金义直营商超仓 汇总</t>
  </si>
  <si>
    <t>华东南京直营商超仓 汇总</t>
  </si>
  <si>
    <t>华东无锡直营商超仓 汇总</t>
  </si>
  <si>
    <t>华南东莞直营商超仓 汇总</t>
  </si>
  <si>
    <t>订单在途</t>
  </si>
  <si>
    <t>华南广州直营商超A仓 汇总</t>
  </si>
  <si>
    <t>华南惠阳直营商超仓 汇总</t>
  </si>
  <si>
    <t>华南江门直营商超仓 汇总</t>
  </si>
  <si>
    <t>华西成都直营商超仓 汇总</t>
  </si>
  <si>
    <t>华西猫超重庆RDC仓 汇总</t>
  </si>
  <si>
    <t>华中南昌直营商超仓 汇总</t>
  </si>
  <si>
    <t>华中武汉直营商超仓 汇总</t>
  </si>
  <si>
    <t>华中长沙直营商超仓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</si>
</sst>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0" fillId="2" borderId="1" xfId="0" applyFont="1" applyFill="1" applyBorder="1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0" xfId="0" applyFont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5"/>
  <sheetViews>
    <sheetView workbookViewId="0">
      <selection activeCell="S15" sqref="S15"/>
    </sheetView>
  </sheetViews>
  <sheetFormatPr defaultColWidth="9" defaultRowHeight="14"/>
  <cols>
    <col min="1" max="1" width="12.6272727272727" customWidth="1"/>
    <col min="2" max="2" width="49.5" customWidth="1"/>
    <col min="3" max="3" width="8" customWidth="1"/>
    <col min="4" max="4" width="5.62727272727273" customWidth="1"/>
    <col min="5" max="5" width="6.75454545454545" style="2" customWidth="1"/>
    <col min="6" max="6" width="6.87272727272727" style="2" customWidth="1"/>
    <col min="7" max="8" width="6.75454545454545" style="18" customWidth="1"/>
    <col min="9" max="9" width="6.75454545454545" style="19" customWidth="1"/>
    <col min="10" max="10" width="6.75454545454545" style="18" customWidth="1"/>
    <col min="11" max="11" width="6.75454545454545" style="20" customWidth="1"/>
    <col min="12" max="13" width="6.25454545454545" style="18" customWidth="1"/>
    <col min="14" max="14" width="6.25454545454545" style="20" customWidth="1"/>
    <col min="15" max="15" width="9" style="2"/>
  </cols>
  <sheetData>
    <row r="1" ht="42" customHeight="1" spans="1: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7" t="s">
        <v>13</v>
      </c>
      <c r="O1" s="5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4">
        <v>5</v>
      </c>
      <c r="F2" s="4">
        <v>1</v>
      </c>
      <c r="G2" s="5">
        <v>0</v>
      </c>
      <c r="H2" s="5">
        <v>0</v>
      </c>
      <c r="I2" s="6">
        <v>5</v>
      </c>
      <c r="J2" s="5">
        <v>5</v>
      </c>
      <c r="K2" s="7">
        <v>0</v>
      </c>
      <c r="L2" s="5">
        <v>0</v>
      </c>
      <c r="M2" s="5">
        <v>0</v>
      </c>
      <c r="N2" s="7">
        <v>9</v>
      </c>
      <c r="O2" s="4">
        <v>0</v>
      </c>
    </row>
    <row r="3" spans="1:15">
      <c r="A3" s="8" t="s">
        <v>15</v>
      </c>
      <c r="B3" s="3" t="s">
        <v>19</v>
      </c>
      <c r="C3" s="3" t="s">
        <v>17</v>
      </c>
      <c r="D3" s="3" t="s">
        <v>20</v>
      </c>
      <c r="E3" s="4">
        <v>5</v>
      </c>
      <c r="F3" s="4">
        <v>1</v>
      </c>
      <c r="G3" s="5">
        <v>0</v>
      </c>
      <c r="H3" s="5">
        <v>0</v>
      </c>
      <c r="I3" s="6">
        <v>28</v>
      </c>
      <c r="J3" s="5">
        <v>29</v>
      </c>
      <c r="K3" s="7">
        <v>14</v>
      </c>
      <c r="L3" s="5">
        <v>71</v>
      </c>
      <c r="M3" s="5">
        <v>114</v>
      </c>
      <c r="N3" s="7">
        <v>222</v>
      </c>
      <c r="O3" s="4">
        <v>0</v>
      </c>
    </row>
    <row r="4" spans="1:15">
      <c r="A4" s="8" t="s">
        <v>15</v>
      </c>
      <c r="B4" s="3" t="s">
        <v>21</v>
      </c>
      <c r="C4" s="3" t="s">
        <v>17</v>
      </c>
      <c r="D4" s="3" t="s">
        <v>20</v>
      </c>
      <c r="E4" s="4">
        <v>5</v>
      </c>
      <c r="F4" s="4">
        <v>1</v>
      </c>
      <c r="G4" s="5">
        <v>0</v>
      </c>
      <c r="H4" s="5">
        <v>0</v>
      </c>
      <c r="I4" s="6">
        <v>25</v>
      </c>
      <c r="J4" s="5">
        <v>29</v>
      </c>
      <c r="K4" s="7">
        <v>5</v>
      </c>
      <c r="L4" s="5">
        <v>34</v>
      </c>
      <c r="M4" s="5">
        <v>57</v>
      </c>
      <c r="N4" s="7">
        <v>117</v>
      </c>
      <c r="O4" s="4">
        <v>0</v>
      </c>
    </row>
    <row r="5" spans="1:15">
      <c r="A5" s="3" t="s">
        <v>22</v>
      </c>
      <c r="B5" s="3" t="s">
        <v>19</v>
      </c>
      <c r="C5" s="3" t="s">
        <v>17</v>
      </c>
      <c r="D5" s="3" t="s">
        <v>20</v>
      </c>
      <c r="E5" s="4">
        <v>5</v>
      </c>
      <c r="F5" s="4">
        <v>1</v>
      </c>
      <c r="G5" s="5">
        <v>0</v>
      </c>
      <c r="H5" s="5">
        <v>0</v>
      </c>
      <c r="I5" s="6">
        <v>22</v>
      </c>
      <c r="J5" s="5">
        <v>26</v>
      </c>
      <c r="K5" s="7">
        <v>10</v>
      </c>
      <c r="L5" s="5">
        <v>30</v>
      </c>
      <c r="M5" s="5">
        <v>58</v>
      </c>
      <c r="N5" s="7">
        <v>86</v>
      </c>
      <c r="O5" s="4">
        <v>0</v>
      </c>
    </row>
    <row r="6" spans="1:15">
      <c r="A6" s="8" t="s">
        <v>22</v>
      </c>
      <c r="B6" s="3" t="s">
        <v>23</v>
      </c>
      <c r="C6" s="3" t="s">
        <v>17</v>
      </c>
      <c r="D6" s="3" t="s">
        <v>20</v>
      </c>
      <c r="E6" s="4">
        <v>5</v>
      </c>
      <c r="F6" s="4">
        <v>5</v>
      </c>
      <c r="G6" s="5">
        <v>0</v>
      </c>
      <c r="H6" s="5">
        <v>4.21</v>
      </c>
      <c r="I6" s="6">
        <v>7</v>
      </c>
      <c r="J6" s="5">
        <v>8</v>
      </c>
      <c r="K6" s="7">
        <v>0</v>
      </c>
      <c r="L6" s="5">
        <v>0</v>
      </c>
      <c r="M6" s="5">
        <v>1</v>
      </c>
      <c r="N6" s="7">
        <v>2</v>
      </c>
      <c r="O6" s="4">
        <v>0</v>
      </c>
    </row>
    <row r="7" spans="1:15">
      <c r="A7" s="8" t="s">
        <v>22</v>
      </c>
      <c r="B7" s="3" t="s">
        <v>21</v>
      </c>
      <c r="C7" s="3" t="s">
        <v>17</v>
      </c>
      <c r="D7" s="3" t="s">
        <v>20</v>
      </c>
      <c r="E7" s="4">
        <v>5</v>
      </c>
      <c r="F7" s="4">
        <v>1</v>
      </c>
      <c r="G7" s="5">
        <v>0</v>
      </c>
      <c r="H7" s="5">
        <v>0</v>
      </c>
      <c r="I7" s="6">
        <v>2</v>
      </c>
      <c r="J7" s="5">
        <v>4</v>
      </c>
      <c r="K7" s="7">
        <v>0</v>
      </c>
      <c r="L7" s="5">
        <v>13</v>
      </c>
      <c r="M7" s="5">
        <v>23</v>
      </c>
      <c r="N7" s="7">
        <v>48</v>
      </c>
      <c r="O7" s="4">
        <v>0</v>
      </c>
    </row>
    <row r="8" spans="1:15">
      <c r="A8" s="8" t="s">
        <v>22</v>
      </c>
      <c r="B8" s="3" t="s">
        <v>24</v>
      </c>
      <c r="C8" s="3" t="s">
        <v>25</v>
      </c>
      <c r="D8" s="3" t="s">
        <v>20</v>
      </c>
      <c r="E8" s="4">
        <v>5</v>
      </c>
      <c r="F8" s="4">
        <v>4</v>
      </c>
      <c r="G8" s="5">
        <v>0</v>
      </c>
      <c r="H8" s="5">
        <v>0</v>
      </c>
      <c r="I8" s="6">
        <v>6</v>
      </c>
      <c r="J8" s="5">
        <v>6</v>
      </c>
      <c r="K8" s="7">
        <v>0</v>
      </c>
      <c r="L8" s="5">
        <v>1</v>
      </c>
      <c r="M8" s="5">
        <v>3</v>
      </c>
      <c r="N8" s="7">
        <v>4</v>
      </c>
      <c r="O8" s="4">
        <v>0</v>
      </c>
    </row>
    <row r="9" spans="1:15">
      <c r="A9" s="3" t="s">
        <v>26</v>
      </c>
      <c r="B9" s="3" t="s">
        <v>19</v>
      </c>
      <c r="C9" s="3" t="s">
        <v>17</v>
      </c>
      <c r="D9" s="3" t="s">
        <v>20</v>
      </c>
      <c r="E9" s="4">
        <v>5</v>
      </c>
      <c r="F9" s="4">
        <v>1</v>
      </c>
      <c r="G9" s="5">
        <v>0</v>
      </c>
      <c r="H9" s="5">
        <v>0</v>
      </c>
      <c r="I9" s="6">
        <v>34</v>
      </c>
      <c r="J9" s="5">
        <v>34</v>
      </c>
      <c r="K9" s="7">
        <v>2</v>
      </c>
      <c r="L9" s="5">
        <v>30</v>
      </c>
      <c r="M9" s="5">
        <v>45</v>
      </c>
      <c r="N9" s="7">
        <v>67</v>
      </c>
      <c r="O9" s="4">
        <v>0</v>
      </c>
    </row>
    <row r="10" spans="1:15">
      <c r="A10" s="8" t="s">
        <v>26</v>
      </c>
      <c r="B10" s="3" t="s">
        <v>23</v>
      </c>
      <c r="C10" s="3" t="s">
        <v>17</v>
      </c>
      <c r="D10" s="3" t="s">
        <v>20</v>
      </c>
      <c r="E10" s="4">
        <v>5</v>
      </c>
      <c r="F10" s="4">
        <v>5</v>
      </c>
      <c r="G10" s="5">
        <v>0</v>
      </c>
      <c r="H10" s="5">
        <v>2.39</v>
      </c>
      <c r="I10" s="6">
        <v>7</v>
      </c>
      <c r="J10" s="5">
        <v>7</v>
      </c>
      <c r="K10" s="7">
        <v>1</v>
      </c>
      <c r="L10" s="5">
        <v>2</v>
      </c>
      <c r="M10" s="5">
        <v>3</v>
      </c>
      <c r="N10" s="7">
        <v>3</v>
      </c>
      <c r="O10" s="4">
        <v>0</v>
      </c>
    </row>
    <row r="11" spans="1:15">
      <c r="A11" s="8" t="s">
        <v>26</v>
      </c>
      <c r="B11" s="3" t="s">
        <v>21</v>
      </c>
      <c r="C11" s="3" t="s">
        <v>17</v>
      </c>
      <c r="D11" s="3" t="s">
        <v>20</v>
      </c>
      <c r="E11" s="4">
        <v>5</v>
      </c>
      <c r="F11" s="4">
        <v>1</v>
      </c>
      <c r="G11" s="5">
        <v>0</v>
      </c>
      <c r="H11" s="5">
        <v>0</v>
      </c>
      <c r="I11" s="6">
        <v>2</v>
      </c>
      <c r="J11" s="5">
        <v>3</v>
      </c>
      <c r="K11" s="7">
        <v>2</v>
      </c>
      <c r="L11" s="5">
        <v>10</v>
      </c>
      <c r="M11" s="5">
        <v>19</v>
      </c>
      <c r="N11" s="7">
        <v>40</v>
      </c>
      <c r="O11" s="4">
        <v>0</v>
      </c>
    </row>
    <row r="12" spans="1:15">
      <c r="A12" s="8" t="s">
        <v>26</v>
      </c>
      <c r="B12" s="3" t="s">
        <v>24</v>
      </c>
      <c r="C12" s="3" t="s">
        <v>25</v>
      </c>
      <c r="D12" s="3" t="s">
        <v>20</v>
      </c>
      <c r="E12" s="4">
        <v>5</v>
      </c>
      <c r="F12" s="4">
        <v>4</v>
      </c>
      <c r="G12" s="5">
        <v>0</v>
      </c>
      <c r="H12" s="5">
        <v>0</v>
      </c>
      <c r="I12" s="6">
        <v>6</v>
      </c>
      <c r="J12" s="5">
        <v>6</v>
      </c>
      <c r="K12" s="7">
        <v>0</v>
      </c>
      <c r="L12" s="5">
        <v>0</v>
      </c>
      <c r="M12" s="5">
        <v>1</v>
      </c>
      <c r="N12" s="7">
        <v>1</v>
      </c>
      <c r="O12" s="4">
        <v>0</v>
      </c>
    </row>
    <row r="13" spans="1:15">
      <c r="A13" s="3" t="s">
        <v>27</v>
      </c>
      <c r="B13" s="3" t="s">
        <v>16</v>
      </c>
      <c r="C13" s="3" t="s">
        <v>17</v>
      </c>
      <c r="D13" s="3" t="s">
        <v>18</v>
      </c>
      <c r="E13" s="4">
        <v>5</v>
      </c>
      <c r="F13" s="4">
        <v>1</v>
      </c>
      <c r="G13" s="5">
        <v>0</v>
      </c>
      <c r="H13" s="5">
        <v>0</v>
      </c>
      <c r="I13" s="6">
        <v>5</v>
      </c>
      <c r="J13" s="5">
        <v>5</v>
      </c>
      <c r="K13" s="7">
        <v>0</v>
      </c>
      <c r="L13" s="5">
        <v>0</v>
      </c>
      <c r="M13" s="5">
        <v>0</v>
      </c>
      <c r="N13" s="7">
        <v>17</v>
      </c>
      <c r="O13" s="4">
        <v>0</v>
      </c>
    </row>
    <row r="14" spans="1:15">
      <c r="A14" s="8" t="s">
        <v>27</v>
      </c>
      <c r="B14" s="3" t="s">
        <v>19</v>
      </c>
      <c r="C14" s="3" t="s">
        <v>17</v>
      </c>
      <c r="D14" s="3" t="s">
        <v>20</v>
      </c>
      <c r="E14" s="4">
        <v>5</v>
      </c>
      <c r="F14" s="4">
        <v>1</v>
      </c>
      <c r="G14" s="5">
        <v>0</v>
      </c>
      <c r="H14" s="5">
        <v>0</v>
      </c>
      <c r="I14" s="6">
        <v>25</v>
      </c>
      <c r="J14" s="5">
        <v>29</v>
      </c>
      <c r="K14" s="7">
        <v>33</v>
      </c>
      <c r="L14" s="5">
        <v>73</v>
      </c>
      <c r="M14" s="5">
        <v>129</v>
      </c>
      <c r="N14" s="7">
        <v>231</v>
      </c>
      <c r="O14" s="4">
        <v>0</v>
      </c>
    </row>
    <row r="15" spans="1:15">
      <c r="A15" s="8" t="s">
        <v>27</v>
      </c>
      <c r="B15" s="3" t="s">
        <v>21</v>
      </c>
      <c r="C15" s="3" t="s">
        <v>17</v>
      </c>
      <c r="D15" s="3" t="s">
        <v>20</v>
      </c>
      <c r="E15" s="4">
        <v>5</v>
      </c>
      <c r="F15" s="4">
        <v>1</v>
      </c>
      <c r="G15" s="5">
        <v>0</v>
      </c>
      <c r="H15" s="5">
        <v>0</v>
      </c>
      <c r="I15" s="6">
        <v>2</v>
      </c>
      <c r="J15" s="5">
        <v>3</v>
      </c>
      <c r="K15" s="7">
        <v>0</v>
      </c>
      <c r="L15" s="5">
        <v>6</v>
      </c>
      <c r="M15" s="5">
        <v>6</v>
      </c>
      <c r="N15" s="7">
        <v>6</v>
      </c>
      <c r="O15" s="4">
        <v>0</v>
      </c>
    </row>
    <row r="16" spans="1:15">
      <c r="A16" s="3" t="s">
        <v>28</v>
      </c>
      <c r="B16" s="3" t="s">
        <v>16</v>
      </c>
      <c r="C16" s="3" t="s">
        <v>17</v>
      </c>
      <c r="D16" s="3" t="s">
        <v>18</v>
      </c>
      <c r="E16" s="4">
        <v>5</v>
      </c>
      <c r="F16" s="4">
        <v>1</v>
      </c>
      <c r="G16" s="5">
        <v>0</v>
      </c>
      <c r="H16" s="5">
        <v>0</v>
      </c>
      <c r="I16" s="6">
        <v>1</v>
      </c>
      <c r="J16" s="5">
        <v>1</v>
      </c>
      <c r="K16" s="7">
        <v>0</v>
      </c>
      <c r="L16" s="5">
        <v>0</v>
      </c>
      <c r="M16" s="5">
        <v>0</v>
      </c>
      <c r="N16" s="7">
        <v>17</v>
      </c>
      <c r="O16" s="4">
        <v>0</v>
      </c>
    </row>
    <row r="17" spans="1:15">
      <c r="A17" s="8" t="s">
        <v>28</v>
      </c>
      <c r="B17" s="3" t="s">
        <v>19</v>
      </c>
      <c r="C17" s="3" t="s">
        <v>17</v>
      </c>
      <c r="D17" s="3" t="s">
        <v>20</v>
      </c>
      <c r="E17" s="4">
        <v>5</v>
      </c>
      <c r="F17" s="4">
        <v>1</v>
      </c>
      <c r="G17" s="5">
        <v>0</v>
      </c>
      <c r="H17" s="5">
        <v>0</v>
      </c>
      <c r="I17" s="6">
        <v>62</v>
      </c>
      <c r="J17" s="5">
        <v>64</v>
      </c>
      <c r="K17" s="7">
        <v>19</v>
      </c>
      <c r="L17" s="5">
        <v>72</v>
      </c>
      <c r="M17" s="5">
        <v>166</v>
      </c>
      <c r="N17" s="7">
        <v>250</v>
      </c>
      <c r="O17" s="4">
        <v>0</v>
      </c>
    </row>
    <row r="18" spans="1:15">
      <c r="A18" s="8" t="s">
        <v>28</v>
      </c>
      <c r="B18" s="3" t="s">
        <v>21</v>
      </c>
      <c r="C18" s="3" t="s">
        <v>17</v>
      </c>
      <c r="D18" s="3" t="s">
        <v>20</v>
      </c>
      <c r="E18" s="4">
        <v>5</v>
      </c>
      <c r="F18" s="4">
        <v>1</v>
      </c>
      <c r="G18" s="5">
        <v>0</v>
      </c>
      <c r="H18" s="5">
        <v>0</v>
      </c>
      <c r="I18" s="6">
        <v>5</v>
      </c>
      <c r="J18" s="5">
        <v>7</v>
      </c>
      <c r="K18" s="7">
        <v>5</v>
      </c>
      <c r="L18" s="5">
        <v>18</v>
      </c>
      <c r="M18" s="5">
        <v>26</v>
      </c>
      <c r="N18" s="7">
        <v>38</v>
      </c>
      <c r="O18" s="4">
        <v>0</v>
      </c>
    </row>
    <row r="19" spans="1:15">
      <c r="A19" s="3" t="s">
        <v>29</v>
      </c>
      <c r="B19" s="3" t="s">
        <v>16</v>
      </c>
      <c r="C19" s="3" t="s">
        <v>17</v>
      </c>
      <c r="D19" s="3" t="s">
        <v>18</v>
      </c>
      <c r="E19" s="4">
        <v>5</v>
      </c>
      <c r="F19" s="4">
        <v>1</v>
      </c>
      <c r="G19" s="5">
        <v>0</v>
      </c>
      <c r="H19" s="5">
        <v>4.53</v>
      </c>
      <c r="I19" s="6">
        <v>9</v>
      </c>
      <c r="J19" s="5">
        <v>9</v>
      </c>
      <c r="K19" s="7">
        <v>0</v>
      </c>
      <c r="L19" s="5">
        <v>0</v>
      </c>
      <c r="M19" s="5">
        <v>0</v>
      </c>
      <c r="N19" s="7">
        <v>3</v>
      </c>
      <c r="O19" s="4">
        <v>0</v>
      </c>
    </row>
    <row r="20" spans="1:15">
      <c r="A20" s="8" t="s">
        <v>29</v>
      </c>
      <c r="B20" s="3" t="s">
        <v>21</v>
      </c>
      <c r="C20" s="3" t="s">
        <v>17</v>
      </c>
      <c r="D20" s="3" t="s">
        <v>20</v>
      </c>
      <c r="E20" s="4">
        <v>5</v>
      </c>
      <c r="F20" s="4">
        <v>1</v>
      </c>
      <c r="G20" s="5">
        <v>0</v>
      </c>
      <c r="H20" s="5">
        <v>0</v>
      </c>
      <c r="I20" s="6">
        <v>5</v>
      </c>
      <c r="J20" s="5">
        <v>5</v>
      </c>
      <c r="K20" s="7">
        <v>2</v>
      </c>
      <c r="L20" s="5">
        <v>5</v>
      </c>
      <c r="M20" s="5">
        <v>6</v>
      </c>
      <c r="N20" s="7">
        <v>7</v>
      </c>
      <c r="O20" s="4">
        <v>0</v>
      </c>
    </row>
    <row r="21" spans="1:15">
      <c r="A21" s="3" t="s">
        <v>30</v>
      </c>
      <c r="B21" s="3" t="s">
        <v>16</v>
      </c>
      <c r="C21" s="3" t="s">
        <v>17</v>
      </c>
      <c r="D21" s="3" t="s">
        <v>18</v>
      </c>
      <c r="E21" s="4">
        <v>5</v>
      </c>
      <c r="F21" s="4">
        <v>1</v>
      </c>
      <c r="G21" s="5">
        <v>0</v>
      </c>
      <c r="H21" s="5">
        <v>0</v>
      </c>
      <c r="I21" s="6">
        <v>4</v>
      </c>
      <c r="J21" s="5">
        <v>4</v>
      </c>
      <c r="K21" s="7">
        <v>0</v>
      </c>
      <c r="L21" s="5">
        <v>0</v>
      </c>
      <c r="M21" s="5">
        <v>0</v>
      </c>
      <c r="N21" s="7">
        <v>5</v>
      </c>
      <c r="O21" s="4">
        <v>0</v>
      </c>
    </row>
    <row r="22" spans="1:15">
      <c r="A22" s="8" t="s">
        <v>30</v>
      </c>
      <c r="B22" s="3" t="s">
        <v>21</v>
      </c>
      <c r="C22" s="3" t="s">
        <v>17</v>
      </c>
      <c r="D22" s="3" t="s">
        <v>20</v>
      </c>
      <c r="E22" s="4">
        <v>5</v>
      </c>
      <c r="F22" s="4">
        <v>1</v>
      </c>
      <c r="G22" s="5">
        <v>0</v>
      </c>
      <c r="H22" s="5">
        <v>0</v>
      </c>
      <c r="I22" s="6">
        <v>5</v>
      </c>
      <c r="J22" s="5">
        <v>5</v>
      </c>
      <c r="K22" s="7">
        <v>3</v>
      </c>
      <c r="L22" s="5">
        <v>12</v>
      </c>
      <c r="M22" s="5">
        <v>20</v>
      </c>
      <c r="N22" s="7">
        <v>23</v>
      </c>
      <c r="O22" s="4">
        <v>0</v>
      </c>
    </row>
    <row r="23" spans="1:15">
      <c r="A23" s="3" t="s">
        <v>31</v>
      </c>
      <c r="B23" s="3" t="s">
        <v>16</v>
      </c>
      <c r="C23" s="3" t="s">
        <v>17</v>
      </c>
      <c r="D23" s="3" t="s">
        <v>18</v>
      </c>
      <c r="E23" s="4">
        <v>5</v>
      </c>
      <c r="F23" s="4">
        <v>1</v>
      </c>
      <c r="G23" s="5">
        <v>0</v>
      </c>
      <c r="H23" s="5">
        <v>0</v>
      </c>
      <c r="I23" s="6">
        <v>8</v>
      </c>
      <c r="J23" s="5">
        <v>8</v>
      </c>
      <c r="K23" s="7">
        <v>0</v>
      </c>
      <c r="L23" s="5">
        <v>0</v>
      </c>
      <c r="M23" s="5">
        <v>0</v>
      </c>
      <c r="N23" s="7">
        <v>19</v>
      </c>
      <c r="O23" s="4">
        <v>0</v>
      </c>
    </row>
    <row r="24" spans="1:15">
      <c r="A24" s="8" t="s">
        <v>31</v>
      </c>
      <c r="B24" s="3" t="s">
        <v>21</v>
      </c>
      <c r="C24" s="3" t="s">
        <v>17</v>
      </c>
      <c r="D24" s="3" t="s">
        <v>20</v>
      </c>
      <c r="E24" s="4">
        <v>5</v>
      </c>
      <c r="F24" s="4">
        <v>1</v>
      </c>
      <c r="G24" s="5">
        <v>0</v>
      </c>
      <c r="H24" s="5">
        <v>0</v>
      </c>
      <c r="I24" s="6">
        <v>18</v>
      </c>
      <c r="J24" s="5">
        <v>18</v>
      </c>
      <c r="K24" s="7">
        <v>2</v>
      </c>
      <c r="L24" s="5">
        <v>18</v>
      </c>
      <c r="M24" s="5">
        <v>29</v>
      </c>
      <c r="N24" s="7">
        <v>32</v>
      </c>
      <c r="O24" s="4">
        <v>0</v>
      </c>
    </row>
    <row r="25" spans="1:15">
      <c r="A25" s="3" t="s">
        <v>32</v>
      </c>
      <c r="B25" s="3" t="s">
        <v>19</v>
      </c>
      <c r="C25" s="3" t="s">
        <v>17</v>
      </c>
      <c r="D25" s="3" t="s">
        <v>20</v>
      </c>
      <c r="E25" s="4">
        <v>5</v>
      </c>
      <c r="F25" s="4">
        <v>1</v>
      </c>
      <c r="G25" s="5">
        <v>0</v>
      </c>
      <c r="H25" s="5">
        <v>0</v>
      </c>
      <c r="I25" s="6">
        <v>27</v>
      </c>
      <c r="J25" s="5">
        <v>27</v>
      </c>
      <c r="K25" s="7">
        <v>0</v>
      </c>
      <c r="L25" s="5">
        <v>13</v>
      </c>
      <c r="M25" s="5">
        <v>16</v>
      </c>
      <c r="N25" s="7">
        <v>27</v>
      </c>
      <c r="O25" s="4">
        <v>0</v>
      </c>
    </row>
    <row r="26" spans="1:15">
      <c r="A26" s="3" t="s">
        <v>33</v>
      </c>
      <c r="B26" s="3" t="s">
        <v>19</v>
      </c>
      <c r="C26" s="3" t="s">
        <v>17</v>
      </c>
      <c r="D26" s="3" t="s">
        <v>20</v>
      </c>
      <c r="E26" s="4">
        <v>5</v>
      </c>
      <c r="F26" s="4">
        <v>1</v>
      </c>
      <c r="G26" s="5">
        <v>0</v>
      </c>
      <c r="H26" s="5">
        <v>0</v>
      </c>
      <c r="I26" s="6">
        <v>39</v>
      </c>
      <c r="J26" s="5">
        <v>41</v>
      </c>
      <c r="K26" s="7">
        <v>5</v>
      </c>
      <c r="L26" s="5">
        <v>65</v>
      </c>
      <c r="M26" s="5">
        <v>109</v>
      </c>
      <c r="N26" s="7">
        <v>208</v>
      </c>
      <c r="O26" s="4">
        <v>0</v>
      </c>
    </row>
    <row r="27" spans="1:15">
      <c r="A27" s="8" t="s">
        <v>33</v>
      </c>
      <c r="B27" s="3" t="s">
        <v>21</v>
      </c>
      <c r="C27" s="3" t="s">
        <v>17</v>
      </c>
      <c r="D27" s="3" t="s">
        <v>20</v>
      </c>
      <c r="E27" s="4">
        <v>5</v>
      </c>
      <c r="F27" s="4">
        <v>1</v>
      </c>
      <c r="G27" s="5">
        <v>0</v>
      </c>
      <c r="H27" s="5">
        <v>0</v>
      </c>
      <c r="I27" s="6">
        <v>1</v>
      </c>
      <c r="J27" s="5">
        <v>1</v>
      </c>
      <c r="K27" s="7">
        <v>1</v>
      </c>
      <c r="L27" s="5">
        <v>8</v>
      </c>
      <c r="M27" s="5">
        <v>10</v>
      </c>
      <c r="N27" s="7">
        <v>10</v>
      </c>
      <c r="O27" s="4">
        <v>0</v>
      </c>
    </row>
    <row r="28" spans="1:15">
      <c r="A28" s="3" t="s">
        <v>34</v>
      </c>
      <c r="B28" s="3" t="s">
        <v>19</v>
      </c>
      <c r="C28" s="3" t="s">
        <v>17</v>
      </c>
      <c r="D28" s="3" t="s">
        <v>20</v>
      </c>
      <c r="E28" s="4">
        <v>5</v>
      </c>
      <c r="F28" s="4">
        <v>1</v>
      </c>
      <c r="G28" s="5">
        <v>0</v>
      </c>
      <c r="H28" s="5">
        <v>0</v>
      </c>
      <c r="I28" s="6">
        <v>59</v>
      </c>
      <c r="J28" s="5">
        <v>60</v>
      </c>
      <c r="K28" s="7">
        <v>9</v>
      </c>
      <c r="L28" s="5">
        <v>41</v>
      </c>
      <c r="M28" s="5">
        <v>73</v>
      </c>
      <c r="N28" s="7">
        <v>144</v>
      </c>
      <c r="O28" s="4">
        <v>0</v>
      </c>
    </row>
    <row r="29" spans="1:15">
      <c r="A29" s="8" t="s">
        <v>34</v>
      </c>
      <c r="B29" s="3" t="s">
        <v>21</v>
      </c>
      <c r="C29" s="3" t="s">
        <v>17</v>
      </c>
      <c r="D29" s="3" t="s">
        <v>20</v>
      </c>
      <c r="E29" s="4">
        <v>5</v>
      </c>
      <c r="F29" s="4">
        <v>1</v>
      </c>
      <c r="G29" s="5">
        <v>0</v>
      </c>
      <c r="H29" s="5">
        <v>0</v>
      </c>
      <c r="I29" s="6">
        <v>6</v>
      </c>
      <c r="J29" s="5">
        <v>6</v>
      </c>
      <c r="K29" s="7">
        <v>3</v>
      </c>
      <c r="L29" s="5">
        <v>7</v>
      </c>
      <c r="M29" s="5">
        <v>9</v>
      </c>
      <c r="N29" s="7">
        <v>9</v>
      </c>
      <c r="O29" s="4">
        <v>0</v>
      </c>
    </row>
    <row r="30" spans="1:15">
      <c r="A30" s="3" t="s">
        <v>35</v>
      </c>
      <c r="B30" s="3" t="s">
        <v>19</v>
      </c>
      <c r="C30" s="3" t="s">
        <v>17</v>
      </c>
      <c r="D30" s="3" t="s">
        <v>20</v>
      </c>
      <c r="E30" s="4">
        <v>5</v>
      </c>
      <c r="F30" s="4">
        <v>1</v>
      </c>
      <c r="G30" s="5">
        <v>0</v>
      </c>
      <c r="H30" s="5">
        <v>0</v>
      </c>
      <c r="I30" s="6">
        <v>36</v>
      </c>
      <c r="J30" s="5">
        <v>36</v>
      </c>
      <c r="K30" s="7">
        <v>0</v>
      </c>
      <c r="L30" s="5">
        <v>30</v>
      </c>
      <c r="M30" s="5">
        <v>46</v>
      </c>
      <c r="N30" s="7">
        <v>85</v>
      </c>
      <c r="O30" s="4">
        <v>0</v>
      </c>
    </row>
    <row r="31" spans="1:15">
      <c r="A31" s="8" t="s">
        <v>35</v>
      </c>
      <c r="B31" s="3" t="s">
        <v>21</v>
      </c>
      <c r="C31" s="3" t="s">
        <v>17</v>
      </c>
      <c r="D31" s="3" t="s">
        <v>20</v>
      </c>
      <c r="E31" s="4">
        <v>5</v>
      </c>
      <c r="F31" s="4">
        <v>1</v>
      </c>
      <c r="G31" s="5">
        <v>0</v>
      </c>
      <c r="H31" s="5">
        <v>0</v>
      </c>
      <c r="I31" s="6">
        <v>5</v>
      </c>
      <c r="J31" s="5">
        <v>6</v>
      </c>
      <c r="K31" s="7">
        <v>2</v>
      </c>
      <c r="L31" s="5">
        <v>7</v>
      </c>
      <c r="M31" s="5">
        <v>11</v>
      </c>
      <c r="N31" s="7">
        <v>11</v>
      </c>
      <c r="O31" s="4">
        <v>0</v>
      </c>
    </row>
    <row r="32" spans="1:15">
      <c r="A32" s="3" t="s">
        <v>36</v>
      </c>
      <c r="B32" s="3" t="s">
        <v>19</v>
      </c>
      <c r="C32" s="3" t="s">
        <v>17</v>
      </c>
      <c r="D32" s="3" t="s">
        <v>20</v>
      </c>
      <c r="E32" s="4">
        <v>5</v>
      </c>
      <c r="F32" s="4">
        <v>1</v>
      </c>
      <c r="G32" s="5">
        <v>0</v>
      </c>
      <c r="H32" s="5">
        <v>0</v>
      </c>
      <c r="I32" s="6">
        <v>8</v>
      </c>
      <c r="J32" s="5">
        <v>8</v>
      </c>
      <c r="K32" s="7">
        <v>6</v>
      </c>
      <c r="L32" s="5">
        <v>24</v>
      </c>
      <c r="M32" s="5">
        <v>48</v>
      </c>
      <c r="N32" s="7">
        <v>67</v>
      </c>
      <c r="O32" s="4">
        <v>0</v>
      </c>
    </row>
    <row r="33" spans="1:15">
      <c r="A33" s="3" t="s">
        <v>37</v>
      </c>
      <c r="B33" s="3" t="s">
        <v>38</v>
      </c>
      <c r="C33" s="3" t="s">
        <v>25</v>
      </c>
      <c r="D33" s="3" t="s">
        <v>20</v>
      </c>
      <c r="E33" s="4">
        <v>5</v>
      </c>
      <c r="F33" s="4">
        <v>4</v>
      </c>
      <c r="G33" s="5">
        <v>0</v>
      </c>
      <c r="H33" s="5">
        <v>0</v>
      </c>
      <c r="I33" s="6">
        <v>5</v>
      </c>
      <c r="J33" s="5">
        <v>5</v>
      </c>
      <c r="K33" s="7">
        <v>0</v>
      </c>
      <c r="L33" s="5">
        <v>2</v>
      </c>
      <c r="M33" s="5">
        <v>8</v>
      </c>
      <c r="N33" s="7">
        <v>21</v>
      </c>
      <c r="O33" s="4">
        <v>0</v>
      </c>
    </row>
    <row r="34" spans="1:15">
      <c r="A34" s="8" t="s">
        <v>37</v>
      </c>
      <c r="B34" s="3" t="s">
        <v>19</v>
      </c>
      <c r="C34" s="3" t="s">
        <v>17</v>
      </c>
      <c r="D34" s="3" t="s">
        <v>20</v>
      </c>
      <c r="E34" s="4">
        <v>5</v>
      </c>
      <c r="F34" s="4">
        <v>1</v>
      </c>
      <c r="G34" s="5">
        <v>0</v>
      </c>
      <c r="H34" s="5">
        <v>0</v>
      </c>
      <c r="I34" s="6">
        <v>29</v>
      </c>
      <c r="J34" s="5">
        <v>32</v>
      </c>
      <c r="K34" s="7">
        <v>6</v>
      </c>
      <c r="L34" s="5">
        <v>81</v>
      </c>
      <c r="M34" s="5">
        <v>109</v>
      </c>
      <c r="N34" s="7">
        <v>130</v>
      </c>
      <c r="O34" s="4">
        <v>0</v>
      </c>
    </row>
    <row r="35" spans="1:15">
      <c r="A35" s="8" t="s">
        <v>37</v>
      </c>
      <c r="B35" s="3" t="s">
        <v>23</v>
      </c>
      <c r="C35" s="3" t="s">
        <v>17</v>
      </c>
      <c r="D35" s="3" t="s">
        <v>18</v>
      </c>
      <c r="E35" s="4">
        <v>5</v>
      </c>
      <c r="F35" s="4">
        <v>5</v>
      </c>
      <c r="G35" s="5">
        <v>0</v>
      </c>
      <c r="H35" s="5">
        <v>0</v>
      </c>
      <c r="I35" s="6">
        <v>0</v>
      </c>
      <c r="J35" s="5">
        <v>0</v>
      </c>
      <c r="K35" s="7">
        <v>0</v>
      </c>
      <c r="L35" s="5">
        <v>0</v>
      </c>
      <c r="M35" s="5">
        <v>0</v>
      </c>
      <c r="N35" s="7">
        <v>0</v>
      </c>
      <c r="O35" s="4">
        <v>0</v>
      </c>
    </row>
    <row r="36" spans="1:15">
      <c r="A36" s="8" t="s">
        <v>37</v>
      </c>
      <c r="B36" s="3" t="s">
        <v>21</v>
      </c>
      <c r="C36" s="3" t="s">
        <v>17</v>
      </c>
      <c r="D36" s="3" t="s">
        <v>20</v>
      </c>
      <c r="E36" s="4">
        <v>5</v>
      </c>
      <c r="F36" s="4">
        <v>1</v>
      </c>
      <c r="G36" s="5">
        <v>0</v>
      </c>
      <c r="H36" s="5">
        <v>0</v>
      </c>
      <c r="I36" s="6">
        <v>4</v>
      </c>
      <c r="J36" s="5">
        <v>4</v>
      </c>
      <c r="K36" s="7">
        <v>1</v>
      </c>
      <c r="L36" s="5">
        <v>9</v>
      </c>
      <c r="M36" s="5">
        <v>15</v>
      </c>
      <c r="N36" s="7">
        <v>15</v>
      </c>
      <c r="O36" s="4">
        <v>0</v>
      </c>
    </row>
    <row r="37" spans="1:15">
      <c r="A37" s="8" t="s">
        <v>37</v>
      </c>
      <c r="B37" s="3" t="s">
        <v>39</v>
      </c>
      <c r="C37" s="3" t="s">
        <v>25</v>
      </c>
      <c r="D37" s="3" t="s">
        <v>20</v>
      </c>
      <c r="E37" s="4">
        <v>2.5</v>
      </c>
      <c r="F37" s="4">
        <v>1</v>
      </c>
      <c r="G37" s="5">
        <v>0</v>
      </c>
      <c r="H37" s="5">
        <v>0</v>
      </c>
      <c r="I37" s="6">
        <v>4</v>
      </c>
      <c r="J37" s="5">
        <v>4</v>
      </c>
      <c r="K37" s="7">
        <v>0</v>
      </c>
      <c r="L37" s="5">
        <v>3</v>
      </c>
      <c r="M37" s="5">
        <v>6</v>
      </c>
      <c r="N37" s="7">
        <v>8</v>
      </c>
      <c r="O37" s="4">
        <v>0</v>
      </c>
    </row>
    <row r="38" spans="1:15">
      <c r="A38" s="8" t="s">
        <v>37</v>
      </c>
      <c r="B38" s="3" t="s">
        <v>40</v>
      </c>
      <c r="C38" s="3" t="s">
        <v>25</v>
      </c>
      <c r="D38" s="3" t="s">
        <v>20</v>
      </c>
      <c r="E38" s="4">
        <v>5</v>
      </c>
      <c r="F38" s="4">
        <v>4</v>
      </c>
      <c r="G38" s="5">
        <v>0</v>
      </c>
      <c r="H38" s="5">
        <v>0</v>
      </c>
      <c r="I38" s="6">
        <v>15</v>
      </c>
      <c r="J38" s="5">
        <v>15</v>
      </c>
      <c r="K38" s="7">
        <v>2</v>
      </c>
      <c r="L38" s="5">
        <v>18</v>
      </c>
      <c r="M38" s="5">
        <v>35</v>
      </c>
      <c r="N38" s="7">
        <v>49</v>
      </c>
      <c r="O38" s="4">
        <v>0</v>
      </c>
    </row>
    <row r="39" spans="1:15">
      <c r="A39" s="8" t="s">
        <v>37</v>
      </c>
      <c r="B39" s="3" t="s">
        <v>24</v>
      </c>
      <c r="C39" s="3" t="s">
        <v>25</v>
      </c>
      <c r="D39" s="3" t="s">
        <v>20</v>
      </c>
      <c r="E39" s="4">
        <v>5</v>
      </c>
      <c r="F39" s="4">
        <v>4</v>
      </c>
      <c r="G39" s="5">
        <v>0</v>
      </c>
      <c r="H39" s="5">
        <v>0</v>
      </c>
      <c r="I39" s="6">
        <v>35</v>
      </c>
      <c r="J39" s="5">
        <v>35</v>
      </c>
      <c r="K39" s="7">
        <v>2</v>
      </c>
      <c r="L39" s="5">
        <v>6</v>
      </c>
      <c r="M39" s="5">
        <v>19</v>
      </c>
      <c r="N39" s="7">
        <v>39</v>
      </c>
      <c r="O39" s="4">
        <v>0</v>
      </c>
    </row>
    <row r="40" spans="1:15">
      <c r="A40" s="3" t="s">
        <v>41</v>
      </c>
      <c r="B40" s="3" t="s">
        <v>38</v>
      </c>
      <c r="C40" s="3" t="s">
        <v>25</v>
      </c>
      <c r="D40" s="3" t="s">
        <v>20</v>
      </c>
      <c r="E40" s="4">
        <v>5</v>
      </c>
      <c r="F40" s="4">
        <v>4</v>
      </c>
      <c r="G40" s="5">
        <v>0</v>
      </c>
      <c r="H40" s="5">
        <v>0.99</v>
      </c>
      <c r="I40" s="6">
        <v>6</v>
      </c>
      <c r="J40" s="5">
        <v>6</v>
      </c>
      <c r="K40" s="7">
        <v>1</v>
      </c>
      <c r="L40" s="5">
        <v>6</v>
      </c>
      <c r="M40" s="5">
        <v>7</v>
      </c>
      <c r="N40" s="7">
        <v>8</v>
      </c>
      <c r="O40" s="4">
        <v>0</v>
      </c>
    </row>
    <row r="41" spans="1:15">
      <c r="A41" s="8" t="s">
        <v>41</v>
      </c>
      <c r="B41" s="3" t="s">
        <v>19</v>
      </c>
      <c r="C41" s="3" t="s">
        <v>17</v>
      </c>
      <c r="D41" s="3" t="s">
        <v>20</v>
      </c>
      <c r="E41" s="4">
        <v>5</v>
      </c>
      <c r="F41" s="4">
        <v>1</v>
      </c>
      <c r="G41" s="5">
        <v>0</v>
      </c>
      <c r="H41" s="5">
        <v>0</v>
      </c>
      <c r="I41" s="6">
        <v>38</v>
      </c>
      <c r="J41" s="5">
        <v>38</v>
      </c>
      <c r="K41" s="7">
        <v>3</v>
      </c>
      <c r="L41" s="5">
        <v>16</v>
      </c>
      <c r="M41" s="5">
        <v>38</v>
      </c>
      <c r="N41" s="7">
        <v>65</v>
      </c>
      <c r="O41" s="4">
        <v>0</v>
      </c>
    </row>
    <row r="42" spans="1:15">
      <c r="A42" s="8" t="s">
        <v>41</v>
      </c>
      <c r="B42" s="3" t="s">
        <v>21</v>
      </c>
      <c r="C42" s="3" t="s">
        <v>17</v>
      </c>
      <c r="D42" s="3" t="s">
        <v>20</v>
      </c>
      <c r="E42" s="4">
        <v>5</v>
      </c>
      <c r="F42" s="4">
        <v>1</v>
      </c>
      <c r="G42" s="5">
        <v>0</v>
      </c>
      <c r="H42" s="5">
        <v>0</v>
      </c>
      <c r="I42" s="6">
        <v>5</v>
      </c>
      <c r="J42" s="5">
        <v>6</v>
      </c>
      <c r="K42" s="7">
        <v>0</v>
      </c>
      <c r="L42" s="5">
        <v>5</v>
      </c>
      <c r="M42" s="5">
        <v>9</v>
      </c>
      <c r="N42" s="7">
        <v>9</v>
      </c>
      <c r="O42" s="4">
        <v>0</v>
      </c>
    </row>
    <row r="43" spans="1:15">
      <c r="A43" s="8" t="s">
        <v>41</v>
      </c>
      <c r="B43" s="3" t="s">
        <v>39</v>
      </c>
      <c r="C43" s="3" t="s">
        <v>25</v>
      </c>
      <c r="D43" s="3" t="s">
        <v>20</v>
      </c>
      <c r="E43" s="4">
        <v>2.5</v>
      </c>
      <c r="F43" s="4">
        <v>1</v>
      </c>
      <c r="G43" s="5">
        <v>0</v>
      </c>
      <c r="H43" s="5">
        <v>0</v>
      </c>
      <c r="I43" s="6">
        <v>8</v>
      </c>
      <c r="J43" s="5">
        <v>8</v>
      </c>
      <c r="K43" s="7">
        <v>0</v>
      </c>
      <c r="L43" s="5">
        <v>2</v>
      </c>
      <c r="M43" s="5">
        <v>5</v>
      </c>
      <c r="N43" s="7">
        <v>5</v>
      </c>
      <c r="O43" s="4">
        <v>0</v>
      </c>
    </row>
    <row r="44" spans="1:15">
      <c r="A44" s="8" t="s">
        <v>41</v>
      </c>
      <c r="B44" s="3" t="s">
        <v>40</v>
      </c>
      <c r="C44" s="3" t="s">
        <v>25</v>
      </c>
      <c r="D44" s="3" t="s">
        <v>20</v>
      </c>
      <c r="E44" s="4">
        <v>5</v>
      </c>
      <c r="F44" s="4">
        <v>4</v>
      </c>
      <c r="G44" s="5">
        <v>0</v>
      </c>
      <c r="H44" s="5">
        <v>0</v>
      </c>
      <c r="I44" s="6">
        <v>8</v>
      </c>
      <c r="J44" s="5">
        <v>8</v>
      </c>
      <c r="K44" s="7">
        <v>0</v>
      </c>
      <c r="L44" s="5">
        <v>11</v>
      </c>
      <c r="M44" s="5">
        <v>21</v>
      </c>
      <c r="N44" s="7">
        <v>30</v>
      </c>
      <c r="O44" s="4">
        <v>0</v>
      </c>
    </row>
    <row r="45" spans="1:15">
      <c r="A45" s="8" t="s">
        <v>41</v>
      </c>
      <c r="B45" s="3" t="s">
        <v>42</v>
      </c>
      <c r="C45" s="3" t="s">
        <v>25</v>
      </c>
      <c r="D45" s="3" t="s">
        <v>18</v>
      </c>
      <c r="E45" s="4">
        <v>5</v>
      </c>
      <c r="F45" s="4">
        <v>4</v>
      </c>
      <c r="G45" s="5">
        <v>3</v>
      </c>
      <c r="H45" s="5">
        <v>8</v>
      </c>
      <c r="I45" s="6">
        <v>8</v>
      </c>
      <c r="J45" s="5">
        <v>8</v>
      </c>
      <c r="K45" s="7">
        <v>0</v>
      </c>
      <c r="L45" s="5">
        <v>0</v>
      </c>
      <c r="M45" s="5">
        <v>0</v>
      </c>
      <c r="N45" s="7">
        <v>0</v>
      </c>
      <c r="O45" s="4">
        <v>0</v>
      </c>
    </row>
    <row r="46" spans="1:15">
      <c r="A46" s="8" t="s">
        <v>41</v>
      </c>
      <c r="B46" s="3" t="s">
        <v>24</v>
      </c>
      <c r="C46" s="3" t="s">
        <v>25</v>
      </c>
      <c r="D46" s="3" t="s">
        <v>20</v>
      </c>
      <c r="E46" s="4">
        <v>5</v>
      </c>
      <c r="F46" s="4">
        <v>4</v>
      </c>
      <c r="G46" s="5">
        <v>0</v>
      </c>
      <c r="H46" s="5">
        <v>0</v>
      </c>
      <c r="I46" s="6">
        <v>19</v>
      </c>
      <c r="J46" s="5">
        <v>19</v>
      </c>
      <c r="K46" s="7">
        <v>3</v>
      </c>
      <c r="L46" s="5">
        <v>6</v>
      </c>
      <c r="M46" s="5">
        <v>13</v>
      </c>
      <c r="N46" s="7">
        <v>39</v>
      </c>
      <c r="O46" s="4">
        <v>0</v>
      </c>
    </row>
    <row r="47" spans="1:15">
      <c r="A47" s="8" t="s">
        <v>41</v>
      </c>
      <c r="B47" s="3" t="s">
        <v>43</v>
      </c>
      <c r="C47" s="3" t="s">
        <v>25</v>
      </c>
      <c r="D47" s="3" t="s">
        <v>20</v>
      </c>
      <c r="E47" s="4">
        <v>5</v>
      </c>
      <c r="F47" s="4">
        <v>4</v>
      </c>
      <c r="G47" s="5">
        <v>0</v>
      </c>
      <c r="H47" s="5">
        <v>0</v>
      </c>
      <c r="I47" s="6">
        <v>5</v>
      </c>
      <c r="J47" s="5">
        <v>5</v>
      </c>
      <c r="K47" s="7">
        <v>0</v>
      </c>
      <c r="L47" s="5">
        <v>1</v>
      </c>
      <c r="M47" s="5">
        <v>1</v>
      </c>
      <c r="N47" s="7">
        <v>3</v>
      </c>
      <c r="O47" s="4">
        <v>0</v>
      </c>
    </row>
    <row r="48" spans="1:15">
      <c r="A48" s="3" t="s">
        <v>44</v>
      </c>
      <c r="B48" s="3" t="s">
        <v>21</v>
      </c>
      <c r="C48" s="3" t="s">
        <v>17</v>
      </c>
      <c r="D48" s="3" t="s">
        <v>20</v>
      </c>
      <c r="E48" s="4">
        <v>5</v>
      </c>
      <c r="F48" s="4">
        <v>1</v>
      </c>
      <c r="G48" s="5">
        <v>0</v>
      </c>
      <c r="H48" s="5">
        <v>0</v>
      </c>
      <c r="I48" s="6">
        <v>2</v>
      </c>
      <c r="J48" s="5">
        <v>4</v>
      </c>
      <c r="K48" s="7">
        <v>1</v>
      </c>
      <c r="L48" s="5">
        <v>2</v>
      </c>
      <c r="M48" s="5">
        <v>5</v>
      </c>
      <c r="N48" s="7">
        <v>6</v>
      </c>
      <c r="O48" s="4">
        <v>0</v>
      </c>
    </row>
    <row r="49" spans="1:15">
      <c r="A49" s="3" t="s">
        <v>45</v>
      </c>
      <c r="B49" s="3" t="s">
        <v>19</v>
      </c>
      <c r="C49" s="3" t="s">
        <v>17</v>
      </c>
      <c r="D49" s="3" t="s">
        <v>20</v>
      </c>
      <c r="E49" s="4">
        <v>5</v>
      </c>
      <c r="F49" s="4">
        <v>1</v>
      </c>
      <c r="G49" s="5">
        <v>0</v>
      </c>
      <c r="H49" s="5">
        <v>0</v>
      </c>
      <c r="I49" s="6">
        <v>55</v>
      </c>
      <c r="J49" s="5">
        <v>55</v>
      </c>
      <c r="K49" s="7">
        <v>14</v>
      </c>
      <c r="L49" s="5">
        <v>112</v>
      </c>
      <c r="M49" s="5">
        <v>164</v>
      </c>
      <c r="N49" s="7">
        <v>264</v>
      </c>
      <c r="O49" s="4">
        <v>0</v>
      </c>
    </row>
    <row r="50" spans="1:15">
      <c r="A50" s="3" t="s">
        <v>46</v>
      </c>
      <c r="B50" s="3" t="s">
        <v>16</v>
      </c>
      <c r="C50" s="3" t="s">
        <v>17</v>
      </c>
      <c r="D50" s="3" t="s">
        <v>18</v>
      </c>
      <c r="E50" s="4">
        <v>5</v>
      </c>
      <c r="F50" s="4">
        <v>1</v>
      </c>
      <c r="G50" s="5">
        <v>0</v>
      </c>
      <c r="H50" s="5">
        <v>0</v>
      </c>
      <c r="I50" s="6">
        <v>12</v>
      </c>
      <c r="J50" s="5">
        <v>12</v>
      </c>
      <c r="K50" s="7">
        <v>0</v>
      </c>
      <c r="L50" s="5">
        <v>0</v>
      </c>
      <c r="M50" s="5">
        <v>0</v>
      </c>
      <c r="N50" s="7">
        <v>24</v>
      </c>
      <c r="O50" s="4">
        <v>0</v>
      </c>
    </row>
    <row r="51" spans="1:15">
      <c r="A51" s="8" t="s">
        <v>46</v>
      </c>
      <c r="B51" s="3" t="s">
        <v>19</v>
      </c>
      <c r="C51" s="3" t="s">
        <v>17</v>
      </c>
      <c r="D51" s="3" t="s">
        <v>20</v>
      </c>
      <c r="E51" s="4">
        <v>5</v>
      </c>
      <c r="F51" s="4">
        <v>1</v>
      </c>
      <c r="G51" s="5">
        <v>0</v>
      </c>
      <c r="H51" s="5">
        <v>0</v>
      </c>
      <c r="I51" s="6">
        <v>21</v>
      </c>
      <c r="J51" s="5">
        <v>21</v>
      </c>
      <c r="K51" s="7">
        <v>30</v>
      </c>
      <c r="L51" s="5">
        <v>149</v>
      </c>
      <c r="M51" s="5">
        <v>244</v>
      </c>
      <c r="N51" s="7">
        <v>335</v>
      </c>
      <c r="O51" s="4">
        <v>0</v>
      </c>
    </row>
    <row r="52" spans="1:15">
      <c r="A52" s="8" t="s">
        <v>46</v>
      </c>
      <c r="B52" s="3" t="s">
        <v>21</v>
      </c>
      <c r="C52" s="3" t="s">
        <v>17</v>
      </c>
      <c r="D52" s="3" t="s">
        <v>20</v>
      </c>
      <c r="E52" s="4">
        <v>5</v>
      </c>
      <c r="F52" s="4">
        <v>1</v>
      </c>
      <c r="G52" s="5">
        <v>0</v>
      </c>
      <c r="H52" s="5">
        <v>0</v>
      </c>
      <c r="I52" s="6">
        <v>18</v>
      </c>
      <c r="J52" s="5">
        <v>18</v>
      </c>
      <c r="K52" s="7">
        <v>0</v>
      </c>
      <c r="L52" s="5">
        <v>13</v>
      </c>
      <c r="M52" s="5">
        <v>33</v>
      </c>
      <c r="N52" s="7">
        <v>38</v>
      </c>
      <c r="O52" s="4">
        <v>0</v>
      </c>
    </row>
    <row r="53" spans="1:15">
      <c r="A53" s="3" t="s">
        <v>47</v>
      </c>
      <c r="B53" s="3" t="s">
        <v>48</v>
      </c>
      <c r="C53" s="3" t="s">
        <v>25</v>
      </c>
      <c r="D53" s="3" t="s">
        <v>20</v>
      </c>
      <c r="E53" s="4">
        <v>10</v>
      </c>
      <c r="F53" s="4">
        <v>2</v>
      </c>
      <c r="G53" s="5">
        <v>0</v>
      </c>
      <c r="H53" s="5">
        <v>0</v>
      </c>
      <c r="I53" s="6">
        <v>4</v>
      </c>
      <c r="J53" s="5">
        <v>5</v>
      </c>
      <c r="K53" s="7">
        <v>0</v>
      </c>
      <c r="L53" s="5">
        <v>1</v>
      </c>
      <c r="M53" s="5">
        <v>3</v>
      </c>
      <c r="N53" s="7">
        <v>5</v>
      </c>
      <c r="O53" s="4">
        <v>0</v>
      </c>
    </row>
    <row r="54" spans="1:15">
      <c r="A54" s="8" t="s">
        <v>47</v>
      </c>
      <c r="B54" s="3" t="s">
        <v>24</v>
      </c>
      <c r="C54" s="3" t="s">
        <v>25</v>
      </c>
      <c r="D54" s="3" t="s">
        <v>20</v>
      </c>
      <c r="E54" s="4">
        <v>5</v>
      </c>
      <c r="F54" s="4">
        <v>4</v>
      </c>
      <c r="G54" s="5">
        <v>0</v>
      </c>
      <c r="H54" s="5">
        <v>0</v>
      </c>
      <c r="I54" s="6">
        <v>7</v>
      </c>
      <c r="J54" s="5">
        <v>7</v>
      </c>
      <c r="K54" s="7">
        <v>0</v>
      </c>
      <c r="L54" s="5">
        <v>4</v>
      </c>
      <c r="M54" s="5">
        <v>5</v>
      </c>
      <c r="N54" s="7">
        <v>12</v>
      </c>
      <c r="O54" s="4">
        <v>0</v>
      </c>
    </row>
    <row r="55" spans="1:15">
      <c r="A55" s="8" t="s">
        <v>47</v>
      </c>
      <c r="B55" s="3" t="s">
        <v>49</v>
      </c>
      <c r="C55" s="3" t="s">
        <v>25</v>
      </c>
      <c r="D55" s="3" t="s">
        <v>20</v>
      </c>
      <c r="E55" s="4">
        <v>10</v>
      </c>
      <c r="F55" s="4">
        <v>2</v>
      </c>
      <c r="G55" s="5">
        <v>0</v>
      </c>
      <c r="H55" s="5">
        <v>0</v>
      </c>
      <c r="I55" s="6">
        <v>7</v>
      </c>
      <c r="J55" s="5">
        <v>7</v>
      </c>
      <c r="K55" s="7">
        <v>0</v>
      </c>
      <c r="L55" s="5">
        <v>0</v>
      </c>
      <c r="M55" s="5">
        <v>1</v>
      </c>
      <c r="N55" s="7">
        <v>7</v>
      </c>
      <c r="O55" s="4">
        <v>0</v>
      </c>
    </row>
    <row r="56" spans="1:15">
      <c r="A56" s="8" t="s">
        <v>47</v>
      </c>
      <c r="B56" s="3" t="s">
        <v>50</v>
      </c>
      <c r="C56" s="3" t="s">
        <v>25</v>
      </c>
      <c r="D56" s="3" t="s">
        <v>20</v>
      </c>
      <c r="E56" s="4">
        <v>10</v>
      </c>
      <c r="F56" s="4">
        <v>2</v>
      </c>
      <c r="G56" s="5">
        <v>0</v>
      </c>
      <c r="H56" s="5">
        <v>0</v>
      </c>
      <c r="I56" s="6">
        <v>1</v>
      </c>
      <c r="J56" s="5">
        <v>1</v>
      </c>
      <c r="K56" s="7">
        <v>0</v>
      </c>
      <c r="L56" s="5">
        <v>0</v>
      </c>
      <c r="M56" s="5">
        <v>0</v>
      </c>
      <c r="N56" s="7">
        <v>1</v>
      </c>
      <c r="O56" s="4">
        <v>0</v>
      </c>
    </row>
    <row r="57" spans="1:15">
      <c r="A57" s="8" t="s">
        <v>47</v>
      </c>
      <c r="B57" s="3" t="s">
        <v>43</v>
      </c>
      <c r="C57" s="3" t="s">
        <v>25</v>
      </c>
      <c r="D57" s="3" t="s">
        <v>20</v>
      </c>
      <c r="E57" s="4">
        <v>5</v>
      </c>
      <c r="F57" s="4">
        <v>4</v>
      </c>
      <c r="G57" s="5">
        <v>0</v>
      </c>
      <c r="H57" s="5">
        <v>0</v>
      </c>
      <c r="I57" s="6">
        <v>1</v>
      </c>
      <c r="J57" s="5">
        <v>1</v>
      </c>
      <c r="K57" s="7">
        <v>0</v>
      </c>
      <c r="L57" s="5">
        <v>1</v>
      </c>
      <c r="M57" s="5">
        <v>1</v>
      </c>
      <c r="N57" s="7">
        <v>1</v>
      </c>
      <c r="O57" s="4">
        <v>0</v>
      </c>
    </row>
    <row r="58" spans="1:15">
      <c r="A58" s="3" t="s">
        <v>51</v>
      </c>
      <c r="B58" s="3" t="s">
        <v>48</v>
      </c>
      <c r="C58" s="3" t="s">
        <v>25</v>
      </c>
      <c r="D58" s="3" t="s">
        <v>20</v>
      </c>
      <c r="E58" s="4">
        <v>10</v>
      </c>
      <c r="F58" s="4">
        <v>2</v>
      </c>
      <c r="G58" s="5">
        <v>1</v>
      </c>
      <c r="H58" s="5">
        <v>0.76</v>
      </c>
      <c r="I58" s="6">
        <v>3</v>
      </c>
      <c r="J58" s="5">
        <v>3</v>
      </c>
      <c r="K58" s="7">
        <v>0</v>
      </c>
      <c r="L58" s="5">
        <v>0</v>
      </c>
      <c r="M58" s="5">
        <v>0</v>
      </c>
      <c r="N58" s="7">
        <v>0</v>
      </c>
      <c r="O58" s="4">
        <v>0</v>
      </c>
    </row>
    <row r="59" spans="1:15">
      <c r="A59" s="8" t="s">
        <v>51</v>
      </c>
      <c r="B59" s="3" t="s">
        <v>42</v>
      </c>
      <c r="C59" s="3" t="s">
        <v>25</v>
      </c>
      <c r="D59" s="3" t="s">
        <v>52</v>
      </c>
      <c r="E59" s="4">
        <v>5</v>
      </c>
      <c r="F59" s="4">
        <v>4</v>
      </c>
      <c r="G59" s="5">
        <v>0</v>
      </c>
      <c r="H59" s="5">
        <v>2.98</v>
      </c>
      <c r="I59" s="6">
        <v>0</v>
      </c>
      <c r="J59" s="5">
        <v>0</v>
      </c>
      <c r="K59" s="7">
        <v>0</v>
      </c>
      <c r="L59" s="5">
        <v>1</v>
      </c>
      <c r="M59" s="5">
        <v>1</v>
      </c>
      <c r="N59" s="7">
        <v>1</v>
      </c>
      <c r="O59" s="4">
        <v>0</v>
      </c>
    </row>
    <row r="60" spans="1:15">
      <c r="A60" s="8" t="s">
        <v>51</v>
      </c>
      <c r="B60" s="3" t="s">
        <v>53</v>
      </c>
      <c r="C60" s="3" t="s">
        <v>25</v>
      </c>
      <c r="D60" s="3" t="s">
        <v>20</v>
      </c>
      <c r="E60" s="4">
        <v>25</v>
      </c>
      <c r="F60" s="4">
        <v>1</v>
      </c>
      <c r="G60" s="5">
        <v>1</v>
      </c>
      <c r="H60" s="5">
        <v>1</v>
      </c>
      <c r="I60" s="6">
        <v>1</v>
      </c>
      <c r="J60" s="5">
        <v>1</v>
      </c>
      <c r="K60" s="7">
        <v>0</v>
      </c>
      <c r="L60" s="5">
        <v>0</v>
      </c>
      <c r="M60" s="5">
        <v>0</v>
      </c>
      <c r="N60" s="7">
        <v>0</v>
      </c>
      <c r="O60" s="4">
        <v>0</v>
      </c>
    </row>
    <row r="61" spans="1:15">
      <c r="A61" s="8" t="s">
        <v>51</v>
      </c>
      <c r="B61" s="3" t="s">
        <v>24</v>
      </c>
      <c r="C61" s="3" t="s">
        <v>25</v>
      </c>
      <c r="D61" s="3" t="s">
        <v>20</v>
      </c>
      <c r="E61" s="4">
        <v>5</v>
      </c>
      <c r="F61" s="4">
        <v>4</v>
      </c>
      <c r="G61" s="5">
        <v>0</v>
      </c>
      <c r="H61" s="5">
        <v>0.15</v>
      </c>
      <c r="I61" s="6">
        <v>0</v>
      </c>
      <c r="J61" s="5">
        <v>0</v>
      </c>
      <c r="K61" s="7">
        <v>0</v>
      </c>
      <c r="L61" s="5">
        <v>2</v>
      </c>
      <c r="M61" s="5">
        <v>4</v>
      </c>
      <c r="N61" s="7">
        <v>7</v>
      </c>
      <c r="O61" s="4">
        <v>0</v>
      </c>
    </row>
    <row r="62" spans="1:15">
      <c r="A62" s="8" t="s">
        <v>51</v>
      </c>
      <c r="B62" s="3" t="s">
        <v>49</v>
      </c>
      <c r="C62" s="3" t="s">
        <v>25</v>
      </c>
      <c r="D62" s="3" t="s">
        <v>20</v>
      </c>
      <c r="E62" s="4">
        <v>10</v>
      </c>
      <c r="F62" s="4">
        <v>2</v>
      </c>
      <c r="G62" s="5">
        <v>0</v>
      </c>
      <c r="H62" s="5">
        <v>0</v>
      </c>
      <c r="I62" s="6">
        <v>6</v>
      </c>
      <c r="J62" s="5">
        <v>6</v>
      </c>
      <c r="K62" s="7">
        <v>0</v>
      </c>
      <c r="L62" s="5">
        <v>1</v>
      </c>
      <c r="M62" s="5">
        <v>2</v>
      </c>
      <c r="N62" s="7">
        <v>6</v>
      </c>
      <c r="O62" s="4">
        <v>0</v>
      </c>
    </row>
    <row r="63" spans="1:15">
      <c r="A63" s="8" t="s">
        <v>51</v>
      </c>
      <c r="B63" s="3" t="s">
        <v>50</v>
      </c>
      <c r="C63" s="3" t="s">
        <v>25</v>
      </c>
      <c r="D63" s="3" t="s">
        <v>20</v>
      </c>
      <c r="E63" s="4">
        <v>10</v>
      </c>
      <c r="F63" s="4">
        <v>2</v>
      </c>
      <c r="G63" s="5">
        <v>0</v>
      </c>
      <c r="H63" s="5">
        <v>0</v>
      </c>
      <c r="I63" s="6">
        <v>0</v>
      </c>
      <c r="J63" s="5">
        <v>0</v>
      </c>
      <c r="K63" s="7">
        <v>0</v>
      </c>
      <c r="L63" s="5">
        <v>2</v>
      </c>
      <c r="M63" s="5">
        <v>2</v>
      </c>
      <c r="N63" s="7">
        <v>2</v>
      </c>
      <c r="O63" s="4">
        <v>0</v>
      </c>
    </row>
    <row r="64" spans="1:15">
      <c r="A64" s="8" t="s">
        <v>51</v>
      </c>
      <c r="B64" s="3" t="s">
        <v>43</v>
      </c>
      <c r="C64" s="3" t="s">
        <v>25</v>
      </c>
      <c r="D64" s="3" t="s">
        <v>20</v>
      </c>
      <c r="E64" s="4">
        <v>5</v>
      </c>
      <c r="F64" s="4">
        <v>4</v>
      </c>
      <c r="G64" s="5">
        <v>0</v>
      </c>
      <c r="H64" s="5">
        <v>2.19</v>
      </c>
      <c r="I64" s="6">
        <v>3</v>
      </c>
      <c r="J64" s="5">
        <v>3</v>
      </c>
      <c r="K64" s="7">
        <v>0</v>
      </c>
      <c r="L64" s="5">
        <v>0</v>
      </c>
      <c r="M64" s="5">
        <v>1</v>
      </c>
      <c r="N64" s="7">
        <v>1</v>
      </c>
      <c r="O64" s="4">
        <v>0</v>
      </c>
    </row>
    <row r="65" spans="1:15">
      <c r="A65" s="3" t="s">
        <v>54</v>
      </c>
      <c r="B65" s="3" t="s">
        <v>48</v>
      </c>
      <c r="C65" s="3" t="s">
        <v>25</v>
      </c>
      <c r="D65" s="3" t="s">
        <v>20</v>
      </c>
      <c r="E65" s="4">
        <v>10</v>
      </c>
      <c r="F65" s="4">
        <v>2</v>
      </c>
      <c r="G65" s="5">
        <v>0</v>
      </c>
      <c r="H65" s="5">
        <v>0.76</v>
      </c>
      <c r="I65" s="6">
        <v>2</v>
      </c>
      <c r="J65" s="5">
        <v>3</v>
      </c>
      <c r="K65" s="7">
        <v>0</v>
      </c>
      <c r="L65" s="5">
        <v>0</v>
      </c>
      <c r="M65" s="5">
        <v>0</v>
      </c>
      <c r="N65" s="7">
        <v>0</v>
      </c>
      <c r="O65" s="4">
        <v>0</v>
      </c>
    </row>
    <row r="66" spans="1:15">
      <c r="A66" s="8" t="s">
        <v>54</v>
      </c>
      <c r="B66" s="3" t="s">
        <v>42</v>
      </c>
      <c r="C66" s="3" t="s">
        <v>25</v>
      </c>
      <c r="D66" s="3" t="s">
        <v>20</v>
      </c>
      <c r="E66" s="4">
        <v>5</v>
      </c>
      <c r="F66" s="4">
        <v>4</v>
      </c>
      <c r="G66" s="5">
        <v>2</v>
      </c>
      <c r="H66" s="5">
        <v>1.8</v>
      </c>
      <c r="I66" s="6">
        <v>2</v>
      </c>
      <c r="J66" s="5">
        <v>2</v>
      </c>
      <c r="K66" s="7">
        <v>0</v>
      </c>
      <c r="L66" s="5">
        <v>0</v>
      </c>
      <c r="M66" s="5">
        <v>0</v>
      </c>
      <c r="N66" s="7">
        <v>0</v>
      </c>
      <c r="O66" s="4">
        <v>0</v>
      </c>
    </row>
    <row r="67" spans="1:15">
      <c r="A67" s="8" t="s">
        <v>54</v>
      </c>
      <c r="B67" s="3" t="s">
        <v>24</v>
      </c>
      <c r="C67" s="3" t="s">
        <v>25</v>
      </c>
      <c r="D67" s="3" t="s">
        <v>20</v>
      </c>
      <c r="E67" s="4">
        <v>5</v>
      </c>
      <c r="F67" s="4">
        <v>4</v>
      </c>
      <c r="G67" s="5">
        <v>0</v>
      </c>
      <c r="H67" s="5">
        <v>0</v>
      </c>
      <c r="I67" s="6">
        <v>7</v>
      </c>
      <c r="J67" s="5">
        <v>8</v>
      </c>
      <c r="K67" s="7">
        <v>0</v>
      </c>
      <c r="L67" s="5">
        <v>3</v>
      </c>
      <c r="M67" s="5">
        <v>12</v>
      </c>
      <c r="N67" s="7">
        <v>25</v>
      </c>
      <c r="O67" s="4">
        <v>0</v>
      </c>
    </row>
    <row r="68" spans="1:15">
      <c r="A68" s="8" t="s">
        <v>54</v>
      </c>
      <c r="B68" s="3" t="s">
        <v>49</v>
      </c>
      <c r="C68" s="3" t="s">
        <v>25</v>
      </c>
      <c r="D68" s="3" t="s">
        <v>20</v>
      </c>
      <c r="E68" s="4">
        <v>10</v>
      </c>
      <c r="F68" s="4">
        <v>2</v>
      </c>
      <c r="G68" s="5">
        <v>0</v>
      </c>
      <c r="H68" s="5">
        <v>0</v>
      </c>
      <c r="I68" s="6">
        <v>8</v>
      </c>
      <c r="J68" s="5">
        <v>8</v>
      </c>
      <c r="K68" s="7">
        <v>0</v>
      </c>
      <c r="L68" s="5">
        <v>0</v>
      </c>
      <c r="M68" s="5">
        <v>2</v>
      </c>
      <c r="N68" s="7">
        <v>5</v>
      </c>
      <c r="O68" s="4">
        <v>0</v>
      </c>
    </row>
    <row r="69" spans="1:15">
      <c r="A69" s="8" t="s">
        <v>54</v>
      </c>
      <c r="B69" s="3" t="s">
        <v>43</v>
      </c>
      <c r="C69" s="3" t="s">
        <v>25</v>
      </c>
      <c r="D69" s="3" t="s">
        <v>52</v>
      </c>
      <c r="E69" s="4">
        <v>5</v>
      </c>
      <c r="F69" s="4">
        <v>4</v>
      </c>
      <c r="G69" s="5">
        <v>0</v>
      </c>
      <c r="H69" s="5">
        <v>0.75</v>
      </c>
      <c r="I69" s="6">
        <v>0</v>
      </c>
      <c r="J69" s="5">
        <v>0</v>
      </c>
      <c r="K69" s="7">
        <v>0</v>
      </c>
      <c r="L69" s="5">
        <v>0</v>
      </c>
      <c r="M69" s="5">
        <v>2</v>
      </c>
      <c r="N69" s="7">
        <v>3</v>
      </c>
      <c r="O69" s="4">
        <v>0</v>
      </c>
    </row>
    <row r="70" spans="1:15">
      <c r="A70" s="3" t="s">
        <v>55</v>
      </c>
      <c r="B70" s="3" t="s">
        <v>48</v>
      </c>
      <c r="C70" s="3" t="s">
        <v>25</v>
      </c>
      <c r="D70" s="3" t="s">
        <v>20</v>
      </c>
      <c r="E70" s="4">
        <v>10</v>
      </c>
      <c r="F70" s="4">
        <v>2</v>
      </c>
      <c r="G70" s="5">
        <v>0</v>
      </c>
      <c r="H70" s="5">
        <v>0</v>
      </c>
      <c r="I70" s="6">
        <v>3</v>
      </c>
      <c r="J70" s="5">
        <v>3</v>
      </c>
      <c r="K70" s="7">
        <v>1</v>
      </c>
      <c r="L70" s="5">
        <v>1</v>
      </c>
      <c r="M70" s="5">
        <v>1</v>
      </c>
      <c r="N70" s="7">
        <v>2</v>
      </c>
      <c r="O70" s="4">
        <v>0</v>
      </c>
    </row>
    <row r="71" spans="1:15">
      <c r="A71" s="8" t="s">
        <v>55</v>
      </c>
      <c r="B71" s="3" t="s">
        <v>56</v>
      </c>
      <c r="C71" s="3" t="s">
        <v>25</v>
      </c>
      <c r="D71" s="3" t="s">
        <v>20</v>
      </c>
      <c r="E71" s="4">
        <v>5</v>
      </c>
      <c r="F71" s="4">
        <v>4</v>
      </c>
      <c r="G71" s="5">
        <v>0</v>
      </c>
      <c r="H71" s="5">
        <v>4</v>
      </c>
      <c r="I71" s="6">
        <v>4</v>
      </c>
      <c r="J71" s="5">
        <v>4</v>
      </c>
      <c r="K71" s="7">
        <v>0</v>
      </c>
      <c r="L71" s="5">
        <v>0</v>
      </c>
      <c r="M71" s="5">
        <v>0</v>
      </c>
      <c r="N71" s="7">
        <v>0</v>
      </c>
      <c r="O71" s="4">
        <v>0</v>
      </c>
    </row>
    <row r="72" spans="1:15">
      <c r="A72" s="8" t="s">
        <v>55</v>
      </c>
      <c r="B72" s="3" t="s">
        <v>42</v>
      </c>
      <c r="C72" s="3" t="s">
        <v>25</v>
      </c>
      <c r="D72" s="3" t="s">
        <v>20</v>
      </c>
      <c r="E72" s="4">
        <v>5</v>
      </c>
      <c r="F72" s="4">
        <v>4</v>
      </c>
      <c r="G72" s="5">
        <v>1</v>
      </c>
      <c r="H72" s="5">
        <v>0</v>
      </c>
      <c r="I72" s="6">
        <v>1</v>
      </c>
      <c r="J72" s="5">
        <v>1</v>
      </c>
      <c r="K72" s="7">
        <v>0</v>
      </c>
      <c r="L72" s="5">
        <v>0</v>
      </c>
      <c r="M72" s="5">
        <v>0</v>
      </c>
      <c r="N72" s="7">
        <v>1</v>
      </c>
      <c r="O72" s="4">
        <v>0</v>
      </c>
    </row>
    <row r="73" spans="1:15">
      <c r="A73" s="8" t="s">
        <v>55</v>
      </c>
      <c r="B73" s="3" t="s">
        <v>24</v>
      </c>
      <c r="C73" s="3" t="s">
        <v>25</v>
      </c>
      <c r="D73" s="3" t="s">
        <v>20</v>
      </c>
      <c r="E73" s="4">
        <v>5</v>
      </c>
      <c r="F73" s="4">
        <v>4</v>
      </c>
      <c r="G73" s="5">
        <v>0</v>
      </c>
      <c r="H73" s="5">
        <v>0</v>
      </c>
      <c r="I73" s="6">
        <v>9</v>
      </c>
      <c r="J73" s="5">
        <v>9</v>
      </c>
      <c r="K73" s="7">
        <v>0</v>
      </c>
      <c r="L73" s="5">
        <v>0</v>
      </c>
      <c r="M73" s="5">
        <v>2</v>
      </c>
      <c r="N73" s="7">
        <v>10</v>
      </c>
      <c r="O73" s="4">
        <v>0</v>
      </c>
    </row>
    <row r="74" spans="1:15">
      <c r="A74" s="8" t="s">
        <v>55</v>
      </c>
      <c r="B74" s="3" t="s">
        <v>49</v>
      </c>
      <c r="C74" s="3" t="s">
        <v>25</v>
      </c>
      <c r="D74" s="3" t="s">
        <v>20</v>
      </c>
      <c r="E74" s="4">
        <v>10</v>
      </c>
      <c r="F74" s="4">
        <v>2</v>
      </c>
      <c r="G74" s="5">
        <v>0</v>
      </c>
      <c r="H74" s="5">
        <v>0</v>
      </c>
      <c r="I74" s="6">
        <v>7</v>
      </c>
      <c r="J74" s="5">
        <v>7</v>
      </c>
      <c r="K74" s="7">
        <v>0</v>
      </c>
      <c r="L74" s="5">
        <v>7</v>
      </c>
      <c r="M74" s="5">
        <v>7</v>
      </c>
      <c r="N74" s="7">
        <v>17</v>
      </c>
      <c r="O74" s="4">
        <v>0</v>
      </c>
    </row>
    <row r="75" spans="1:15">
      <c r="A75" s="8" t="s">
        <v>55</v>
      </c>
      <c r="B75" s="3" t="s">
        <v>50</v>
      </c>
      <c r="C75" s="3" t="s">
        <v>25</v>
      </c>
      <c r="D75" s="3" t="s">
        <v>20</v>
      </c>
      <c r="E75" s="4">
        <v>10</v>
      </c>
      <c r="F75" s="4">
        <v>2</v>
      </c>
      <c r="G75" s="5">
        <v>0</v>
      </c>
      <c r="H75" s="5">
        <v>0</v>
      </c>
      <c r="I75" s="6">
        <v>1</v>
      </c>
      <c r="J75" s="5">
        <v>1</v>
      </c>
      <c r="K75" s="7">
        <v>0</v>
      </c>
      <c r="L75" s="5">
        <v>1</v>
      </c>
      <c r="M75" s="5">
        <v>1</v>
      </c>
      <c r="N75" s="7">
        <v>1</v>
      </c>
      <c r="O75" s="4">
        <v>0</v>
      </c>
    </row>
    <row r="76" spans="1:15">
      <c r="A76" s="8" t="s">
        <v>55</v>
      </c>
      <c r="B76" s="3" t="s">
        <v>43</v>
      </c>
      <c r="C76" s="3" t="s">
        <v>25</v>
      </c>
      <c r="D76" s="3" t="s">
        <v>20</v>
      </c>
      <c r="E76" s="4">
        <v>5</v>
      </c>
      <c r="F76" s="4">
        <v>4</v>
      </c>
      <c r="G76" s="5">
        <v>0</v>
      </c>
      <c r="H76" s="5">
        <v>2.8</v>
      </c>
      <c r="I76" s="6">
        <v>3</v>
      </c>
      <c r="J76" s="5">
        <v>3</v>
      </c>
      <c r="K76" s="7">
        <v>0</v>
      </c>
      <c r="L76" s="5">
        <v>0</v>
      </c>
      <c r="M76" s="5">
        <v>0</v>
      </c>
      <c r="N76" s="7">
        <v>0</v>
      </c>
      <c r="O76" s="4">
        <v>0</v>
      </c>
    </row>
    <row r="77" spans="1:15">
      <c r="A77" s="3" t="s">
        <v>57</v>
      </c>
      <c r="B77" s="3" t="s">
        <v>48</v>
      </c>
      <c r="C77" s="3" t="s">
        <v>25</v>
      </c>
      <c r="D77" s="3" t="s">
        <v>20</v>
      </c>
      <c r="E77" s="4">
        <v>10</v>
      </c>
      <c r="F77" s="4">
        <v>2</v>
      </c>
      <c r="G77" s="5">
        <v>0</v>
      </c>
      <c r="H77" s="5">
        <v>0</v>
      </c>
      <c r="I77" s="6">
        <v>4</v>
      </c>
      <c r="J77" s="5">
        <v>4</v>
      </c>
      <c r="K77" s="7">
        <v>0</v>
      </c>
      <c r="L77" s="5">
        <v>0</v>
      </c>
      <c r="M77" s="5">
        <v>2</v>
      </c>
      <c r="N77" s="7">
        <v>2</v>
      </c>
      <c r="O77" s="4">
        <v>0</v>
      </c>
    </row>
    <row r="78" spans="1:15">
      <c r="A78" s="8" t="s">
        <v>57</v>
      </c>
      <c r="B78" s="3" t="s">
        <v>42</v>
      </c>
      <c r="C78" s="3" t="s">
        <v>25</v>
      </c>
      <c r="D78" s="3" t="s">
        <v>52</v>
      </c>
      <c r="E78" s="4">
        <v>5</v>
      </c>
      <c r="F78" s="4">
        <v>4</v>
      </c>
      <c r="G78" s="5">
        <v>0</v>
      </c>
      <c r="H78" s="5">
        <v>0</v>
      </c>
      <c r="I78" s="6">
        <v>4</v>
      </c>
      <c r="J78" s="5">
        <v>4</v>
      </c>
      <c r="K78" s="7">
        <v>0</v>
      </c>
      <c r="L78" s="5">
        <v>2</v>
      </c>
      <c r="M78" s="5">
        <v>2</v>
      </c>
      <c r="N78" s="7">
        <v>4</v>
      </c>
      <c r="O78" s="4">
        <v>0</v>
      </c>
    </row>
    <row r="79" spans="1:15">
      <c r="A79" s="8" t="s">
        <v>57</v>
      </c>
      <c r="B79" s="3" t="s">
        <v>24</v>
      </c>
      <c r="C79" s="3" t="s">
        <v>25</v>
      </c>
      <c r="D79" s="3" t="s">
        <v>52</v>
      </c>
      <c r="E79" s="4">
        <v>5</v>
      </c>
      <c r="F79" s="4">
        <v>4</v>
      </c>
      <c r="G79" s="5">
        <v>0</v>
      </c>
      <c r="H79" s="5">
        <v>0</v>
      </c>
      <c r="I79" s="6">
        <v>26</v>
      </c>
      <c r="J79" s="5">
        <v>26</v>
      </c>
      <c r="K79" s="7">
        <v>0</v>
      </c>
      <c r="L79" s="5">
        <v>2</v>
      </c>
      <c r="M79" s="5">
        <v>20</v>
      </c>
      <c r="N79" s="7">
        <v>40</v>
      </c>
      <c r="O79" s="4">
        <v>0</v>
      </c>
    </row>
    <row r="80" spans="1:15">
      <c r="A80" s="8" t="s">
        <v>57</v>
      </c>
      <c r="B80" s="3" t="s">
        <v>49</v>
      </c>
      <c r="C80" s="3" t="s">
        <v>25</v>
      </c>
      <c r="D80" s="3" t="s">
        <v>20</v>
      </c>
      <c r="E80" s="4">
        <v>10</v>
      </c>
      <c r="F80" s="4">
        <v>2</v>
      </c>
      <c r="G80" s="5">
        <v>0</v>
      </c>
      <c r="H80" s="5">
        <v>0</v>
      </c>
      <c r="I80" s="6">
        <v>25</v>
      </c>
      <c r="J80" s="5">
        <v>25</v>
      </c>
      <c r="K80" s="7">
        <v>0</v>
      </c>
      <c r="L80" s="5">
        <v>2</v>
      </c>
      <c r="M80" s="5">
        <v>6</v>
      </c>
      <c r="N80" s="7">
        <v>26</v>
      </c>
      <c r="O80" s="4">
        <v>0</v>
      </c>
    </row>
    <row r="81" spans="1:15">
      <c r="A81" s="8" t="s">
        <v>57</v>
      </c>
      <c r="B81" s="3" t="s">
        <v>50</v>
      </c>
      <c r="C81" s="3" t="s">
        <v>25</v>
      </c>
      <c r="D81" s="3" t="s">
        <v>20</v>
      </c>
      <c r="E81" s="4">
        <v>10</v>
      </c>
      <c r="F81" s="4">
        <v>2</v>
      </c>
      <c r="G81" s="5">
        <v>0</v>
      </c>
      <c r="H81" s="5">
        <v>0.17</v>
      </c>
      <c r="I81" s="6">
        <v>2</v>
      </c>
      <c r="J81" s="5">
        <v>2</v>
      </c>
      <c r="K81" s="7">
        <v>0</v>
      </c>
      <c r="L81" s="5">
        <v>0</v>
      </c>
      <c r="M81" s="5">
        <v>0</v>
      </c>
      <c r="N81" s="7">
        <v>1</v>
      </c>
      <c r="O81" s="4">
        <v>0</v>
      </c>
    </row>
    <row r="82" spans="1:15">
      <c r="A82" s="8" t="s">
        <v>57</v>
      </c>
      <c r="B82" s="3" t="s">
        <v>43</v>
      </c>
      <c r="C82" s="3" t="s">
        <v>25</v>
      </c>
      <c r="D82" s="3" t="s">
        <v>20</v>
      </c>
      <c r="E82" s="4">
        <v>5</v>
      </c>
      <c r="F82" s="4">
        <v>4</v>
      </c>
      <c r="G82" s="5">
        <v>0</v>
      </c>
      <c r="H82" s="5">
        <v>0</v>
      </c>
      <c r="I82" s="6">
        <v>1</v>
      </c>
      <c r="J82" s="5">
        <v>1</v>
      </c>
      <c r="K82" s="7">
        <v>0</v>
      </c>
      <c r="L82" s="5">
        <v>1</v>
      </c>
      <c r="M82" s="5">
        <v>1</v>
      </c>
      <c r="N82" s="7">
        <v>1</v>
      </c>
      <c r="O82" s="4">
        <v>0</v>
      </c>
    </row>
    <row r="83" spans="1:15">
      <c r="A83" s="3" t="s">
        <v>58</v>
      </c>
      <c r="B83" s="3" t="s">
        <v>59</v>
      </c>
      <c r="C83" s="3" t="s">
        <v>17</v>
      </c>
      <c r="D83" s="3" t="s">
        <v>20</v>
      </c>
      <c r="E83" s="4">
        <v>2.5</v>
      </c>
      <c r="F83" s="4">
        <v>1</v>
      </c>
      <c r="G83" s="5">
        <v>0</v>
      </c>
      <c r="H83" s="5">
        <v>0</v>
      </c>
      <c r="I83" s="6">
        <v>118</v>
      </c>
      <c r="J83" s="5">
        <v>118</v>
      </c>
      <c r="K83" s="7">
        <v>1</v>
      </c>
      <c r="L83" s="5">
        <v>9</v>
      </c>
      <c r="M83" s="5">
        <v>30</v>
      </c>
      <c r="N83" s="7">
        <v>45</v>
      </c>
      <c r="O83" s="4">
        <v>136</v>
      </c>
    </row>
    <row r="84" spans="1:15">
      <c r="A84" s="8" t="s">
        <v>58</v>
      </c>
      <c r="B84" s="3" t="s">
        <v>60</v>
      </c>
      <c r="C84" s="3" t="s">
        <v>17</v>
      </c>
      <c r="D84" s="3" t="s">
        <v>20</v>
      </c>
      <c r="E84" s="4">
        <v>10</v>
      </c>
      <c r="F84" s="4">
        <v>1</v>
      </c>
      <c r="G84" s="5">
        <v>0</v>
      </c>
      <c r="H84" s="5">
        <v>0</v>
      </c>
      <c r="I84" s="6">
        <v>38</v>
      </c>
      <c r="J84" s="5">
        <v>38</v>
      </c>
      <c r="K84" s="7">
        <v>7</v>
      </c>
      <c r="L84" s="5">
        <v>20</v>
      </c>
      <c r="M84" s="5">
        <v>33</v>
      </c>
      <c r="N84" s="7">
        <v>52</v>
      </c>
      <c r="O84" s="4">
        <v>19</v>
      </c>
    </row>
    <row r="85" spans="1:15">
      <c r="A85" s="8" t="s">
        <v>58</v>
      </c>
      <c r="B85" s="3" t="s">
        <v>38</v>
      </c>
      <c r="C85" s="3" t="s">
        <v>25</v>
      </c>
      <c r="D85" s="3" t="s">
        <v>20</v>
      </c>
      <c r="E85" s="4">
        <v>5</v>
      </c>
      <c r="F85" s="4">
        <v>4</v>
      </c>
      <c r="G85" s="5">
        <v>0</v>
      </c>
      <c r="H85" s="5">
        <v>2.7</v>
      </c>
      <c r="I85" s="6">
        <v>9</v>
      </c>
      <c r="J85" s="5">
        <v>9</v>
      </c>
      <c r="K85" s="7">
        <v>0</v>
      </c>
      <c r="L85" s="5">
        <v>0</v>
      </c>
      <c r="M85" s="5">
        <v>1</v>
      </c>
      <c r="N85" s="7">
        <v>3</v>
      </c>
      <c r="O85" s="4">
        <v>0</v>
      </c>
    </row>
    <row r="86" spans="1:15">
      <c r="A86" s="8" t="s">
        <v>58</v>
      </c>
      <c r="B86" s="3" t="s">
        <v>16</v>
      </c>
      <c r="C86" s="3" t="s">
        <v>17</v>
      </c>
      <c r="D86" s="3" t="s">
        <v>20</v>
      </c>
      <c r="E86" s="4">
        <v>5</v>
      </c>
      <c r="F86" s="4">
        <v>1</v>
      </c>
      <c r="G86" s="5">
        <v>0</v>
      </c>
      <c r="H86" s="5">
        <v>0</v>
      </c>
      <c r="I86" s="6">
        <v>142</v>
      </c>
      <c r="J86" s="5">
        <v>142</v>
      </c>
      <c r="K86" s="7">
        <v>5</v>
      </c>
      <c r="L86" s="5">
        <v>23</v>
      </c>
      <c r="M86" s="5">
        <v>47</v>
      </c>
      <c r="N86" s="7">
        <v>90</v>
      </c>
      <c r="O86" s="4">
        <v>54</v>
      </c>
    </row>
    <row r="87" spans="1:15">
      <c r="A87" s="8" t="s">
        <v>58</v>
      </c>
      <c r="B87" s="3" t="s">
        <v>61</v>
      </c>
      <c r="C87" s="3" t="s">
        <v>17</v>
      </c>
      <c r="D87" s="3" t="s">
        <v>20</v>
      </c>
      <c r="E87" s="4">
        <v>10</v>
      </c>
      <c r="F87" s="4">
        <v>1</v>
      </c>
      <c r="G87" s="5">
        <v>0</v>
      </c>
      <c r="H87" s="5">
        <v>22.59</v>
      </c>
      <c r="I87" s="6">
        <v>61</v>
      </c>
      <c r="J87" s="5">
        <v>61</v>
      </c>
      <c r="K87" s="7">
        <v>0</v>
      </c>
      <c r="L87" s="5">
        <v>4</v>
      </c>
      <c r="M87" s="5">
        <v>6</v>
      </c>
      <c r="N87" s="7">
        <v>19</v>
      </c>
      <c r="O87" s="4">
        <v>0</v>
      </c>
    </row>
    <row r="88" spans="1:15">
      <c r="A88" s="8" t="s">
        <v>58</v>
      </c>
      <c r="B88" s="3" t="s">
        <v>62</v>
      </c>
      <c r="C88" s="3" t="s">
        <v>17</v>
      </c>
      <c r="D88" s="3" t="s">
        <v>20</v>
      </c>
      <c r="E88" s="4">
        <v>10</v>
      </c>
      <c r="F88" s="4">
        <v>1</v>
      </c>
      <c r="G88" s="5">
        <v>0</v>
      </c>
      <c r="H88" s="5">
        <v>13.24</v>
      </c>
      <c r="I88" s="6">
        <v>97</v>
      </c>
      <c r="J88" s="5">
        <v>98</v>
      </c>
      <c r="K88" s="7">
        <v>0</v>
      </c>
      <c r="L88" s="5">
        <v>9</v>
      </c>
      <c r="M88" s="5">
        <v>20</v>
      </c>
      <c r="N88" s="7">
        <v>56</v>
      </c>
      <c r="O88" s="4">
        <v>0</v>
      </c>
    </row>
    <row r="89" spans="1:15">
      <c r="A89" s="8" t="s">
        <v>58</v>
      </c>
      <c r="B89" s="3" t="s">
        <v>19</v>
      </c>
      <c r="C89" s="3" t="s">
        <v>17</v>
      </c>
      <c r="D89" s="3" t="s">
        <v>20</v>
      </c>
      <c r="E89" s="4">
        <v>5</v>
      </c>
      <c r="F89" s="4">
        <v>1</v>
      </c>
      <c r="G89" s="5">
        <v>0</v>
      </c>
      <c r="H89" s="5">
        <v>0</v>
      </c>
      <c r="I89" s="6">
        <v>586</v>
      </c>
      <c r="J89" s="5">
        <v>587</v>
      </c>
      <c r="K89" s="7">
        <v>14</v>
      </c>
      <c r="L89" s="5">
        <v>189</v>
      </c>
      <c r="M89" s="5">
        <v>335</v>
      </c>
      <c r="N89" s="7">
        <v>532</v>
      </c>
      <c r="O89" s="4">
        <v>347</v>
      </c>
    </row>
    <row r="90" spans="1:15">
      <c r="A90" s="8" t="s">
        <v>58</v>
      </c>
      <c r="B90" s="3" t="s">
        <v>63</v>
      </c>
      <c r="C90" s="3" t="s">
        <v>17</v>
      </c>
      <c r="D90" s="3" t="s">
        <v>20</v>
      </c>
      <c r="E90" s="4">
        <v>25</v>
      </c>
      <c r="F90" s="4">
        <v>1</v>
      </c>
      <c r="G90" s="5">
        <v>0</v>
      </c>
      <c r="H90" s="5">
        <v>0</v>
      </c>
      <c r="I90" s="6">
        <v>105</v>
      </c>
      <c r="J90" s="5">
        <v>105</v>
      </c>
      <c r="K90" s="7">
        <v>3</v>
      </c>
      <c r="L90" s="5">
        <v>22</v>
      </c>
      <c r="M90" s="5">
        <v>29</v>
      </c>
      <c r="N90" s="7">
        <v>55</v>
      </c>
      <c r="O90" s="4">
        <v>201</v>
      </c>
    </row>
    <row r="91" spans="1:15">
      <c r="A91" s="8" t="s">
        <v>58</v>
      </c>
      <c r="B91" s="3" t="s">
        <v>64</v>
      </c>
      <c r="C91" s="3" t="s">
        <v>17</v>
      </c>
      <c r="D91" s="3" t="s">
        <v>20</v>
      </c>
      <c r="E91" s="4">
        <v>10</v>
      </c>
      <c r="F91" s="4">
        <v>1</v>
      </c>
      <c r="G91" s="5">
        <v>0</v>
      </c>
      <c r="H91" s="5">
        <v>0</v>
      </c>
      <c r="I91" s="6">
        <v>132</v>
      </c>
      <c r="J91" s="5">
        <v>132</v>
      </c>
      <c r="K91" s="7">
        <v>4</v>
      </c>
      <c r="L91" s="5">
        <v>36</v>
      </c>
      <c r="M91" s="5">
        <v>60</v>
      </c>
      <c r="N91" s="7">
        <v>117</v>
      </c>
      <c r="O91" s="4">
        <v>28</v>
      </c>
    </row>
    <row r="92" spans="1:15">
      <c r="A92" s="8" t="s">
        <v>58</v>
      </c>
      <c r="B92" s="3" t="s">
        <v>23</v>
      </c>
      <c r="C92" s="3" t="s">
        <v>17</v>
      </c>
      <c r="D92" s="3" t="s">
        <v>20</v>
      </c>
      <c r="E92" s="4">
        <v>5</v>
      </c>
      <c r="F92" s="4">
        <v>5</v>
      </c>
      <c r="G92" s="5">
        <v>0</v>
      </c>
      <c r="H92" s="5">
        <v>5.24</v>
      </c>
      <c r="I92" s="6">
        <v>40</v>
      </c>
      <c r="J92" s="5">
        <v>40</v>
      </c>
      <c r="K92" s="7">
        <v>1</v>
      </c>
      <c r="L92" s="5">
        <v>5</v>
      </c>
      <c r="M92" s="5">
        <v>6</v>
      </c>
      <c r="N92" s="7">
        <v>21</v>
      </c>
      <c r="O92" s="4">
        <v>5</v>
      </c>
    </row>
    <row r="93" spans="1:15">
      <c r="A93" s="8" t="s">
        <v>58</v>
      </c>
      <c r="B93" s="3" t="s">
        <v>65</v>
      </c>
      <c r="C93" s="3" t="s">
        <v>17</v>
      </c>
      <c r="D93" s="3" t="s">
        <v>20</v>
      </c>
      <c r="E93" s="4">
        <v>2.5</v>
      </c>
      <c r="F93" s="4">
        <v>1</v>
      </c>
      <c r="G93" s="5">
        <v>0</v>
      </c>
      <c r="H93" s="5">
        <v>0</v>
      </c>
      <c r="I93" s="6">
        <v>249</v>
      </c>
      <c r="J93" s="5">
        <v>250</v>
      </c>
      <c r="K93" s="7">
        <v>0</v>
      </c>
      <c r="L93" s="5">
        <v>9</v>
      </c>
      <c r="M93" s="5">
        <v>39</v>
      </c>
      <c r="N93" s="7">
        <v>50</v>
      </c>
      <c r="O93" s="4">
        <v>0</v>
      </c>
    </row>
    <row r="94" spans="1:15">
      <c r="A94" s="8" t="s">
        <v>58</v>
      </c>
      <c r="B94" s="3" t="s">
        <v>21</v>
      </c>
      <c r="C94" s="3" t="s">
        <v>17</v>
      </c>
      <c r="D94" s="3" t="s">
        <v>20</v>
      </c>
      <c r="E94" s="4">
        <v>5</v>
      </c>
      <c r="F94" s="4">
        <v>1</v>
      </c>
      <c r="G94" s="5">
        <v>0</v>
      </c>
      <c r="H94" s="5">
        <v>0</v>
      </c>
      <c r="I94" s="6">
        <v>98</v>
      </c>
      <c r="J94" s="5">
        <v>99</v>
      </c>
      <c r="K94" s="7">
        <v>5</v>
      </c>
      <c r="L94" s="5">
        <v>20</v>
      </c>
      <c r="M94" s="5">
        <v>31</v>
      </c>
      <c r="N94" s="7">
        <v>80</v>
      </c>
      <c r="O94" s="4">
        <v>11</v>
      </c>
    </row>
    <row r="95" spans="1:15">
      <c r="A95" s="8" t="s">
        <v>58</v>
      </c>
      <c r="B95" s="3" t="s">
        <v>66</v>
      </c>
      <c r="C95" s="3" t="s">
        <v>25</v>
      </c>
      <c r="D95" s="3" t="s">
        <v>20</v>
      </c>
      <c r="E95" s="4">
        <v>10</v>
      </c>
      <c r="F95" s="4">
        <v>1</v>
      </c>
      <c r="G95" s="5">
        <v>0</v>
      </c>
      <c r="H95" s="5">
        <v>0</v>
      </c>
      <c r="I95" s="6">
        <v>89</v>
      </c>
      <c r="J95" s="5">
        <v>89</v>
      </c>
      <c r="K95" s="7">
        <v>6</v>
      </c>
      <c r="L95" s="5">
        <v>8</v>
      </c>
      <c r="M95" s="5">
        <v>25</v>
      </c>
      <c r="N95" s="7">
        <v>54</v>
      </c>
      <c r="O95" s="4">
        <v>0</v>
      </c>
    </row>
    <row r="96" spans="1:15">
      <c r="A96" s="8" t="s">
        <v>58</v>
      </c>
      <c r="B96" s="3" t="s">
        <v>39</v>
      </c>
      <c r="C96" s="3" t="s">
        <v>25</v>
      </c>
      <c r="D96" s="3" t="s">
        <v>20</v>
      </c>
      <c r="E96" s="4">
        <v>2.5</v>
      </c>
      <c r="F96" s="4">
        <v>1</v>
      </c>
      <c r="G96" s="5">
        <v>0</v>
      </c>
      <c r="H96" s="5">
        <v>0</v>
      </c>
      <c r="I96" s="6">
        <v>12</v>
      </c>
      <c r="J96" s="5">
        <v>12</v>
      </c>
      <c r="K96" s="7">
        <v>0</v>
      </c>
      <c r="L96" s="5">
        <v>0</v>
      </c>
      <c r="M96" s="5">
        <v>0</v>
      </c>
      <c r="N96" s="7">
        <v>0</v>
      </c>
      <c r="O96" s="4">
        <v>0</v>
      </c>
    </row>
    <row r="97" spans="1:15">
      <c r="A97" s="8" t="s">
        <v>58</v>
      </c>
      <c r="B97" s="3" t="s">
        <v>40</v>
      </c>
      <c r="C97" s="3" t="s">
        <v>25</v>
      </c>
      <c r="D97" s="3" t="s">
        <v>20</v>
      </c>
      <c r="E97" s="4">
        <v>5</v>
      </c>
      <c r="F97" s="4">
        <v>4</v>
      </c>
      <c r="G97" s="5">
        <v>0</v>
      </c>
      <c r="H97" s="5">
        <v>0</v>
      </c>
      <c r="I97" s="6">
        <v>12</v>
      </c>
      <c r="J97" s="5">
        <v>12</v>
      </c>
      <c r="K97" s="7">
        <v>0</v>
      </c>
      <c r="L97" s="5">
        <v>4</v>
      </c>
      <c r="M97" s="5">
        <v>5</v>
      </c>
      <c r="N97" s="7">
        <v>13</v>
      </c>
      <c r="O97" s="4">
        <v>0</v>
      </c>
    </row>
    <row r="98" spans="1:15">
      <c r="A98" s="8" t="s">
        <v>58</v>
      </c>
      <c r="B98" s="3" t="s">
        <v>48</v>
      </c>
      <c r="C98" s="3" t="s">
        <v>25</v>
      </c>
      <c r="D98" s="3" t="s">
        <v>20</v>
      </c>
      <c r="E98" s="4">
        <v>10</v>
      </c>
      <c r="F98" s="4">
        <v>2</v>
      </c>
      <c r="G98" s="5">
        <v>0</v>
      </c>
      <c r="H98" s="5">
        <v>3.11</v>
      </c>
      <c r="I98" s="6">
        <v>9</v>
      </c>
      <c r="J98" s="5">
        <v>9</v>
      </c>
      <c r="K98" s="7">
        <v>0</v>
      </c>
      <c r="L98" s="5">
        <v>1</v>
      </c>
      <c r="M98" s="5">
        <v>2</v>
      </c>
      <c r="N98" s="7">
        <v>4</v>
      </c>
      <c r="O98" s="4">
        <v>0</v>
      </c>
    </row>
    <row r="99" spans="1:15">
      <c r="A99" s="8" t="s">
        <v>58</v>
      </c>
      <c r="B99" s="3" t="s">
        <v>53</v>
      </c>
      <c r="C99" s="3" t="s">
        <v>25</v>
      </c>
      <c r="D99" s="3" t="s">
        <v>20</v>
      </c>
      <c r="E99" s="4">
        <v>25</v>
      </c>
      <c r="F99" s="4">
        <v>1</v>
      </c>
      <c r="G99" s="5">
        <v>0</v>
      </c>
      <c r="H99" s="5">
        <v>0</v>
      </c>
      <c r="I99" s="6">
        <v>2</v>
      </c>
      <c r="J99" s="5">
        <v>2</v>
      </c>
      <c r="K99" s="7">
        <v>0</v>
      </c>
      <c r="L99" s="5">
        <v>1</v>
      </c>
      <c r="M99" s="5">
        <v>1</v>
      </c>
      <c r="N99" s="7">
        <v>3</v>
      </c>
      <c r="O99" s="4">
        <v>0</v>
      </c>
    </row>
    <row r="100" spans="1:15">
      <c r="A100" s="8" t="s">
        <v>58</v>
      </c>
      <c r="B100" s="3" t="s">
        <v>24</v>
      </c>
      <c r="C100" s="3" t="s">
        <v>25</v>
      </c>
      <c r="D100" s="3" t="s">
        <v>20</v>
      </c>
      <c r="E100" s="4">
        <v>5</v>
      </c>
      <c r="F100" s="4">
        <v>4</v>
      </c>
      <c r="G100" s="5">
        <v>0</v>
      </c>
      <c r="H100" s="5">
        <v>0</v>
      </c>
      <c r="I100" s="6">
        <v>43</v>
      </c>
      <c r="J100" s="5">
        <v>43</v>
      </c>
      <c r="K100" s="7">
        <v>0</v>
      </c>
      <c r="L100" s="5">
        <v>1</v>
      </c>
      <c r="M100" s="5">
        <v>7</v>
      </c>
      <c r="N100" s="7">
        <v>35</v>
      </c>
      <c r="O100" s="4">
        <v>0</v>
      </c>
    </row>
    <row r="101" spans="1:15">
      <c r="A101" s="8" t="s">
        <v>58</v>
      </c>
      <c r="B101" s="3" t="s">
        <v>49</v>
      </c>
      <c r="C101" s="3" t="s">
        <v>25</v>
      </c>
      <c r="D101" s="3" t="s">
        <v>20</v>
      </c>
      <c r="E101" s="4">
        <v>10</v>
      </c>
      <c r="F101" s="4">
        <v>2</v>
      </c>
      <c r="G101" s="5">
        <v>0</v>
      </c>
      <c r="H101" s="5">
        <v>0</v>
      </c>
      <c r="I101" s="6">
        <v>28</v>
      </c>
      <c r="J101" s="5">
        <v>28</v>
      </c>
      <c r="K101" s="7">
        <v>1</v>
      </c>
      <c r="L101" s="5">
        <v>11</v>
      </c>
      <c r="M101" s="5">
        <v>13</v>
      </c>
      <c r="N101" s="7">
        <v>40</v>
      </c>
      <c r="O101" s="4">
        <v>0</v>
      </c>
    </row>
    <row r="102" spans="1:15">
      <c r="A102" s="8" t="s">
        <v>58</v>
      </c>
      <c r="B102" s="3" t="s">
        <v>50</v>
      </c>
      <c r="C102" s="3" t="s">
        <v>25</v>
      </c>
      <c r="D102" s="3" t="s">
        <v>20</v>
      </c>
      <c r="E102" s="4">
        <v>10</v>
      </c>
      <c r="F102" s="4">
        <v>2</v>
      </c>
      <c r="G102" s="5">
        <v>0</v>
      </c>
      <c r="H102" s="5">
        <v>0</v>
      </c>
      <c r="I102" s="6">
        <v>4</v>
      </c>
      <c r="J102" s="5">
        <v>4</v>
      </c>
      <c r="K102" s="7">
        <v>0</v>
      </c>
      <c r="L102" s="5">
        <v>1</v>
      </c>
      <c r="M102" s="5">
        <v>1</v>
      </c>
      <c r="N102" s="7">
        <v>2</v>
      </c>
      <c r="O102" s="4">
        <v>0</v>
      </c>
    </row>
    <row r="103" spans="1:15">
      <c r="A103" s="8" t="s">
        <v>58</v>
      </c>
      <c r="B103" s="3" t="s">
        <v>43</v>
      </c>
      <c r="C103" s="3" t="s">
        <v>25</v>
      </c>
      <c r="D103" s="3" t="s">
        <v>20</v>
      </c>
      <c r="E103" s="4">
        <v>5</v>
      </c>
      <c r="F103" s="4">
        <v>4</v>
      </c>
      <c r="G103" s="5">
        <v>0</v>
      </c>
      <c r="H103" s="5">
        <v>0</v>
      </c>
      <c r="I103" s="6">
        <v>4</v>
      </c>
      <c r="J103" s="5">
        <v>4</v>
      </c>
      <c r="K103" s="7">
        <v>0</v>
      </c>
      <c r="L103" s="5">
        <v>0</v>
      </c>
      <c r="M103" s="5">
        <v>1</v>
      </c>
      <c r="N103" s="7">
        <v>4</v>
      </c>
      <c r="O103" s="4">
        <v>0</v>
      </c>
    </row>
    <row r="104" spans="1:15">
      <c r="A104" s="3" t="s">
        <v>67</v>
      </c>
      <c r="B104" s="3" t="s">
        <v>59</v>
      </c>
      <c r="C104" s="3" t="s">
        <v>17</v>
      </c>
      <c r="D104" s="3" t="s">
        <v>20</v>
      </c>
      <c r="E104" s="4">
        <v>2.5</v>
      </c>
      <c r="F104" s="4">
        <v>1</v>
      </c>
      <c r="G104" s="5">
        <v>0</v>
      </c>
      <c r="H104" s="5">
        <v>0</v>
      </c>
      <c r="I104" s="6">
        <v>55</v>
      </c>
      <c r="J104" s="5">
        <v>55</v>
      </c>
      <c r="K104" s="7">
        <v>1</v>
      </c>
      <c r="L104" s="5">
        <v>6</v>
      </c>
      <c r="M104" s="5">
        <v>9</v>
      </c>
      <c r="N104" s="7">
        <v>12</v>
      </c>
      <c r="O104" s="4">
        <v>8</v>
      </c>
    </row>
    <row r="105" spans="1:15">
      <c r="A105" s="8" t="s">
        <v>67</v>
      </c>
      <c r="B105" s="3" t="s">
        <v>60</v>
      </c>
      <c r="C105" s="3" t="s">
        <v>17</v>
      </c>
      <c r="D105" s="3" t="s">
        <v>20</v>
      </c>
      <c r="E105" s="4">
        <v>10</v>
      </c>
      <c r="F105" s="4">
        <v>1</v>
      </c>
      <c r="G105" s="5">
        <v>0</v>
      </c>
      <c r="H105" s="5">
        <v>0.2</v>
      </c>
      <c r="I105" s="6">
        <v>50</v>
      </c>
      <c r="J105" s="5">
        <v>50</v>
      </c>
      <c r="K105" s="7">
        <v>3</v>
      </c>
      <c r="L105" s="5">
        <v>9</v>
      </c>
      <c r="M105" s="5">
        <v>16</v>
      </c>
      <c r="N105" s="7">
        <v>31</v>
      </c>
      <c r="O105" s="4">
        <v>3</v>
      </c>
    </row>
    <row r="106" spans="1:15">
      <c r="A106" s="8" t="s">
        <v>67</v>
      </c>
      <c r="B106" s="3" t="s">
        <v>68</v>
      </c>
      <c r="C106" s="3" t="s">
        <v>25</v>
      </c>
      <c r="D106" s="3" t="s">
        <v>20</v>
      </c>
      <c r="E106" s="4">
        <v>10</v>
      </c>
      <c r="F106" s="4">
        <v>1</v>
      </c>
      <c r="G106" s="5">
        <v>0</v>
      </c>
      <c r="H106" s="5">
        <v>0</v>
      </c>
      <c r="I106" s="6">
        <v>2</v>
      </c>
      <c r="J106" s="5">
        <v>2</v>
      </c>
      <c r="K106" s="7">
        <v>0</v>
      </c>
      <c r="L106" s="5">
        <v>1</v>
      </c>
      <c r="M106" s="5">
        <v>1</v>
      </c>
      <c r="N106" s="7">
        <v>3</v>
      </c>
      <c r="O106" s="4">
        <v>0</v>
      </c>
    </row>
    <row r="107" spans="1:15">
      <c r="A107" s="8" t="s">
        <v>67</v>
      </c>
      <c r="B107" s="3" t="s">
        <v>38</v>
      </c>
      <c r="C107" s="3" t="s">
        <v>25</v>
      </c>
      <c r="D107" s="3" t="s">
        <v>20</v>
      </c>
      <c r="E107" s="4">
        <v>5</v>
      </c>
      <c r="F107" s="4">
        <v>4</v>
      </c>
      <c r="G107" s="5">
        <v>0</v>
      </c>
      <c r="H107" s="5">
        <v>1.33</v>
      </c>
      <c r="I107" s="6">
        <v>6</v>
      </c>
      <c r="J107" s="5">
        <v>6</v>
      </c>
      <c r="K107" s="7">
        <v>0</v>
      </c>
      <c r="L107" s="5">
        <v>0</v>
      </c>
      <c r="M107" s="5">
        <v>1</v>
      </c>
      <c r="N107" s="7">
        <v>2</v>
      </c>
      <c r="O107" s="4">
        <v>0</v>
      </c>
    </row>
    <row r="108" spans="1:15">
      <c r="A108" s="8" t="s">
        <v>67</v>
      </c>
      <c r="B108" s="3" t="s">
        <v>16</v>
      </c>
      <c r="C108" s="3" t="s">
        <v>17</v>
      </c>
      <c r="D108" s="3" t="s">
        <v>20</v>
      </c>
      <c r="E108" s="4">
        <v>5</v>
      </c>
      <c r="F108" s="4">
        <v>1</v>
      </c>
      <c r="G108" s="5">
        <v>0</v>
      </c>
      <c r="H108" s="5">
        <v>22.67</v>
      </c>
      <c r="I108" s="6">
        <v>81</v>
      </c>
      <c r="J108" s="5">
        <v>81</v>
      </c>
      <c r="K108" s="7">
        <v>0</v>
      </c>
      <c r="L108" s="5">
        <v>9</v>
      </c>
      <c r="M108" s="5">
        <v>13</v>
      </c>
      <c r="N108" s="7">
        <v>35</v>
      </c>
      <c r="O108" s="4">
        <v>0</v>
      </c>
    </row>
    <row r="109" spans="1:15">
      <c r="A109" s="8" t="s">
        <v>67</v>
      </c>
      <c r="B109" s="3" t="s">
        <v>61</v>
      </c>
      <c r="C109" s="3" t="s">
        <v>17</v>
      </c>
      <c r="D109" s="3" t="s">
        <v>20</v>
      </c>
      <c r="E109" s="4">
        <v>10</v>
      </c>
      <c r="F109" s="4">
        <v>1</v>
      </c>
      <c r="G109" s="5">
        <v>0</v>
      </c>
      <c r="H109" s="5">
        <v>30.98</v>
      </c>
      <c r="I109" s="6">
        <v>82</v>
      </c>
      <c r="J109" s="5">
        <v>82</v>
      </c>
      <c r="K109" s="7">
        <v>1</v>
      </c>
      <c r="L109" s="5">
        <v>7</v>
      </c>
      <c r="M109" s="5">
        <v>13</v>
      </c>
      <c r="N109" s="7">
        <v>28</v>
      </c>
      <c r="O109" s="4">
        <v>0</v>
      </c>
    </row>
    <row r="110" spans="1:15">
      <c r="A110" s="8" t="s">
        <v>67</v>
      </c>
      <c r="B110" s="3" t="s">
        <v>62</v>
      </c>
      <c r="C110" s="3" t="s">
        <v>17</v>
      </c>
      <c r="D110" s="3" t="s">
        <v>20</v>
      </c>
      <c r="E110" s="4">
        <v>10</v>
      </c>
      <c r="F110" s="4">
        <v>1</v>
      </c>
      <c r="G110" s="5">
        <v>0</v>
      </c>
      <c r="H110" s="5">
        <v>0</v>
      </c>
      <c r="I110" s="6">
        <v>71</v>
      </c>
      <c r="J110" s="5">
        <v>72</v>
      </c>
      <c r="K110" s="7">
        <v>6</v>
      </c>
      <c r="L110" s="5">
        <v>21</v>
      </c>
      <c r="M110" s="5">
        <v>35</v>
      </c>
      <c r="N110" s="7">
        <v>69</v>
      </c>
      <c r="O110" s="4">
        <v>32</v>
      </c>
    </row>
    <row r="111" spans="1:15">
      <c r="A111" s="8" t="s">
        <v>67</v>
      </c>
      <c r="B111" s="3" t="s">
        <v>19</v>
      </c>
      <c r="C111" s="3" t="s">
        <v>17</v>
      </c>
      <c r="D111" s="3" t="s">
        <v>20</v>
      </c>
      <c r="E111" s="4">
        <v>5</v>
      </c>
      <c r="F111" s="4">
        <v>1</v>
      </c>
      <c r="G111" s="5">
        <v>0</v>
      </c>
      <c r="H111" s="5">
        <v>0</v>
      </c>
      <c r="I111" s="6">
        <v>161</v>
      </c>
      <c r="J111" s="5">
        <v>168</v>
      </c>
      <c r="K111" s="7">
        <v>41</v>
      </c>
      <c r="L111" s="5">
        <v>225</v>
      </c>
      <c r="M111" s="5">
        <v>308</v>
      </c>
      <c r="N111" s="7">
        <v>414</v>
      </c>
      <c r="O111" s="4">
        <v>381</v>
      </c>
    </row>
    <row r="112" spans="1:15">
      <c r="A112" s="8" t="s">
        <v>67</v>
      </c>
      <c r="B112" s="3" t="s">
        <v>63</v>
      </c>
      <c r="C112" s="3" t="s">
        <v>17</v>
      </c>
      <c r="D112" s="3" t="s">
        <v>20</v>
      </c>
      <c r="E112" s="4">
        <v>25</v>
      </c>
      <c r="F112" s="4">
        <v>1</v>
      </c>
      <c r="G112" s="5">
        <v>0</v>
      </c>
      <c r="H112" s="5">
        <v>0</v>
      </c>
      <c r="I112" s="6">
        <v>73</v>
      </c>
      <c r="J112" s="5">
        <v>73</v>
      </c>
      <c r="K112" s="7">
        <v>0</v>
      </c>
      <c r="L112" s="5">
        <v>15</v>
      </c>
      <c r="M112" s="5">
        <v>27</v>
      </c>
      <c r="N112" s="7">
        <v>47</v>
      </c>
      <c r="O112" s="4">
        <v>137</v>
      </c>
    </row>
    <row r="113" spans="1:15">
      <c r="A113" s="8" t="s">
        <v>67</v>
      </c>
      <c r="B113" s="3" t="s">
        <v>64</v>
      </c>
      <c r="C113" s="3" t="s">
        <v>17</v>
      </c>
      <c r="D113" s="3" t="s">
        <v>20</v>
      </c>
      <c r="E113" s="4">
        <v>10</v>
      </c>
      <c r="F113" s="4">
        <v>1</v>
      </c>
      <c r="G113" s="5">
        <v>0</v>
      </c>
      <c r="H113" s="5">
        <v>0</v>
      </c>
      <c r="I113" s="6">
        <v>56</v>
      </c>
      <c r="J113" s="5">
        <v>59</v>
      </c>
      <c r="K113" s="7">
        <v>2</v>
      </c>
      <c r="L113" s="5">
        <v>11</v>
      </c>
      <c r="M113" s="5">
        <v>24</v>
      </c>
      <c r="N113" s="7">
        <v>50</v>
      </c>
      <c r="O113" s="4">
        <v>10</v>
      </c>
    </row>
    <row r="114" spans="1:15">
      <c r="A114" s="8" t="s">
        <v>67</v>
      </c>
      <c r="B114" s="3" t="s">
        <v>23</v>
      </c>
      <c r="C114" s="3" t="s">
        <v>17</v>
      </c>
      <c r="D114" s="3" t="s">
        <v>20</v>
      </c>
      <c r="E114" s="4">
        <v>5</v>
      </c>
      <c r="F114" s="4">
        <v>5</v>
      </c>
      <c r="G114" s="5">
        <v>0</v>
      </c>
      <c r="H114" s="5">
        <v>59.27</v>
      </c>
      <c r="I114" s="6">
        <v>80</v>
      </c>
      <c r="J114" s="5">
        <v>80</v>
      </c>
      <c r="K114" s="7">
        <v>0</v>
      </c>
      <c r="L114" s="5">
        <v>5</v>
      </c>
      <c r="M114" s="5">
        <v>8</v>
      </c>
      <c r="N114" s="7">
        <v>10</v>
      </c>
      <c r="O114" s="4">
        <v>0</v>
      </c>
    </row>
    <row r="115" spans="1:15">
      <c r="A115" s="8" t="s">
        <v>67</v>
      </c>
      <c r="B115" s="3" t="s">
        <v>65</v>
      </c>
      <c r="C115" s="3" t="s">
        <v>17</v>
      </c>
      <c r="D115" s="3" t="s">
        <v>20</v>
      </c>
      <c r="E115" s="4">
        <v>2.5</v>
      </c>
      <c r="F115" s="4">
        <v>1</v>
      </c>
      <c r="G115" s="5">
        <v>0</v>
      </c>
      <c r="H115" s="5">
        <v>0</v>
      </c>
      <c r="I115" s="6">
        <v>51</v>
      </c>
      <c r="J115" s="5">
        <v>51</v>
      </c>
      <c r="K115" s="7">
        <v>1</v>
      </c>
      <c r="L115" s="5">
        <v>25</v>
      </c>
      <c r="M115" s="5">
        <v>28</v>
      </c>
      <c r="N115" s="7">
        <v>37</v>
      </c>
      <c r="O115" s="4">
        <v>13</v>
      </c>
    </row>
    <row r="116" spans="1:15">
      <c r="A116" s="8" t="s">
        <v>67</v>
      </c>
      <c r="B116" s="3" t="s">
        <v>21</v>
      </c>
      <c r="C116" s="3" t="s">
        <v>17</v>
      </c>
      <c r="D116" s="3" t="s">
        <v>20</v>
      </c>
      <c r="E116" s="4">
        <v>5</v>
      </c>
      <c r="F116" s="4">
        <v>1</v>
      </c>
      <c r="G116" s="5">
        <v>0</v>
      </c>
      <c r="H116" s="5">
        <v>0</v>
      </c>
      <c r="I116" s="6">
        <v>40</v>
      </c>
      <c r="J116" s="5">
        <v>40</v>
      </c>
      <c r="K116" s="7">
        <v>6</v>
      </c>
      <c r="L116" s="5">
        <v>24</v>
      </c>
      <c r="M116" s="5">
        <v>43</v>
      </c>
      <c r="N116" s="7">
        <v>70</v>
      </c>
      <c r="O116" s="4">
        <v>53</v>
      </c>
    </row>
    <row r="117" spans="1:15">
      <c r="A117" s="8" t="s">
        <v>67</v>
      </c>
      <c r="B117" s="3" t="s">
        <v>66</v>
      </c>
      <c r="C117" s="3" t="s">
        <v>25</v>
      </c>
      <c r="D117" s="3" t="s">
        <v>20</v>
      </c>
      <c r="E117" s="4">
        <v>10</v>
      </c>
      <c r="F117" s="4">
        <v>1</v>
      </c>
      <c r="G117" s="5">
        <v>0</v>
      </c>
      <c r="H117" s="5">
        <v>0</v>
      </c>
      <c r="I117" s="6">
        <v>52</v>
      </c>
      <c r="J117" s="5">
        <v>52</v>
      </c>
      <c r="K117" s="7">
        <v>0</v>
      </c>
      <c r="L117" s="5">
        <v>6</v>
      </c>
      <c r="M117" s="5">
        <v>9</v>
      </c>
      <c r="N117" s="7">
        <v>26</v>
      </c>
      <c r="O117" s="4">
        <v>0</v>
      </c>
    </row>
    <row r="118" spans="1:15">
      <c r="A118" s="8" t="s">
        <v>67</v>
      </c>
      <c r="B118" s="3" t="s">
        <v>40</v>
      </c>
      <c r="C118" s="3" t="s">
        <v>25</v>
      </c>
      <c r="D118" s="3" t="s">
        <v>20</v>
      </c>
      <c r="E118" s="4">
        <v>5</v>
      </c>
      <c r="F118" s="4">
        <v>4</v>
      </c>
      <c r="G118" s="5">
        <v>0</v>
      </c>
      <c r="H118" s="5">
        <v>0.06</v>
      </c>
      <c r="I118" s="6">
        <v>9</v>
      </c>
      <c r="J118" s="5">
        <v>9</v>
      </c>
      <c r="K118" s="7">
        <v>0</v>
      </c>
      <c r="L118" s="5">
        <v>0</v>
      </c>
      <c r="M118" s="5">
        <v>0</v>
      </c>
      <c r="N118" s="7">
        <v>6</v>
      </c>
      <c r="O118" s="4">
        <v>0</v>
      </c>
    </row>
    <row r="119" spans="1:15">
      <c r="A119" s="8" t="s">
        <v>67</v>
      </c>
      <c r="B119" s="3" t="s">
        <v>48</v>
      </c>
      <c r="C119" s="3" t="s">
        <v>25</v>
      </c>
      <c r="D119" s="3" t="s">
        <v>20</v>
      </c>
      <c r="E119" s="4">
        <v>10</v>
      </c>
      <c r="F119" s="4">
        <v>2</v>
      </c>
      <c r="G119" s="5">
        <v>0</v>
      </c>
      <c r="H119" s="5">
        <v>3.76</v>
      </c>
      <c r="I119" s="6">
        <v>6</v>
      </c>
      <c r="J119" s="5">
        <v>6</v>
      </c>
      <c r="K119" s="7">
        <v>0</v>
      </c>
      <c r="L119" s="5">
        <v>0</v>
      </c>
      <c r="M119" s="5">
        <v>0</v>
      </c>
      <c r="N119" s="7">
        <v>0</v>
      </c>
      <c r="O119" s="4">
        <v>0</v>
      </c>
    </row>
    <row r="120" spans="1:15">
      <c r="A120" s="8" t="s">
        <v>67</v>
      </c>
      <c r="B120" s="3" t="s">
        <v>56</v>
      </c>
      <c r="C120" s="3" t="s">
        <v>25</v>
      </c>
      <c r="D120" s="3" t="s">
        <v>20</v>
      </c>
      <c r="E120" s="4">
        <v>5</v>
      </c>
      <c r="F120" s="4">
        <v>4</v>
      </c>
      <c r="G120" s="5">
        <v>1</v>
      </c>
      <c r="H120" s="5">
        <v>0</v>
      </c>
      <c r="I120" s="6">
        <v>1</v>
      </c>
      <c r="J120" s="5">
        <v>1</v>
      </c>
      <c r="K120" s="7">
        <v>0</v>
      </c>
      <c r="L120" s="5">
        <v>0</v>
      </c>
      <c r="M120" s="5">
        <v>1</v>
      </c>
      <c r="N120" s="7">
        <v>1</v>
      </c>
      <c r="O120" s="4">
        <v>0</v>
      </c>
    </row>
    <row r="121" spans="1:15">
      <c r="A121" s="8" t="s">
        <v>67</v>
      </c>
      <c r="B121" s="3" t="s">
        <v>53</v>
      </c>
      <c r="C121" s="3" t="s">
        <v>25</v>
      </c>
      <c r="D121" s="3" t="s">
        <v>20</v>
      </c>
      <c r="E121" s="4">
        <v>25</v>
      </c>
      <c r="F121" s="4">
        <v>1</v>
      </c>
      <c r="G121" s="5">
        <v>0</v>
      </c>
      <c r="H121" s="5">
        <v>0</v>
      </c>
      <c r="I121" s="6">
        <v>1</v>
      </c>
      <c r="J121" s="5">
        <v>1</v>
      </c>
      <c r="K121" s="7">
        <v>0</v>
      </c>
      <c r="L121" s="5">
        <v>0</v>
      </c>
      <c r="M121" s="5">
        <v>0</v>
      </c>
      <c r="N121" s="7">
        <v>2</v>
      </c>
      <c r="O121" s="4">
        <v>0</v>
      </c>
    </row>
    <row r="122" spans="1:15">
      <c r="A122" s="8" t="s">
        <v>67</v>
      </c>
      <c r="B122" s="3" t="s">
        <v>24</v>
      </c>
      <c r="C122" s="3" t="s">
        <v>25</v>
      </c>
      <c r="D122" s="3" t="s">
        <v>20</v>
      </c>
      <c r="E122" s="4">
        <v>5</v>
      </c>
      <c r="F122" s="4">
        <v>4</v>
      </c>
      <c r="G122" s="5">
        <v>0</v>
      </c>
      <c r="H122" s="5">
        <v>0</v>
      </c>
      <c r="I122" s="6">
        <v>4</v>
      </c>
      <c r="J122" s="5">
        <v>4</v>
      </c>
      <c r="K122" s="7">
        <v>0</v>
      </c>
      <c r="L122" s="5">
        <v>32</v>
      </c>
      <c r="M122" s="5">
        <v>39</v>
      </c>
      <c r="N122" s="7">
        <v>46</v>
      </c>
      <c r="O122" s="4">
        <v>0</v>
      </c>
    </row>
    <row r="123" spans="1:15">
      <c r="A123" s="8" t="s">
        <v>67</v>
      </c>
      <c r="B123" s="3" t="s">
        <v>49</v>
      </c>
      <c r="C123" s="3" t="s">
        <v>25</v>
      </c>
      <c r="D123" s="3" t="s">
        <v>20</v>
      </c>
      <c r="E123" s="4">
        <v>10</v>
      </c>
      <c r="F123" s="4">
        <v>2</v>
      </c>
      <c r="G123" s="5">
        <v>0</v>
      </c>
      <c r="H123" s="5">
        <v>0</v>
      </c>
      <c r="I123" s="6">
        <v>26</v>
      </c>
      <c r="J123" s="5">
        <v>16</v>
      </c>
      <c r="K123" s="7">
        <v>0</v>
      </c>
      <c r="L123" s="5">
        <v>4</v>
      </c>
      <c r="M123" s="5">
        <v>9</v>
      </c>
      <c r="N123" s="7">
        <v>24</v>
      </c>
      <c r="O123" s="4">
        <v>0</v>
      </c>
    </row>
    <row r="124" spans="1:15">
      <c r="A124" s="8" t="s">
        <v>67</v>
      </c>
      <c r="B124" s="3" t="s">
        <v>43</v>
      </c>
      <c r="C124" s="3" t="s">
        <v>25</v>
      </c>
      <c r="D124" s="3" t="s">
        <v>20</v>
      </c>
      <c r="E124" s="4">
        <v>5</v>
      </c>
      <c r="F124" s="4">
        <v>4</v>
      </c>
      <c r="G124" s="5">
        <v>0</v>
      </c>
      <c r="H124" s="5">
        <v>0</v>
      </c>
      <c r="I124" s="6">
        <v>2</v>
      </c>
      <c r="J124" s="5">
        <v>2</v>
      </c>
      <c r="K124" s="7">
        <v>2</v>
      </c>
      <c r="L124" s="5">
        <v>2</v>
      </c>
      <c r="M124" s="5">
        <v>2</v>
      </c>
      <c r="N124" s="7">
        <v>4</v>
      </c>
      <c r="O124" s="4">
        <v>0</v>
      </c>
    </row>
    <row r="125" spans="1:15">
      <c r="A125" s="3" t="s">
        <v>69</v>
      </c>
      <c r="B125" s="3" t="s">
        <v>59</v>
      </c>
      <c r="C125" s="3" t="s">
        <v>17</v>
      </c>
      <c r="D125" s="3" t="s">
        <v>20</v>
      </c>
      <c r="E125" s="4">
        <v>2.5</v>
      </c>
      <c r="F125" s="4">
        <v>1</v>
      </c>
      <c r="G125" s="5">
        <v>0</v>
      </c>
      <c r="H125" s="5">
        <v>0</v>
      </c>
      <c r="I125" s="6">
        <v>29</v>
      </c>
      <c r="J125" s="5">
        <v>29</v>
      </c>
      <c r="K125" s="7">
        <v>3</v>
      </c>
      <c r="L125" s="5">
        <v>13</v>
      </c>
      <c r="M125" s="5">
        <v>34</v>
      </c>
      <c r="N125" s="7">
        <v>59</v>
      </c>
      <c r="O125" s="4">
        <v>226</v>
      </c>
    </row>
    <row r="126" spans="1:15">
      <c r="A126" s="8" t="s">
        <v>69</v>
      </c>
      <c r="B126" s="3" t="s">
        <v>60</v>
      </c>
      <c r="C126" s="3" t="s">
        <v>17</v>
      </c>
      <c r="D126" s="3" t="s">
        <v>70</v>
      </c>
      <c r="E126" s="4">
        <v>10</v>
      </c>
      <c r="F126" s="4">
        <v>1</v>
      </c>
      <c r="G126" s="5">
        <v>0</v>
      </c>
      <c r="H126" s="5">
        <v>0</v>
      </c>
      <c r="I126" s="6">
        <v>0</v>
      </c>
      <c r="J126" s="5">
        <v>0</v>
      </c>
      <c r="K126" s="7">
        <v>0</v>
      </c>
      <c r="L126" s="5">
        <v>4</v>
      </c>
      <c r="M126" s="5">
        <v>21</v>
      </c>
      <c r="N126" s="7">
        <v>32</v>
      </c>
      <c r="O126" s="4">
        <v>47</v>
      </c>
    </row>
    <row r="127" spans="1:15">
      <c r="A127" s="8" t="s">
        <v>69</v>
      </c>
      <c r="B127" s="3" t="s">
        <v>71</v>
      </c>
      <c r="C127" s="3" t="s">
        <v>25</v>
      </c>
      <c r="D127" s="3" t="s">
        <v>18</v>
      </c>
      <c r="E127" s="4" t="s">
        <v>72</v>
      </c>
      <c r="F127" s="4" t="e">
        <v>#N/A</v>
      </c>
      <c r="G127" s="5">
        <v>0</v>
      </c>
      <c r="H127" s="5">
        <v>0</v>
      </c>
      <c r="I127" s="6">
        <v>0</v>
      </c>
      <c r="J127" s="5">
        <v>0</v>
      </c>
      <c r="K127" s="7">
        <v>0</v>
      </c>
      <c r="L127" s="5">
        <v>0</v>
      </c>
      <c r="M127" s="5">
        <v>0</v>
      </c>
      <c r="N127" s="7">
        <v>0</v>
      </c>
      <c r="O127" s="4">
        <v>0</v>
      </c>
    </row>
    <row r="128" spans="1:15">
      <c r="A128" s="8" t="s">
        <v>69</v>
      </c>
      <c r="B128" s="3" t="s">
        <v>38</v>
      </c>
      <c r="C128" s="3" t="s">
        <v>25</v>
      </c>
      <c r="D128" s="3" t="s">
        <v>20</v>
      </c>
      <c r="E128" s="4">
        <v>5</v>
      </c>
      <c r="F128" s="4">
        <v>4</v>
      </c>
      <c r="G128" s="5">
        <v>0</v>
      </c>
      <c r="H128" s="5">
        <v>1.48</v>
      </c>
      <c r="I128" s="6">
        <v>1</v>
      </c>
      <c r="J128" s="5">
        <v>1</v>
      </c>
      <c r="K128" s="7">
        <v>0</v>
      </c>
      <c r="L128" s="5">
        <v>0</v>
      </c>
      <c r="M128" s="5">
        <v>2</v>
      </c>
      <c r="N128" s="7">
        <v>3</v>
      </c>
      <c r="O128" s="4">
        <v>0</v>
      </c>
    </row>
    <row r="129" spans="1:15">
      <c r="A129" s="8" t="s">
        <v>69</v>
      </c>
      <c r="B129" s="3" t="s">
        <v>73</v>
      </c>
      <c r="C129" s="3" t="s">
        <v>25</v>
      </c>
      <c r="D129" s="3" t="s">
        <v>18</v>
      </c>
      <c r="E129" s="4">
        <v>5</v>
      </c>
      <c r="F129" s="4" t="e">
        <v>#N/A</v>
      </c>
      <c r="G129" s="5">
        <v>0</v>
      </c>
      <c r="H129" s="5">
        <v>0</v>
      </c>
      <c r="I129" s="6">
        <v>0</v>
      </c>
      <c r="J129" s="5">
        <v>0</v>
      </c>
      <c r="K129" s="7">
        <v>0</v>
      </c>
      <c r="L129" s="5">
        <v>0</v>
      </c>
      <c r="M129" s="5">
        <v>0</v>
      </c>
      <c r="N129" s="7">
        <v>0</v>
      </c>
      <c r="O129" s="4">
        <v>0</v>
      </c>
    </row>
    <row r="130" spans="1:15">
      <c r="A130" s="8" t="s">
        <v>69</v>
      </c>
      <c r="B130" s="3" t="s">
        <v>16</v>
      </c>
      <c r="C130" s="3" t="s">
        <v>17</v>
      </c>
      <c r="D130" s="3" t="s">
        <v>20</v>
      </c>
      <c r="E130" s="4">
        <v>5</v>
      </c>
      <c r="F130" s="4">
        <v>1</v>
      </c>
      <c r="G130" s="5">
        <v>0</v>
      </c>
      <c r="H130" s="5">
        <v>0</v>
      </c>
      <c r="I130" s="6">
        <v>35</v>
      </c>
      <c r="J130" s="5">
        <v>35</v>
      </c>
      <c r="K130" s="7">
        <v>7</v>
      </c>
      <c r="L130" s="5">
        <v>19</v>
      </c>
      <c r="M130" s="5">
        <v>37</v>
      </c>
      <c r="N130" s="7">
        <v>64</v>
      </c>
      <c r="O130" s="4">
        <v>76</v>
      </c>
    </row>
    <row r="131" spans="1:15">
      <c r="A131" s="8" t="s">
        <v>69</v>
      </c>
      <c r="B131" s="3" t="s">
        <v>61</v>
      </c>
      <c r="C131" s="3" t="s">
        <v>17</v>
      </c>
      <c r="D131" s="3" t="s">
        <v>20</v>
      </c>
      <c r="E131" s="4">
        <v>10</v>
      </c>
      <c r="F131" s="4">
        <v>1</v>
      </c>
      <c r="G131" s="5">
        <v>0</v>
      </c>
      <c r="H131" s="5">
        <v>0.73</v>
      </c>
      <c r="I131" s="6">
        <v>55</v>
      </c>
      <c r="J131" s="5">
        <v>55</v>
      </c>
      <c r="K131" s="7">
        <v>0</v>
      </c>
      <c r="L131" s="5">
        <v>7</v>
      </c>
      <c r="M131" s="5">
        <v>13</v>
      </c>
      <c r="N131" s="7">
        <v>26</v>
      </c>
      <c r="O131" s="4">
        <v>0</v>
      </c>
    </row>
    <row r="132" spans="1:15">
      <c r="A132" s="8" t="s">
        <v>69</v>
      </c>
      <c r="B132" s="3" t="s">
        <v>62</v>
      </c>
      <c r="C132" s="3" t="s">
        <v>17</v>
      </c>
      <c r="D132" s="3" t="s">
        <v>20</v>
      </c>
      <c r="E132" s="4">
        <v>10</v>
      </c>
      <c r="F132" s="4">
        <v>1</v>
      </c>
      <c r="G132" s="5">
        <v>0</v>
      </c>
      <c r="H132" s="5">
        <v>0</v>
      </c>
      <c r="I132" s="6">
        <v>36</v>
      </c>
      <c r="J132" s="5">
        <v>36</v>
      </c>
      <c r="K132" s="7">
        <v>4</v>
      </c>
      <c r="L132" s="5">
        <v>16</v>
      </c>
      <c r="M132" s="5">
        <v>26</v>
      </c>
      <c r="N132" s="7">
        <v>60</v>
      </c>
      <c r="O132" s="4">
        <v>29</v>
      </c>
    </row>
    <row r="133" spans="1:15">
      <c r="A133" s="8" t="s">
        <v>69</v>
      </c>
      <c r="B133" s="3" t="s">
        <v>19</v>
      </c>
      <c r="C133" s="3" t="s">
        <v>17</v>
      </c>
      <c r="D133" s="3" t="s">
        <v>20</v>
      </c>
      <c r="E133" s="4">
        <v>5</v>
      </c>
      <c r="F133" s="4">
        <v>1</v>
      </c>
      <c r="G133" s="5">
        <v>0</v>
      </c>
      <c r="H133" s="5">
        <v>0</v>
      </c>
      <c r="I133" s="6">
        <v>192</v>
      </c>
      <c r="J133" s="5">
        <v>191</v>
      </c>
      <c r="K133" s="7">
        <v>45</v>
      </c>
      <c r="L133" s="5">
        <v>189</v>
      </c>
      <c r="M133" s="5">
        <v>326</v>
      </c>
      <c r="N133" s="7">
        <v>477</v>
      </c>
      <c r="O133" s="4">
        <v>564</v>
      </c>
    </row>
    <row r="134" spans="1:15">
      <c r="A134" s="8" t="s">
        <v>69</v>
      </c>
      <c r="B134" s="3" t="s">
        <v>63</v>
      </c>
      <c r="C134" s="3" t="s">
        <v>17</v>
      </c>
      <c r="D134" s="3" t="s">
        <v>20</v>
      </c>
      <c r="E134" s="4">
        <v>25</v>
      </c>
      <c r="F134" s="4">
        <v>1</v>
      </c>
      <c r="G134" s="5">
        <v>0</v>
      </c>
      <c r="H134" s="5">
        <v>0</v>
      </c>
      <c r="I134" s="6">
        <v>74</v>
      </c>
      <c r="J134" s="5">
        <v>74</v>
      </c>
      <c r="K134" s="7">
        <v>7</v>
      </c>
      <c r="L134" s="5">
        <v>27</v>
      </c>
      <c r="M134" s="5">
        <v>41</v>
      </c>
      <c r="N134" s="7">
        <v>52</v>
      </c>
      <c r="O134" s="4">
        <v>60</v>
      </c>
    </row>
    <row r="135" spans="1:15">
      <c r="A135" s="8" t="s">
        <v>69</v>
      </c>
      <c r="B135" s="3" t="s">
        <v>64</v>
      </c>
      <c r="C135" s="3" t="s">
        <v>17</v>
      </c>
      <c r="D135" s="3" t="s">
        <v>20</v>
      </c>
      <c r="E135" s="4">
        <v>10</v>
      </c>
      <c r="F135" s="4">
        <v>1</v>
      </c>
      <c r="G135" s="5">
        <v>0</v>
      </c>
      <c r="H135" s="5">
        <v>0</v>
      </c>
      <c r="I135" s="6">
        <v>64</v>
      </c>
      <c r="J135" s="5">
        <v>64</v>
      </c>
      <c r="K135" s="7">
        <v>7</v>
      </c>
      <c r="L135" s="5">
        <v>19</v>
      </c>
      <c r="M135" s="5">
        <v>33</v>
      </c>
      <c r="N135" s="7">
        <v>79</v>
      </c>
      <c r="O135" s="4">
        <v>39</v>
      </c>
    </row>
    <row r="136" spans="1:15">
      <c r="A136" s="8" t="s">
        <v>69</v>
      </c>
      <c r="B136" s="3" t="s">
        <v>23</v>
      </c>
      <c r="C136" s="3" t="s">
        <v>17</v>
      </c>
      <c r="D136" s="3" t="s">
        <v>20</v>
      </c>
      <c r="E136" s="4">
        <v>5</v>
      </c>
      <c r="F136" s="4">
        <v>5</v>
      </c>
      <c r="G136" s="5">
        <v>0</v>
      </c>
      <c r="H136" s="5">
        <v>36.34</v>
      </c>
      <c r="I136" s="6">
        <v>65</v>
      </c>
      <c r="J136" s="5">
        <v>65</v>
      </c>
      <c r="K136" s="7">
        <v>0</v>
      </c>
      <c r="L136" s="5">
        <v>2</v>
      </c>
      <c r="M136" s="5">
        <v>4</v>
      </c>
      <c r="N136" s="7">
        <v>16</v>
      </c>
      <c r="O136" s="4">
        <v>0</v>
      </c>
    </row>
    <row r="137" spans="1:15">
      <c r="A137" s="8" t="s">
        <v>69</v>
      </c>
      <c r="B137" s="3" t="s">
        <v>65</v>
      </c>
      <c r="C137" s="3" t="s">
        <v>17</v>
      </c>
      <c r="D137" s="3" t="s">
        <v>20</v>
      </c>
      <c r="E137" s="4">
        <v>2.5</v>
      </c>
      <c r="F137" s="4">
        <v>1</v>
      </c>
      <c r="G137" s="5">
        <v>0</v>
      </c>
      <c r="H137" s="5">
        <v>0</v>
      </c>
      <c r="I137" s="6">
        <v>43</v>
      </c>
      <c r="J137" s="5">
        <v>43</v>
      </c>
      <c r="K137" s="7">
        <v>0</v>
      </c>
      <c r="L137" s="5">
        <v>7</v>
      </c>
      <c r="M137" s="5">
        <v>14</v>
      </c>
      <c r="N137" s="7">
        <v>18</v>
      </c>
      <c r="O137" s="4">
        <v>15</v>
      </c>
    </row>
    <row r="138" spans="1:15">
      <c r="A138" s="8" t="s">
        <v>69</v>
      </c>
      <c r="B138" s="3" t="s">
        <v>21</v>
      </c>
      <c r="C138" s="3" t="s">
        <v>17</v>
      </c>
      <c r="D138" s="3" t="s">
        <v>20</v>
      </c>
      <c r="E138" s="4">
        <v>5</v>
      </c>
      <c r="F138" s="4">
        <v>1</v>
      </c>
      <c r="G138" s="5">
        <v>0</v>
      </c>
      <c r="H138" s="5">
        <v>10.92</v>
      </c>
      <c r="I138" s="6">
        <v>116</v>
      </c>
      <c r="J138" s="5">
        <v>116</v>
      </c>
      <c r="K138" s="7">
        <v>1</v>
      </c>
      <c r="L138" s="5">
        <v>11</v>
      </c>
      <c r="M138" s="5">
        <v>18</v>
      </c>
      <c r="N138" s="7">
        <v>64</v>
      </c>
      <c r="O138" s="4">
        <v>0</v>
      </c>
    </row>
    <row r="139" spans="1:15">
      <c r="A139" s="8" t="s">
        <v>69</v>
      </c>
      <c r="B139" s="3" t="s">
        <v>66</v>
      </c>
      <c r="C139" s="3" t="s">
        <v>25</v>
      </c>
      <c r="D139" s="3" t="s">
        <v>20</v>
      </c>
      <c r="E139" s="4">
        <v>10</v>
      </c>
      <c r="F139" s="4">
        <v>1</v>
      </c>
      <c r="G139" s="5">
        <v>0</v>
      </c>
      <c r="H139" s="5">
        <v>0</v>
      </c>
      <c r="I139" s="6">
        <v>63</v>
      </c>
      <c r="J139" s="5">
        <v>63</v>
      </c>
      <c r="K139" s="7">
        <v>2</v>
      </c>
      <c r="L139" s="5">
        <v>9</v>
      </c>
      <c r="M139" s="5">
        <v>16</v>
      </c>
      <c r="N139" s="7">
        <v>46</v>
      </c>
      <c r="O139" s="4">
        <v>0</v>
      </c>
    </row>
    <row r="140" spans="1:15">
      <c r="A140" s="8" t="s">
        <v>69</v>
      </c>
      <c r="B140" s="3" t="s">
        <v>39</v>
      </c>
      <c r="C140" s="3" t="s">
        <v>25</v>
      </c>
      <c r="D140" s="3" t="s">
        <v>20</v>
      </c>
      <c r="E140" s="4">
        <v>2.5</v>
      </c>
      <c r="F140" s="4">
        <v>1</v>
      </c>
      <c r="G140" s="5">
        <v>0</v>
      </c>
      <c r="H140" s="5">
        <v>0</v>
      </c>
      <c r="I140" s="6">
        <v>8</v>
      </c>
      <c r="J140" s="5">
        <v>8</v>
      </c>
      <c r="K140" s="7">
        <v>0</v>
      </c>
      <c r="L140" s="5">
        <v>3</v>
      </c>
      <c r="M140" s="5">
        <v>4</v>
      </c>
      <c r="N140" s="7">
        <v>4</v>
      </c>
      <c r="O140" s="4">
        <v>0</v>
      </c>
    </row>
    <row r="141" spans="1:15">
      <c r="A141" s="8" t="s">
        <v>69</v>
      </c>
      <c r="B141" s="3" t="s">
        <v>40</v>
      </c>
      <c r="C141" s="3" t="s">
        <v>25</v>
      </c>
      <c r="D141" s="3" t="s">
        <v>20</v>
      </c>
      <c r="E141" s="4">
        <v>5</v>
      </c>
      <c r="F141" s="4">
        <v>4</v>
      </c>
      <c r="G141" s="5">
        <v>0</v>
      </c>
      <c r="H141" s="5">
        <v>0</v>
      </c>
      <c r="I141" s="6">
        <v>0</v>
      </c>
      <c r="J141" s="5">
        <v>0</v>
      </c>
      <c r="K141" s="7">
        <v>0</v>
      </c>
      <c r="L141" s="5">
        <v>0</v>
      </c>
      <c r="M141" s="5">
        <v>2</v>
      </c>
      <c r="N141" s="7">
        <v>8</v>
      </c>
      <c r="O141" s="4">
        <v>0</v>
      </c>
    </row>
    <row r="142" spans="1:15">
      <c r="A142" s="8" t="s">
        <v>69</v>
      </c>
      <c r="B142" s="3" t="s">
        <v>48</v>
      </c>
      <c r="C142" s="3" t="s">
        <v>25</v>
      </c>
      <c r="D142" s="3" t="s">
        <v>20</v>
      </c>
      <c r="E142" s="4">
        <v>10</v>
      </c>
      <c r="F142" s="4">
        <v>2</v>
      </c>
      <c r="G142" s="5">
        <v>0</v>
      </c>
      <c r="H142" s="5">
        <v>0</v>
      </c>
      <c r="I142" s="6">
        <v>7</v>
      </c>
      <c r="J142" s="5">
        <v>7</v>
      </c>
      <c r="K142" s="7">
        <v>1</v>
      </c>
      <c r="L142" s="5">
        <v>2</v>
      </c>
      <c r="M142" s="5">
        <v>3</v>
      </c>
      <c r="N142" s="7">
        <v>5</v>
      </c>
      <c r="O142" s="4">
        <v>0</v>
      </c>
    </row>
    <row r="143" spans="1:15">
      <c r="A143" s="8" t="s">
        <v>69</v>
      </c>
      <c r="B143" s="3" t="s">
        <v>56</v>
      </c>
      <c r="C143" s="3" t="s">
        <v>25</v>
      </c>
      <c r="D143" s="3" t="s">
        <v>20</v>
      </c>
      <c r="E143" s="4">
        <v>5</v>
      </c>
      <c r="F143" s="4">
        <v>4</v>
      </c>
      <c r="G143" s="5">
        <v>0</v>
      </c>
      <c r="H143" s="5">
        <v>0</v>
      </c>
      <c r="I143" s="6">
        <v>3</v>
      </c>
      <c r="J143" s="5">
        <v>3</v>
      </c>
      <c r="K143" s="7">
        <v>0</v>
      </c>
      <c r="L143" s="5">
        <v>1</v>
      </c>
      <c r="M143" s="5">
        <v>1</v>
      </c>
      <c r="N143" s="7">
        <v>1</v>
      </c>
      <c r="O143" s="4">
        <v>0</v>
      </c>
    </row>
    <row r="144" spans="1:15">
      <c r="A144" s="8" t="s">
        <v>69</v>
      </c>
      <c r="B144" s="3" t="s">
        <v>42</v>
      </c>
      <c r="C144" s="3" t="s">
        <v>25</v>
      </c>
      <c r="D144" s="3" t="s">
        <v>20</v>
      </c>
      <c r="E144" s="4">
        <v>5</v>
      </c>
      <c r="F144" s="4">
        <v>4</v>
      </c>
      <c r="G144" s="5">
        <v>0</v>
      </c>
      <c r="H144" s="5">
        <v>0.33</v>
      </c>
      <c r="I144" s="6">
        <v>1</v>
      </c>
      <c r="J144" s="5">
        <v>1</v>
      </c>
      <c r="K144" s="7">
        <v>0</v>
      </c>
      <c r="L144" s="5">
        <v>1</v>
      </c>
      <c r="M144" s="5">
        <v>2</v>
      </c>
      <c r="N144" s="7">
        <v>3</v>
      </c>
      <c r="O144" s="4">
        <v>0</v>
      </c>
    </row>
    <row r="145" spans="1:15">
      <c r="A145" s="8" t="s">
        <v>69</v>
      </c>
      <c r="B145" s="3" t="s">
        <v>53</v>
      </c>
      <c r="C145" s="3" t="s">
        <v>25</v>
      </c>
      <c r="D145" s="3" t="s">
        <v>20</v>
      </c>
      <c r="E145" s="4">
        <v>25</v>
      </c>
      <c r="F145" s="4">
        <v>1</v>
      </c>
      <c r="G145" s="5">
        <v>0</v>
      </c>
      <c r="H145" s="5">
        <v>0</v>
      </c>
      <c r="I145" s="6">
        <v>3</v>
      </c>
      <c r="J145" s="5">
        <v>3</v>
      </c>
      <c r="K145" s="7">
        <v>1</v>
      </c>
      <c r="L145" s="5">
        <v>1</v>
      </c>
      <c r="M145" s="5">
        <v>1</v>
      </c>
      <c r="N145" s="7">
        <v>2</v>
      </c>
      <c r="O145" s="4">
        <v>0</v>
      </c>
    </row>
    <row r="146" spans="1:15">
      <c r="A146" s="8" t="s">
        <v>69</v>
      </c>
      <c r="B146" s="3" t="s">
        <v>24</v>
      </c>
      <c r="C146" s="3" t="s">
        <v>25</v>
      </c>
      <c r="D146" s="3" t="s">
        <v>52</v>
      </c>
      <c r="E146" s="4">
        <v>5</v>
      </c>
      <c r="F146" s="4">
        <v>4</v>
      </c>
      <c r="G146" s="5">
        <v>0</v>
      </c>
      <c r="H146" s="5">
        <v>0</v>
      </c>
      <c r="I146" s="6">
        <v>0</v>
      </c>
      <c r="J146" s="5">
        <v>0</v>
      </c>
      <c r="K146" s="7">
        <v>0</v>
      </c>
      <c r="L146" s="5">
        <v>1</v>
      </c>
      <c r="M146" s="5">
        <v>6</v>
      </c>
      <c r="N146" s="7">
        <v>26</v>
      </c>
      <c r="O146" s="4">
        <v>0</v>
      </c>
    </row>
    <row r="147" spans="1:15">
      <c r="A147" s="8" t="s">
        <v>69</v>
      </c>
      <c r="B147" s="3" t="s">
        <v>49</v>
      </c>
      <c r="C147" s="3" t="s">
        <v>25</v>
      </c>
      <c r="D147" s="3" t="s">
        <v>20</v>
      </c>
      <c r="E147" s="4">
        <v>10</v>
      </c>
      <c r="F147" s="4">
        <v>2</v>
      </c>
      <c r="G147" s="5">
        <v>0</v>
      </c>
      <c r="H147" s="5">
        <v>0</v>
      </c>
      <c r="I147" s="6">
        <v>24</v>
      </c>
      <c r="J147" s="5">
        <v>24</v>
      </c>
      <c r="K147" s="7">
        <v>0</v>
      </c>
      <c r="L147" s="5">
        <v>2</v>
      </c>
      <c r="M147" s="5">
        <v>9</v>
      </c>
      <c r="N147" s="7">
        <v>30</v>
      </c>
      <c r="O147" s="4">
        <v>0</v>
      </c>
    </row>
    <row r="148" spans="1:15">
      <c r="A148" s="8" t="s">
        <v>69</v>
      </c>
      <c r="B148" s="3" t="s">
        <v>50</v>
      </c>
      <c r="C148" s="3" t="s">
        <v>25</v>
      </c>
      <c r="D148" s="3" t="s">
        <v>20</v>
      </c>
      <c r="E148" s="4">
        <v>10</v>
      </c>
      <c r="F148" s="4">
        <v>2</v>
      </c>
      <c r="G148" s="5">
        <v>0</v>
      </c>
      <c r="H148" s="5">
        <v>0</v>
      </c>
      <c r="I148" s="6">
        <v>4</v>
      </c>
      <c r="J148" s="5">
        <v>4</v>
      </c>
      <c r="K148" s="7">
        <v>2</v>
      </c>
      <c r="L148" s="5">
        <v>2</v>
      </c>
      <c r="M148" s="5">
        <v>2</v>
      </c>
      <c r="N148" s="7">
        <v>5</v>
      </c>
      <c r="O148" s="4">
        <v>0</v>
      </c>
    </row>
    <row r="149" spans="1:15">
      <c r="A149" s="8" t="s">
        <v>69</v>
      </c>
      <c r="B149" s="3" t="s">
        <v>43</v>
      </c>
      <c r="C149" s="3" t="s">
        <v>25</v>
      </c>
      <c r="D149" s="3" t="s">
        <v>20</v>
      </c>
      <c r="E149" s="4">
        <v>5</v>
      </c>
      <c r="F149" s="4">
        <v>4</v>
      </c>
      <c r="G149" s="5">
        <v>0</v>
      </c>
      <c r="H149" s="5">
        <v>0</v>
      </c>
      <c r="I149" s="6">
        <v>3</v>
      </c>
      <c r="J149" s="5">
        <v>3</v>
      </c>
      <c r="K149" s="7">
        <v>1</v>
      </c>
      <c r="L149" s="5">
        <v>1</v>
      </c>
      <c r="M149" s="5">
        <v>1</v>
      </c>
      <c r="N149" s="7">
        <v>3</v>
      </c>
      <c r="O149" s="4">
        <v>0</v>
      </c>
    </row>
    <row r="150" spans="1:15">
      <c r="A150" s="3" t="s">
        <v>74</v>
      </c>
      <c r="B150" s="3" t="s">
        <v>59</v>
      </c>
      <c r="C150" s="3" t="s">
        <v>17</v>
      </c>
      <c r="D150" s="3" t="s">
        <v>20</v>
      </c>
      <c r="E150" s="4">
        <v>2.5</v>
      </c>
      <c r="F150" s="4">
        <v>1</v>
      </c>
      <c r="G150" s="5">
        <v>0</v>
      </c>
      <c r="H150" s="5">
        <v>0</v>
      </c>
      <c r="I150" s="6">
        <v>122</v>
      </c>
      <c r="J150" s="5">
        <v>122</v>
      </c>
      <c r="K150" s="7">
        <v>0</v>
      </c>
      <c r="L150" s="5">
        <v>0</v>
      </c>
      <c r="M150" s="5">
        <v>9</v>
      </c>
      <c r="N150" s="7">
        <v>14</v>
      </c>
      <c r="O150" s="4">
        <v>0</v>
      </c>
    </row>
    <row r="151" spans="1:15">
      <c r="A151" s="8" t="s">
        <v>74</v>
      </c>
      <c r="B151" s="3" t="s">
        <v>60</v>
      </c>
      <c r="C151" s="3" t="s">
        <v>17</v>
      </c>
      <c r="D151" s="3" t="s">
        <v>20</v>
      </c>
      <c r="E151" s="4">
        <v>10</v>
      </c>
      <c r="F151" s="4">
        <v>1</v>
      </c>
      <c r="G151" s="5">
        <v>0</v>
      </c>
      <c r="H151" s="5">
        <v>0</v>
      </c>
      <c r="I151" s="6">
        <v>25</v>
      </c>
      <c r="J151" s="5">
        <v>26</v>
      </c>
      <c r="K151" s="7">
        <v>9</v>
      </c>
      <c r="L151" s="5">
        <v>15</v>
      </c>
      <c r="M151" s="5">
        <v>22</v>
      </c>
      <c r="N151" s="7">
        <v>40</v>
      </c>
      <c r="O151" s="4">
        <v>22</v>
      </c>
    </row>
    <row r="152" spans="1:15">
      <c r="A152" s="8" t="s">
        <v>74</v>
      </c>
      <c r="B152" s="3" t="s">
        <v>38</v>
      </c>
      <c r="C152" s="3" t="s">
        <v>25</v>
      </c>
      <c r="D152" s="3" t="s">
        <v>20</v>
      </c>
      <c r="E152" s="4">
        <v>5</v>
      </c>
      <c r="F152" s="4">
        <v>4</v>
      </c>
      <c r="G152" s="5">
        <v>0</v>
      </c>
      <c r="H152" s="5">
        <v>0.36</v>
      </c>
      <c r="I152" s="6">
        <v>3</v>
      </c>
      <c r="J152" s="5">
        <v>3</v>
      </c>
      <c r="K152" s="7">
        <v>0</v>
      </c>
      <c r="L152" s="5">
        <v>1</v>
      </c>
      <c r="M152" s="5">
        <v>1</v>
      </c>
      <c r="N152" s="7">
        <v>1</v>
      </c>
      <c r="O152" s="4">
        <v>0</v>
      </c>
    </row>
    <row r="153" spans="1:15">
      <c r="A153" s="8" t="s">
        <v>74</v>
      </c>
      <c r="B153" s="3" t="s">
        <v>16</v>
      </c>
      <c r="C153" s="3" t="s">
        <v>17</v>
      </c>
      <c r="D153" s="3" t="s">
        <v>20</v>
      </c>
      <c r="E153" s="4">
        <v>5</v>
      </c>
      <c r="F153" s="4">
        <v>1</v>
      </c>
      <c r="G153" s="5">
        <v>0</v>
      </c>
      <c r="H153" s="5">
        <v>0</v>
      </c>
      <c r="I153" s="6">
        <v>53</v>
      </c>
      <c r="J153" s="5">
        <v>53</v>
      </c>
      <c r="K153" s="7">
        <v>3</v>
      </c>
      <c r="L153" s="5">
        <v>16</v>
      </c>
      <c r="M153" s="5">
        <v>29</v>
      </c>
      <c r="N153" s="7">
        <v>66</v>
      </c>
      <c r="O153" s="4">
        <v>30</v>
      </c>
    </row>
    <row r="154" spans="1:15">
      <c r="A154" s="8" t="s">
        <v>74</v>
      </c>
      <c r="B154" s="3" t="s">
        <v>61</v>
      </c>
      <c r="C154" s="3" t="s">
        <v>17</v>
      </c>
      <c r="D154" s="3" t="s">
        <v>20</v>
      </c>
      <c r="E154" s="4">
        <v>10</v>
      </c>
      <c r="F154" s="4">
        <v>1</v>
      </c>
      <c r="G154" s="5">
        <v>0</v>
      </c>
      <c r="H154" s="5">
        <v>0</v>
      </c>
      <c r="I154" s="6">
        <v>40</v>
      </c>
      <c r="J154" s="5">
        <v>40</v>
      </c>
      <c r="K154" s="7">
        <v>2</v>
      </c>
      <c r="L154" s="5">
        <v>8</v>
      </c>
      <c r="M154" s="5">
        <v>20</v>
      </c>
      <c r="N154" s="7">
        <v>39</v>
      </c>
      <c r="O154" s="4">
        <v>21</v>
      </c>
    </row>
    <row r="155" spans="1:15">
      <c r="A155" s="8" t="s">
        <v>74</v>
      </c>
      <c r="B155" s="3" t="s">
        <v>62</v>
      </c>
      <c r="C155" s="3" t="s">
        <v>17</v>
      </c>
      <c r="D155" s="3" t="s">
        <v>20</v>
      </c>
      <c r="E155" s="4">
        <v>10</v>
      </c>
      <c r="F155" s="4">
        <v>1</v>
      </c>
      <c r="G155" s="5">
        <v>0</v>
      </c>
      <c r="H155" s="5">
        <v>0</v>
      </c>
      <c r="I155" s="6">
        <v>66</v>
      </c>
      <c r="J155" s="5">
        <v>66</v>
      </c>
      <c r="K155" s="7">
        <v>1</v>
      </c>
      <c r="L155" s="5">
        <v>5</v>
      </c>
      <c r="M155" s="5">
        <v>19</v>
      </c>
      <c r="N155" s="7">
        <v>52</v>
      </c>
      <c r="O155" s="4">
        <v>9</v>
      </c>
    </row>
    <row r="156" spans="1:15">
      <c r="A156" s="8" t="s">
        <v>74</v>
      </c>
      <c r="B156" s="3" t="s">
        <v>19</v>
      </c>
      <c r="C156" s="3" t="s">
        <v>17</v>
      </c>
      <c r="D156" s="3" t="s">
        <v>20</v>
      </c>
      <c r="E156" s="4">
        <v>5</v>
      </c>
      <c r="F156" s="4">
        <v>1</v>
      </c>
      <c r="G156" s="5">
        <v>0</v>
      </c>
      <c r="H156" s="5">
        <v>0</v>
      </c>
      <c r="I156" s="6">
        <v>189</v>
      </c>
      <c r="J156" s="5">
        <v>197</v>
      </c>
      <c r="K156" s="7">
        <v>31</v>
      </c>
      <c r="L156" s="5">
        <v>290</v>
      </c>
      <c r="M156" s="5">
        <v>360</v>
      </c>
      <c r="N156" s="7">
        <v>587</v>
      </c>
      <c r="O156" s="4">
        <v>245</v>
      </c>
    </row>
    <row r="157" spans="1:15">
      <c r="A157" s="8" t="s">
        <v>74</v>
      </c>
      <c r="B157" s="3" t="s">
        <v>63</v>
      </c>
      <c r="C157" s="3" t="s">
        <v>17</v>
      </c>
      <c r="D157" s="3" t="s">
        <v>20</v>
      </c>
      <c r="E157" s="4">
        <v>25</v>
      </c>
      <c r="F157" s="4">
        <v>1</v>
      </c>
      <c r="G157" s="5">
        <v>0</v>
      </c>
      <c r="H157" s="5">
        <v>0</v>
      </c>
      <c r="I157" s="6">
        <v>36</v>
      </c>
      <c r="J157" s="5">
        <v>36</v>
      </c>
      <c r="K157" s="7">
        <v>13</v>
      </c>
      <c r="L157" s="5">
        <v>34</v>
      </c>
      <c r="M157" s="5">
        <v>50</v>
      </c>
      <c r="N157" s="7">
        <v>83</v>
      </c>
      <c r="O157" s="4">
        <v>33</v>
      </c>
    </row>
    <row r="158" spans="1:15">
      <c r="A158" s="8" t="s">
        <v>74</v>
      </c>
      <c r="B158" s="3" t="s">
        <v>64</v>
      </c>
      <c r="C158" s="3" t="s">
        <v>17</v>
      </c>
      <c r="D158" s="3" t="s">
        <v>20</v>
      </c>
      <c r="E158" s="4">
        <v>10</v>
      </c>
      <c r="F158" s="4">
        <v>1</v>
      </c>
      <c r="G158" s="5">
        <v>0</v>
      </c>
      <c r="H158" s="5">
        <v>0</v>
      </c>
      <c r="I158" s="6">
        <v>49</v>
      </c>
      <c r="J158" s="5">
        <v>51</v>
      </c>
      <c r="K158" s="7">
        <v>2</v>
      </c>
      <c r="L158" s="5">
        <v>16</v>
      </c>
      <c r="M158" s="5">
        <v>30</v>
      </c>
      <c r="N158" s="7">
        <v>76</v>
      </c>
      <c r="O158" s="4">
        <v>49</v>
      </c>
    </row>
    <row r="159" spans="1:15">
      <c r="A159" s="8" t="s">
        <v>74</v>
      </c>
      <c r="B159" s="3" t="s">
        <v>23</v>
      </c>
      <c r="C159" s="3" t="s">
        <v>17</v>
      </c>
      <c r="D159" s="3" t="s">
        <v>20</v>
      </c>
      <c r="E159" s="4">
        <v>5</v>
      </c>
      <c r="F159" s="4">
        <v>5</v>
      </c>
      <c r="G159" s="5">
        <v>0</v>
      </c>
      <c r="H159" s="5">
        <v>15.08</v>
      </c>
      <c r="I159" s="6">
        <v>60</v>
      </c>
      <c r="J159" s="5">
        <v>60</v>
      </c>
      <c r="K159" s="7">
        <v>0</v>
      </c>
      <c r="L159" s="5">
        <v>2</v>
      </c>
      <c r="M159" s="5">
        <v>6</v>
      </c>
      <c r="N159" s="7">
        <v>21</v>
      </c>
      <c r="O159" s="4">
        <v>0</v>
      </c>
    </row>
    <row r="160" spans="1:15">
      <c r="A160" s="8" t="s">
        <v>74</v>
      </c>
      <c r="B160" s="3" t="s">
        <v>65</v>
      </c>
      <c r="C160" s="3" t="s">
        <v>17</v>
      </c>
      <c r="D160" s="3" t="s">
        <v>20</v>
      </c>
      <c r="E160" s="4">
        <v>2.5</v>
      </c>
      <c r="F160" s="4">
        <v>1</v>
      </c>
      <c r="G160" s="5">
        <v>0</v>
      </c>
      <c r="H160" s="5">
        <v>0</v>
      </c>
      <c r="I160" s="6">
        <v>118</v>
      </c>
      <c r="J160" s="5">
        <v>118</v>
      </c>
      <c r="K160" s="7">
        <v>0</v>
      </c>
      <c r="L160" s="5">
        <v>2</v>
      </c>
      <c r="M160" s="5">
        <v>9</v>
      </c>
      <c r="N160" s="7">
        <v>18</v>
      </c>
      <c r="O160" s="4">
        <v>0</v>
      </c>
    </row>
    <row r="161" spans="1:15">
      <c r="A161" s="8" t="s">
        <v>74</v>
      </c>
      <c r="B161" s="3" t="s">
        <v>21</v>
      </c>
      <c r="C161" s="3" t="s">
        <v>17</v>
      </c>
      <c r="D161" s="3" t="s">
        <v>20</v>
      </c>
      <c r="E161" s="4">
        <v>5</v>
      </c>
      <c r="F161" s="4">
        <v>1</v>
      </c>
      <c r="G161" s="5">
        <v>0</v>
      </c>
      <c r="H161" s="5">
        <v>0</v>
      </c>
      <c r="I161" s="6">
        <v>58</v>
      </c>
      <c r="J161" s="5">
        <v>61</v>
      </c>
      <c r="K161" s="7">
        <v>8</v>
      </c>
      <c r="L161" s="5">
        <v>11</v>
      </c>
      <c r="M161" s="5">
        <v>28</v>
      </c>
      <c r="N161" s="7">
        <v>58</v>
      </c>
      <c r="O161" s="4">
        <v>10</v>
      </c>
    </row>
    <row r="162" spans="1:15">
      <c r="A162" s="8" t="s">
        <v>74</v>
      </c>
      <c r="B162" s="3" t="s">
        <v>66</v>
      </c>
      <c r="C162" s="3" t="s">
        <v>25</v>
      </c>
      <c r="D162" s="3" t="s">
        <v>20</v>
      </c>
      <c r="E162" s="4">
        <v>10</v>
      </c>
      <c r="F162" s="4">
        <v>1</v>
      </c>
      <c r="G162" s="5">
        <v>0</v>
      </c>
      <c r="H162" s="5">
        <v>0</v>
      </c>
      <c r="I162" s="6">
        <v>0</v>
      </c>
      <c r="J162" s="5">
        <v>0</v>
      </c>
      <c r="K162" s="7">
        <v>0</v>
      </c>
      <c r="L162" s="5">
        <v>0</v>
      </c>
      <c r="M162" s="5">
        <v>0</v>
      </c>
      <c r="N162" s="7">
        <v>50</v>
      </c>
      <c r="O162" s="4">
        <v>0</v>
      </c>
    </row>
    <row r="163" spans="1:15">
      <c r="A163" s="8" t="s">
        <v>74</v>
      </c>
      <c r="B163" s="3" t="s">
        <v>39</v>
      </c>
      <c r="C163" s="3" t="s">
        <v>25</v>
      </c>
      <c r="D163" s="3" t="s">
        <v>20</v>
      </c>
      <c r="E163" s="4">
        <v>2.5</v>
      </c>
      <c r="F163" s="4">
        <v>1</v>
      </c>
      <c r="G163" s="5">
        <v>0</v>
      </c>
      <c r="H163" s="5">
        <v>0</v>
      </c>
      <c r="I163" s="6">
        <v>5</v>
      </c>
      <c r="J163" s="5">
        <v>5</v>
      </c>
      <c r="K163" s="7">
        <v>0</v>
      </c>
      <c r="L163" s="5">
        <v>1</v>
      </c>
      <c r="M163" s="5">
        <v>1</v>
      </c>
      <c r="N163" s="7">
        <v>1</v>
      </c>
      <c r="O163" s="4">
        <v>0</v>
      </c>
    </row>
    <row r="164" spans="1:15">
      <c r="A164" s="8" t="s">
        <v>74</v>
      </c>
      <c r="B164" s="3" t="s">
        <v>40</v>
      </c>
      <c r="C164" s="3" t="s">
        <v>25</v>
      </c>
      <c r="D164" s="3" t="s">
        <v>20</v>
      </c>
      <c r="E164" s="4">
        <v>5</v>
      </c>
      <c r="F164" s="4">
        <v>4</v>
      </c>
      <c r="G164" s="5">
        <v>0</v>
      </c>
      <c r="H164" s="5">
        <v>0</v>
      </c>
      <c r="I164" s="6">
        <v>11</v>
      </c>
      <c r="J164" s="5">
        <v>12</v>
      </c>
      <c r="K164" s="7">
        <v>0</v>
      </c>
      <c r="L164" s="5">
        <v>6</v>
      </c>
      <c r="M164" s="5">
        <v>8</v>
      </c>
      <c r="N164" s="7">
        <v>12</v>
      </c>
      <c r="O164" s="4">
        <v>0</v>
      </c>
    </row>
    <row r="165" spans="1:15">
      <c r="A165" s="8" t="s">
        <v>74</v>
      </c>
      <c r="B165" s="3" t="s">
        <v>48</v>
      </c>
      <c r="C165" s="3" t="s">
        <v>25</v>
      </c>
      <c r="D165" s="3" t="s">
        <v>20</v>
      </c>
      <c r="E165" s="4">
        <v>10</v>
      </c>
      <c r="F165" s="4">
        <v>2</v>
      </c>
      <c r="G165" s="5">
        <v>0</v>
      </c>
      <c r="H165" s="5">
        <v>0</v>
      </c>
      <c r="I165" s="6">
        <v>6</v>
      </c>
      <c r="J165" s="5">
        <v>6</v>
      </c>
      <c r="K165" s="7">
        <v>0</v>
      </c>
      <c r="L165" s="5">
        <v>1</v>
      </c>
      <c r="M165" s="5">
        <v>2</v>
      </c>
      <c r="N165" s="7">
        <v>6</v>
      </c>
      <c r="O165" s="4">
        <v>0</v>
      </c>
    </row>
    <row r="166" spans="1:15">
      <c r="A166" s="8" t="s">
        <v>74</v>
      </c>
      <c r="B166" s="3" t="s">
        <v>56</v>
      </c>
      <c r="C166" s="3" t="s">
        <v>25</v>
      </c>
      <c r="D166" s="3" t="s">
        <v>20</v>
      </c>
      <c r="E166" s="4">
        <v>5</v>
      </c>
      <c r="F166" s="4">
        <v>4</v>
      </c>
      <c r="G166" s="5">
        <v>0</v>
      </c>
      <c r="H166" s="5">
        <v>0.17</v>
      </c>
      <c r="I166" s="6">
        <v>2</v>
      </c>
      <c r="J166" s="5">
        <v>2</v>
      </c>
      <c r="K166" s="7">
        <v>1</v>
      </c>
      <c r="L166" s="5">
        <v>1</v>
      </c>
      <c r="M166" s="5">
        <v>1</v>
      </c>
      <c r="N166" s="7">
        <v>2</v>
      </c>
      <c r="O166" s="4">
        <v>0</v>
      </c>
    </row>
    <row r="167" spans="1:15">
      <c r="A167" s="8" t="s">
        <v>74</v>
      </c>
      <c r="B167" s="3" t="s">
        <v>53</v>
      </c>
      <c r="C167" s="3" t="s">
        <v>25</v>
      </c>
      <c r="D167" s="3" t="s">
        <v>20</v>
      </c>
      <c r="E167" s="4">
        <v>25</v>
      </c>
      <c r="F167" s="4">
        <v>1</v>
      </c>
      <c r="G167" s="5">
        <v>0</v>
      </c>
      <c r="H167" s="5">
        <v>0</v>
      </c>
      <c r="I167" s="6">
        <v>1</v>
      </c>
      <c r="J167" s="5">
        <v>1</v>
      </c>
      <c r="K167" s="7">
        <v>0</v>
      </c>
      <c r="L167" s="5">
        <v>0</v>
      </c>
      <c r="M167" s="5">
        <v>1</v>
      </c>
      <c r="N167" s="7">
        <v>3</v>
      </c>
      <c r="O167" s="4">
        <v>0</v>
      </c>
    </row>
    <row r="168" spans="1:15">
      <c r="A168" s="8" t="s">
        <v>74</v>
      </c>
      <c r="B168" s="3" t="s">
        <v>24</v>
      </c>
      <c r="C168" s="3" t="s">
        <v>25</v>
      </c>
      <c r="D168" s="3" t="s">
        <v>52</v>
      </c>
      <c r="E168" s="4">
        <v>5</v>
      </c>
      <c r="F168" s="4">
        <v>4</v>
      </c>
      <c r="G168" s="5">
        <v>0</v>
      </c>
      <c r="H168" s="5">
        <v>0</v>
      </c>
      <c r="I168" s="6">
        <v>33</v>
      </c>
      <c r="J168" s="5">
        <v>33</v>
      </c>
      <c r="K168" s="7">
        <v>3</v>
      </c>
      <c r="L168" s="5">
        <v>11</v>
      </c>
      <c r="M168" s="5">
        <v>23</v>
      </c>
      <c r="N168" s="7">
        <v>35</v>
      </c>
      <c r="O168" s="4">
        <v>0</v>
      </c>
    </row>
    <row r="169" spans="1:15">
      <c r="A169" s="8" t="s">
        <v>74</v>
      </c>
      <c r="B169" s="3" t="s">
        <v>49</v>
      </c>
      <c r="C169" s="3" t="s">
        <v>25</v>
      </c>
      <c r="D169" s="3" t="s">
        <v>20</v>
      </c>
      <c r="E169" s="4">
        <v>10</v>
      </c>
      <c r="F169" s="4">
        <v>2</v>
      </c>
      <c r="G169" s="5">
        <v>0</v>
      </c>
      <c r="H169" s="5">
        <v>0</v>
      </c>
      <c r="I169" s="6">
        <v>20</v>
      </c>
      <c r="J169" s="5">
        <v>21</v>
      </c>
      <c r="K169" s="7">
        <v>0</v>
      </c>
      <c r="L169" s="5">
        <v>11</v>
      </c>
      <c r="M169" s="5">
        <v>17</v>
      </c>
      <c r="N169" s="7">
        <v>38</v>
      </c>
      <c r="O169" s="4">
        <v>0</v>
      </c>
    </row>
    <row r="170" spans="1:15">
      <c r="A170" s="8" t="s">
        <v>74</v>
      </c>
      <c r="B170" s="3" t="s">
        <v>50</v>
      </c>
      <c r="C170" s="3" t="s">
        <v>25</v>
      </c>
      <c r="D170" s="3" t="s">
        <v>20</v>
      </c>
      <c r="E170" s="4">
        <v>10</v>
      </c>
      <c r="F170" s="4">
        <v>2</v>
      </c>
      <c r="G170" s="5">
        <v>0</v>
      </c>
      <c r="H170" s="5">
        <v>0.36</v>
      </c>
      <c r="I170" s="6">
        <v>3</v>
      </c>
      <c r="J170" s="5">
        <v>3</v>
      </c>
      <c r="K170" s="7">
        <v>0</v>
      </c>
      <c r="L170" s="5">
        <v>1</v>
      </c>
      <c r="M170" s="5">
        <v>1</v>
      </c>
      <c r="N170" s="7">
        <v>2</v>
      </c>
      <c r="O170" s="4">
        <v>0</v>
      </c>
    </row>
    <row r="171" spans="1:15">
      <c r="A171" s="8" t="s">
        <v>74</v>
      </c>
      <c r="B171" s="3" t="s">
        <v>43</v>
      </c>
      <c r="C171" s="3" t="s">
        <v>25</v>
      </c>
      <c r="D171" s="3" t="s">
        <v>20</v>
      </c>
      <c r="E171" s="4">
        <v>5</v>
      </c>
      <c r="F171" s="4">
        <v>4</v>
      </c>
      <c r="G171" s="5">
        <v>0</v>
      </c>
      <c r="H171" s="5">
        <v>0</v>
      </c>
      <c r="I171" s="6">
        <v>1</v>
      </c>
      <c r="J171" s="5">
        <v>1</v>
      </c>
      <c r="K171" s="7">
        <v>0</v>
      </c>
      <c r="L171" s="5">
        <v>0</v>
      </c>
      <c r="M171" s="5">
        <v>1</v>
      </c>
      <c r="N171" s="7">
        <v>3</v>
      </c>
      <c r="O171" s="4">
        <v>0</v>
      </c>
    </row>
    <row r="172" spans="1:15">
      <c r="A172" s="3" t="s">
        <v>75</v>
      </c>
      <c r="B172" s="3" t="s">
        <v>59</v>
      </c>
      <c r="C172" s="3" t="s">
        <v>17</v>
      </c>
      <c r="D172" s="3" t="s">
        <v>20</v>
      </c>
      <c r="E172" s="4">
        <v>2.5</v>
      </c>
      <c r="F172" s="4">
        <v>1</v>
      </c>
      <c r="G172" s="5">
        <v>0</v>
      </c>
      <c r="H172" s="5">
        <v>0</v>
      </c>
      <c r="I172" s="6">
        <v>131</v>
      </c>
      <c r="J172" s="5">
        <v>131</v>
      </c>
      <c r="K172" s="7">
        <v>1</v>
      </c>
      <c r="L172" s="5">
        <v>14</v>
      </c>
      <c r="M172" s="5">
        <v>29</v>
      </c>
      <c r="N172" s="7">
        <v>34</v>
      </c>
      <c r="O172" s="4">
        <v>0</v>
      </c>
    </row>
    <row r="173" spans="1:15">
      <c r="A173" s="8" t="s">
        <v>75</v>
      </c>
      <c r="B173" s="3" t="s">
        <v>60</v>
      </c>
      <c r="C173" s="3" t="s">
        <v>17</v>
      </c>
      <c r="D173" s="3" t="s">
        <v>20</v>
      </c>
      <c r="E173" s="4">
        <v>10</v>
      </c>
      <c r="F173" s="4">
        <v>1</v>
      </c>
      <c r="G173" s="5">
        <v>0</v>
      </c>
      <c r="H173" s="5">
        <v>0</v>
      </c>
      <c r="I173" s="6">
        <v>46</v>
      </c>
      <c r="J173" s="5">
        <v>46</v>
      </c>
      <c r="K173" s="7">
        <v>2</v>
      </c>
      <c r="L173" s="5">
        <v>7</v>
      </c>
      <c r="M173" s="5">
        <v>20</v>
      </c>
      <c r="N173" s="7">
        <v>22</v>
      </c>
      <c r="O173" s="4">
        <v>3</v>
      </c>
    </row>
    <row r="174" spans="1:15">
      <c r="A174" s="8" t="s">
        <v>75</v>
      </c>
      <c r="B174" s="3" t="s">
        <v>68</v>
      </c>
      <c r="C174" s="3" t="s">
        <v>25</v>
      </c>
      <c r="D174" s="3" t="s">
        <v>20</v>
      </c>
      <c r="E174" s="4">
        <v>10</v>
      </c>
      <c r="F174" s="4">
        <v>1</v>
      </c>
      <c r="G174" s="5">
        <v>0</v>
      </c>
      <c r="H174" s="5">
        <v>0</v>
      </c>
      <c r="I174" s="6">
        <v>8</v>
      </c>
      <c r="J174" s="5">
        <v>8</v>
      </c>
      <c r="K174" s="7">
        <v>0</v>
      </c>
      <c r="L174" s="5">
        <v>2</v>
      </c>
      <c r="M174" s="5">
        <v>3</v>
      </c>
      <c r="N174" s="7">
        <v>5</v>
      </c>
      <c r="O174" s="4">
        <v>0</v>
      </c>
    </row>
    <row r="175" spans="1:15">
      <c r="A175" s="8" t="s">
        <v>75</v>
      </c>
      <c r="B175" s="3" t="s">
        <v>38</v>
      </c>
      <c r="C175" s="3" t="s">
        <v>25</v>
      </c>
      <c r="D175" s="3" t="s">
        <v>20</v>
      </c>
      <c r="E175" s="4">
        <v>5</v>
      </c>
      <c r="F175" s="4">
        <v>4</v>
      </c>
      <c r="G175" s="5">
        <v>0</v>
      </c>
      <c r="H175" s="5">
        <v>2.93</v>
      </c>
      <c r="I175" s="6">
        <v>7</v>
      </c>
      <c r="J175" s="5">
        <v>7</v>
      </c>
      <c r="K175" s="7">
        <v>0</v>
      </c>
      <c r="L175" s="5">
        <v>0</v>
      </c>
      <c r="M175" s="5">
        <v>0</v>
      </c>
      <c r="N175" s="7">
        <v>0</v>
      </c>
      <c r="O175" s="4">
        <v>0</v>
      </c>
    </row>
    <row r="176" spans="1:15">
      <c r="A176" s="8" t="s">
        <v>75</v>
      </c>
      <c r="B176" s="3" t="s">
        <v>16</v>
      </c>
      <c r="C176" s="3" t="s">
        <v>17</v>
      </c>
      <c r="D176" s="3" t="s">
        <v>20</v>
      </c>
      <c r="E176" s="4">
        <v>5</v>
      </c>
      <c r="F176" s="4">
        <v>1</v>
      </c>
      <c r="G176" s="5">
        <v>0</v>
      </c>
      <c r="H176" s="5">
        <v>16.98</v>
      </c>
      <c r="I176" s="6">
        <v>106</v>
      </c>
      <c r="J176" s="5">
        <v>106</v>
      </c>
      <c r="K176" s="7">
        <v>1</v>
      </c>
      <c r="L176" s="5">
        <v>11</v>
      </c>
      <c r="M176" s="5">
        <v>24</v>
      </c>
      <c r="N176" s="7">
        <v>45</v>
      </c>
      <c r="O176" s="4">
        <v>0</v>
      </c>
    </row>
    <row r="177" spans="1:15">
      <c r="A177" s="8" t="s">
        <v>75</v>
      </c>
      <c r="B177" s="3" t="s">
        <v>61</v>
      </c>
      <c r="C177" s="3" t="s">
        <v>17</v>
      </c>
      <c r="D177" s="3" t="s">
        <v>20</v>
      </c>
      <c r="E177" s="4">
        <v>10</v>
      </c>
      <c r="F177" s="4">
        <v>1</v>
      </c>
      <c r="G177" s="5">
        <v>0</v>
      </c>
      <c r="H177" s="5">
        <v>8.28</v>
      </c>
      <c r="I177" s="6">
        <v>64</v>
      </c>
      <c r="J177" s="5">
        <v>66</v>
      </c>
      <c r="K177" s="7">
        <v>0</v>
      </c>
      <c r="L177" s="5">
        <v>5</v>
      </c>
      <c r="M177" s="5">
        <v>13</v>
      </c>
      <c r="N177" s="7">
        <v>29</v>
      </c>
      <c r="O177" s="4">
        <v>0</v>
      </c>
    </row>
    <row r="178" spans="1:15">
      <c r="A178" s="8" t="s">
        <v>75</v>
      </c>
      <c r="B178" s="3" t="s">
        <v>62</v>
      </c>
      <c r="C178" s="3" t="s">
        <v>17</v>
      </c>
      <c r="D178" s="3" t="s">
        <v>20</v>
      </c>
      <c r="E178" s="4">
        <v>10</v>
      </c>
      <c r="F178" s="4">
        <v>1</v>
      </c>
      <c r="G178" s="5">
        <v>0</v>
      </c>
      <c r="H178" s="5">
        <v>0</v>
      </c>
      <c r="I178" s="6">
        <v>27</v>
      </c>
      <c r="J178" s="5">
        <v>29</v>
      </c>
      <c r="K178" s="7">
        <v>2</v>
      </c>
      <c r="L178" s="5">
        <v>9</v>
      </c>
      <c r="M178" s="5">
        <v>24</v>
      </c>
      <c r="N178" s="7">
        <v>25</v>
      </c>
      <c r="O178" s="4">
        <v>8</v>
      </c>
    </row>
    <row r="179" spans="1:15">
      <c r="A179" s="8" t="s">
        <v>75</v>
      </c>
      <c r="B179" s="3" t="s">
        <v>19</v>
      </c>
      <c r="C179" s="3" t="s">
        <v>17</v>
      </c>
      <c r="D179" s="3" t="s">
        <v>20</v>
      </c>
      <c r="E179" s="4">
        <v>5</v>
      </c>
      <c r="F179" s="4">
        <v>1</v>
      </c>
      <c r="G179" s="5">
        <v>0</v>
      </c>
      <c r="H179" s="5">
        <v>0</v>
      </c>
      <c r="I179" s="6">
        <v>230</v>
      </c>
      <c r="J179" s="5">
        <v>234</v>
      </c>
      <c r="K179" s="7">
        <v>35</v>
      </c>
      <c r="L179" s="5">
        <v>150</v>
      </c>
      <c r="M179" s="5">
        <v>256</v>
      </c>
      <c r="N179" s="7">
        <v>269</v>
      </c>
      <c r="O179" s="4">
        <v>304</v>
      </c>
    </row>
    <row r="180" spans="1:15">
      <c r="A180" s="8" t="s">
        <v>75</v>
      </c>
      <c r="B180" s="3" t="s">
        <v>63</v>
      </c>
      <c r="C180" s="3" t="s">
        <v>17</v>
      </c>
      <c r="D180" s="3" t="s">
        <v>20</v>
      </c>
      <c r="E180" s="4">
        <v>25</v>
      </c>
      <c r="F180" s="4">
        <v>1</v>
      </c>
      <c r="G180" s="5">
        <v>0</v>
      </c>
      <c r="H180" s="5">
        <v>0</v>
      </c>
      <c r="I180" s="6">
        <v>82</v>
      </c>
      <c r="J180" s="5">
        <v>83</v>
      </c>
      <c r="K180" s="7">
        <v>0</v>
      </c>
      <c r="L180" s="5">
        <v>15</v>
      </c>
      <c r="M180" s="5">
        <v>40</v>
      </c>
      <c r="N180" s="7">
        <v>40</v>
      </c>
      <c r="O180" s="4">
        <v>35</v>
      </c>
    </row>
    <row r="181" spans="1:15">
      <c r="A181" s="8" t="s">
        <v>75</v>
      </c>
      <c r="B181" s="3" t="s">
        <v>64</v>
      </c>
      <c r="C181" s="3" t="s">
        <v>17</v>
      </c>
      <c r="D181" s="3" t="s">
        <v>20</v>
      </c>
      <c r="E181" s="4">
        <v>10</v>
      </c>
      <c r="F181" s="4">
        <v>1</v>
      </c>
      <c r="G181" s="5">
        <v>0</v>
      </c>
      <c r="H181" s="5">
        <v>0</v>
      </c>
      <c r="I181" s="6">
        <v>119</v>
      </c>
      <c r="J181" s="5">
        <v>121</v>
      </c>
      <c r="K181" s="7">
        <v>4</v>
      </c>
      <c r="L181" s="5">
        <v>21</v>
      </c>
      <c r="M181" s="5">
        <v>37</v>
      </c>
      <c r="N181" s="7">
        <v>99</v>
      </c>
      <c r="O181" s="4">
        <v>33</v>
      </c>
    </row>
    <row r="182" spans="1:15">
      <c r="A182" s="8" t="s">
        <v>75</v>
      </c>
      <c r="B182" s="3" t="s">
        <v>23</v>
      </c>
      <c r="C182" s="3" t="s">
        <v>17</v>
      </c>
      <c r="D182" s="3" t="s">
        <v>20</v>
      </c>
      <c r="E182" s="4">
        <v>5</v>
      </c>
      <c r="F182" s="4">
        <v>5</v>
      </c>
      <c r="G182" s="5">
        <v>0</v>
      </c>
      <c r="H182" s="5">
        <v>1.6</v>
      </c>
      <c r="I182" s="6">
        <v>39</v>
      </c>
      <c r="J182" s="5">
        <v>39</v>
      </c>
      <c r="K182" s="7">
        <v>1</v>
      </c>
      <c r="L182" s="5">
        <v>3</v>
      </c>
      <c r="M182" s="5">
        <v>5</v>
      </c>
      <c r="N182" s="7">
        <v>22</v>
      </c>
      <c r="O182" s="4">
        <v>15</v>
      </c>
    </row>
    <row r="183" spans="1:15">
      <c r="A183" s="8" t="s">
        <v>75</v>
      </c>
      <c r="B183" s="3" t="s">
        <v>65</v>
      </c>
      <c r="C183" s="3" t="s">
        <v>17</v>
      </c>
      <c r="D183" s="3" t="s">
        <v>20</v>
      </c>
      <c r="E183" s="4">
        <v>2.5</v>
      </c>
      <c r="F183" s="4">
        <v>1</v>
      </c>
      <c r="G183" s="5">
        <v>0</v>
      </c>
      <c r="H183" s="5">
        <v>0</v>
      </c>
      <c r="I183" s="6">
        <v>48</v>
      </c>
      <c r="J183" s="5">
        <v>48</v>
      </c>
      <c r="K183" s="7">
        <v>1</v>
      </c>
      <c r="L183" s="5">
        <v>2</v>
      </c>
      <c r="M183" s="5">
        <v>7</v>
      </c>
      <c r="N183" s="7">
        <v>8</v>
      </c>
      <c r="O183" s="4">
        <v>0</v>
      </c>
    </row>
    <row r="184" spans="1:15">
      <c r="A184" s="8" t="s">
        <v>75</v>
      </c>
      <c r="B184" s="3" t="s">
        <v>21</v>
      </c>
      <c r="C184" s="3" t="s">
        <v>17</v>
      </c>
      <c r="D184" s="3" t="s">
        <v>20</v>
      </c>
      <c r="E184" s="4">
        <v>5</v>
      </c>
      <c r="F184" s="4">
        <v>1</v>
      </c>
      <c r="G184" s="5">
        <v>0</v>
      </c>
      <c r="H184" s="5">
        <v>0</v>
      </c>
      <c r="I184" s="6">
        <v>62</v>
      </c>
      <c r="J184" s="5">
        <v>64</v>
      </c>
      <c r="K184" s="7">
        <v>2</v>
      </c>
      <c r="L184" s="5">
        <v>23</v>
      </c>
      <c r="M184" s="5">
        <v>38</v>
      </c>
      <c r="N184" s="7">
        <v>57</v>
      </c>
      <c r="O184" s="4">
        <v>27</v>
      </c>
    </row>
    <row r="185" spans="1:15">
      <c r="A185" s="8" t="s">
        <v>75</v>
      </c>
      <c r="B185" s="3" t="s">
        <v>66</v>
      </c>
      <c r="C185" s="3" t="s">
        <v>25</v>
      </c>
      <c r="D185" s="3" t="s">
        <v>20</v>
      </c>
      <c r="E185" s="4">
        <v>10</v>
      </c>
      <c r="F185" s="4">
        <v>1</v>
      </c>
      <c r="G185" s="5">
        <v>0</v>
      </c>
      <c r="H185" s="5">
        <v>0</v>
      </c>
      <c r="I185" s="6">
        <v>74</v>
      </c>
      <c r="J185" s="5">
        <v>74</v>
      </c>
      <c r="K185" s="7">
        <v>4</v>
      </c>
      <c r="L185" s="5">
        <v>11</v>
      </c>
      <c r="M185" s="5">
        <v>18</v>
      </c>
      <c r="N185" s="7">
        <v>37</v>
      </c>
      <c r="O185" s="4">
        <v>0</v>
      </c>
    </row>
    <row r="186" spans="1:15">
      <c r="A186" s="8" t="s">
        <v>75</v>
      </c>
      <c r="B186" s="3" t="s">
        <v>39</v>
      </c>
      <c r="C186" s="3" t="s">
        <v>25</v>
      </c>
      <c r="D186" s="3" t="s">
        <v>20</v>
      </c>
      <c r="E186" s="4">
        <v>2.5</v>
      </c>
      <c r="F186" s="4">
        <v>1</v>
      </c>
      <c r="G186" s="5">
        <v>0</v>
      </c>
      <c r="H186" s="5">
        <v>0</v>
      </c>
      <c r="I186" s="6">
        <v>11</v>
      </c>
      <c r="J186" s="5">
        <v>11</v>
      </c>
      <c r="K186" s="7">
        <v>0</v>
      </c>
      <c r="L186" s="5">
        <v>1</v>
      </c>
      <c r="M186" s="5">
        <v>1</v>
      </c>
      <c r="N186" s="7">
        <v>1</v>
      </c>
      <c r="O186" s="4">
        <v>0</v>
      </c>
    </row>
    <row r="187" spans="1:15">
      <c r="A187" s="8" t="s">
        <v>75</v>
      </c>
      <c r="B187" s="3" t="s">
        <v>40</v>
      </c>
      <c r="C187" s="3" t="s">
        <v>25</v>
      </c>
      <c r="D187" s="3" t="s">
        <v>20</v>
      </c>
      <c r="E187" s="4">
        <v>5</v>
      </c>
      <c r="F187" s="4">
        <v>4</v>
      </c>
      <c r="G187" s="5">
        <v>4</v>
      </c>
      <c r="H187" s="5">
        <v>0</v>
      </c>
      <c r="I187" s="6">
        <v>4</v>
      </c>
      <c r="J187" s="5">
        <v>4</v>
      </c>
      <c r="K187" s="7">
        <v>0</v>
      </c>
      <c r="L187" s="5">
        <v>0</v>
      </c>
      <c r="M187" s="5">
        <v>0</v>
      </c>
      <c r="N187" s="7">
        <v>1</v>
      </c>
      <c r="O187" s="4">
        <v>0</v>
      </c>
    </row>
    <row r="188" spans="1:15">
      <c r="A188" s="8" t="s">
        <v>75</v>
      </c>
      <c r="B188" s="3" t="s">
        <v>48</v>
      </c>
      <c r="C188" s="3" t="s">
        <v>25</v>
      </c>
      <c r="D188" s="3" t="s">
        <v>20</v>
      </c>
      <c r="E188" s="4">
        <v>10</v>
      </c>
      <c r="F188" s="4">
        <v>2</v>
      </c>
      <c r="G188" s="5">
        <v>0</v>
      </c>
      <c r="H188" s="5">
        <v>3.12</v>
      </c>
      <c r="I188" s="6">
        <v>8</v>
      </c>
      <c r="J188" s="5">
        <v>8</v>
      </c>
      <c r="K188" s="7">
        <v>0</v>
      </c>
      <c r="L188" s="5">
        <v>0</v>
      </c>
      <c r="M188" s="5">
        <v>2</v>
      </c>
      <c r="N188" s="7">
        <v>3</v>
      </c>
      <c r="O188" s="4">
        <v>0</v>
      </c>
    </row>
    <row r="189" spans="1:15">
      <c r="A189" s="8" t="s">
        <v>75</v>
      </c>
      <c r="B189" s="3" t="s">
        <v>56</v>
      </c>
      <c r="C189" s="3" t="s">
        <v>25</v>
      </c>
      <c r="D189" s="3" t="s">
        <v>20</v>
      </c>
      <c r="E189" s="4">
        <v>5</v>
      </c>
      <c r="F189" s="4">
        <v>4</v>
      </c>
      <c r="G189" s="5">
        <v>1</v>
      </c>
      <c r="H189" s="5">
        <v>3.78</v>
      </c>
      <c r="I189" s="6">
        <v>5</v>
      </c>
      <c r="J189" s="5">
        <v>5</v>
      </c>
      <c r="K189" s="7">
        <v>0</v>
      </c>
      <c r="L189" s="5">
        <v>0</v>
      </c>
      <c r="M189" s="5">
        <v>0</v>
      </c>
      <c r="N189" s="7">
        <v>0</v>
      </c>
      <c r="O189" s="4">
        <v>0</v>
      </c>
    </row>
    <row r="190" spans="1:15">
      <c r="A190" s="8" t="s">
        <v>75</v>
      </c>
      <c r="B190" s="3" t="s">
        <v>42</v>
      </c>
      <c r="C190" s="3" t="s">
        <v>25</v>
      </c>
      <c r="D190" s="3" t="s">
        <v>20</v>
      </c>
      <c r="E190" s="4">
        <v>5</v>
      </c>
      <c r="F190" s="4">
        <v>4</v>
      </c>
      <c r="G190" s="5">
        <v>0</v>
      </c>
      <c r="H190" s="5">
        <v>0</v>
      </c>
      <c r="I190" s="6">
        <v>5</v>
      </c>
      <c r="J190" s="5">
        <v>1</v>
      </c>
      <c r="K190" s="7">
        <v>0</v>
      </c>
      <c r="L190" s="5">
        <v>0</v>
      </c>
      <c r="M190" s="5">
        <v>1</v>
      </c>
      <c r="N190" s="7">
        <v>1</v>
      </c>
      <c r="O190" s="4">
        <v>0</v>
      </c>
    </row>
    <row r="191" spans="1:15">
      <c r="A191" s="8" t="s">
        <v>75</v>
      </c>
      <c r="B191" s="3" t="s">
        <v>53</v>
      </c>
      <c r="C191" s="3" t="s">
        <v>25</v>
      </c>
      <c r="D191" s="3" t="s">
        <v>20</v>
      </c>
      <c r="E191" s="4">
        <v>25</v>
      </c>
      <c r="F191" s="4">
        <v>1</v>
      </c>
      <c r="G191" s="5">
        <v>0</v>
      </c>
      <c r="H191" s="5">
        <v>0</v>
      </c>
      <c r="I191" s="6">
        <v>3</v>
      </c>
      <c r="J191" s="5">
        <v>1</v>
      </c>
      <c r="K191" s="7">
        <v>0</v>
      </c>
      <c r="L191" s="5">
        <v>1</v>
      </c>
      <c r="M191" s="5">
        <v>2</v>
      </c>
      <c r="N191" s="7">
        <v>4</v>
      </c>
      <c r="O191" s="4">
        <v>0</v>
      </c>
    </row>
    <row r="192" spans="1:15">
      <c r="A192" s="8" t="s">
        <v>75</v>
      </c>
      <c r="B192" s="3" t="s">
        <v>24</v>
      </c>
      <c r="C192" s="3" t="s">
        <v>25</v>
      </c>
      <c r="D192" s="3" t="s">
        <v>20</v>
      </c>
      <c r="E192" s="4">
        <v>5</v>
      </c>
      <c r="F192" s="4">
        <v>4</v>
      </c>
      <c r="G192" s="5">
        <v>0</v>
      </c>
      <c r="H192" s="5">
        <v>0</v>
      </c>
      <c r="I192" s="6">
        <v>27</v>
      </c>
      <c r="J192" s="5">
        <v>27</v>
      </c>
      <c r="K192" s="7">
        <v>0</v>
      </c>
      <c r="L192" s="5">
        <v>4</v>
      </c>
      <c r="M192" s="5">
        <v>12</v>
      </c>
      <c r="N192" s="7">
        <v>23</v>
      </c>
      <c r="O192" s="4">
        <v>0</v>
      </c>
    </row>
    <row r="193" spans="1:15">
      <c r="A193" s="8" t="s">
        <v>75</v>
      </c>
      <c r="B193" s="3" t="s">
        <v>49</v>
      </c>
      <c r="C193" s="3" t="s">
        <v>25</v>
      </c>
      <c r="D193" s="3" t="s">
        <v>20</v>
      </c>
      <c r="E193" s="4">
        <v>10</v>
      </c>
      <c r="F193" s="4">
        <v>2</v>
      </c>
      <c r="G193" s="5">
        <v>0</v>
      </c>
      <c r="H193" s="5">
        <v>0</v>
      </c>
      <c r="I193" s="6">
        <v>22</v>
      </c>
      <c r="J193" s="5">
        <v>22</v>
      </c>
      <c r="K193" s="7">
        <v>1</v>
      </c>
      <c r="L193" s="5">
        <v>3</v>
      </c>
      <c r="M193" s="5">
        <v>6</v>
      </c>
      <c r="N193" s="7">
        <v>23</v>
      </c>
      <c r="O193" s="4">
        <v>0</v>
      </c>
    </row>
    <row r="194" spans="1:15">
      <c r="A194" s="8" t="s">
        <v>75</v>
      </c>
      <c r="B194" s="3" t="s">
        <v>50</v>
      </c>
      <c r="C194" s="3" t="s">
        <v>25</v>
      </c>
      <c r="D194" s="3" t="s">
        <v>20</v>
      </c>
      <c r="E194" s="4">
        <v>10</v>
      </c>
      <c r="F194" s="4">
        <v>2</v>
      </c>
      <c r="G194" s="5">
        <v>0</v>
      </c>
      <c r="H194" s="5">
        <v>0</v>
      </c>
      <c r="I194" s="6">
        <v>5</v>
      </c>
      <c r="J194" s="5">
        <v>5</v>
      </c>
      <c r="K194" s="7">
        <v>0</v>
      </c>
      <c r="L194" s="5">
        <v>0</v>
      </c>
      <c r="M194" s="5">
        <v>0</v>
      </c>
      <c r="N194" s="7">
        <v>3</v>
      </c>
      <c r="O194" s="4">
        <v>0</v>
      </c>
    </row>
    <row r="195" spans="1:15">
      <c r="A195" s="8" t="s">
        <v>75</v>
      </c>
      <c r="B195" s="3" t="s">
        <v>43</v>
      </c>
      <c r="C195" s="3" t="s">
        <v>25</v>
      </c>
      <c r="D195" s="3" t="s">
        <v>20</v>
      </c>
      <c r="E195" s="4">
        <v>5</v>
      </c>
      <c r="F195" s="4">
        <v>4</v>
      </c>
      <c r="G195" s="5">
        <v>0</v>
      </c>
      <c r="H195" s="5">
        <v>2.97</v>
      </c>
      <c r="I195" s="6">
        <v>5</v>
      </c>
      <c r="J195" s="5">
        <v>5</v>
      </c>
      <c r="K195" s="7">
        <v>0</v>
      </c>
      <c r="L195" s="5">
        <v>0</v>
      </c>
      <c r="M195" s="5">
        <v>0</v>
      </c>
      <c r="N195" s="7">
        <v>0</v>
      </c>
      <c r="O195" s="4">
        <v>0</v>
      </c>
    </row>
    <row r="196" spans="1:15">
      <c r="A196" s="3" t="s">
        <v>76</v>
      </c>
      <c r="B196" s="3" t="s">
        <v>59</v>
      </c>
      <c r="C196" s="3" t="s">
        <v>17</v>
      </c>
      <c r="D196" s="3" t="s">
        <v>20</v>
      </c>
      <c r="E196" s="4">
        <v>2.5</v>
      </c>
      <c r="F196" s="4">
        <v>1</v>
      </c>
      <c r="G196" s="5">
        <v>0</v>
      </c>
      <c r="H196" s="5">
        <v>0</v>
      </c>
      <c r="I196" s="6">
        <v>139</v>
      </c>
      <c r="J196" s="5">
        <v>139</v>
      </c>
      <c r="K196" s="7">
        <v>1</v>
      </c>
      <c r="L196" s="5">
        <v>2</v>
      </c>
      <c r="M196" s="5">
        <v>24</v>
      </c>
      <c r="N196" s="7">
        <v>50</v>
      </c>
      <c r="O196" s="4">
        <v>69</v>
      </c>
    </row>
    <row r="197" spans="1:15">
      <c r="A197" s="8" t="s">
        <v>76</v>
      </c>
      <c r="B197" s="3" t="s">
        <v>60</v>
      </c>
      <c r="C197" s="3" t="s">
        <v>17</v>
      </c>
      <c r="D197" s="3" t="s">
        <v>20</v>
      </c>
      <c r="E197" s="4">
        <v>10</v>
      </c>
      <c r="F197" s="4">
        <v>1</v>
      </c>
      <c r="G197" s="5">
        <v>0</v>
      </c>
      <c r="H197" s="5">
        <v>0</v>
      </c>
      <c r="I197" s="6">
        <v>29</v>
      </c>
      <c r="J197" s="5">
        <v>29</v>
      </c>
      <c r="K197" s="7">
        <v>0</v>
      </c>
      <c r="L197" s="5">
        <v>19</v>
      </c>
      <c r="M197" s="5">
        <v>32</v>
      </c>
      <c r="N197" s="7">
        <v>40</v>
      </c>
      <c r="O197" s="4">
        <v>28</v>
      </c>
    </row>
    <row r="198" spans="1:15">
      <c r="A198" s="8" t="s">
        <v>76</v>
      </c>
      <c r="B198" s="3" t="s">
        <v>38</v>
      </c>
      <c r="C198" s="3" t="s">
        <v>25</v>
      </c>
      <c r="D198" s="3" t="s">
        <v>20</v>
      </c>
      <c r="E198" s="4">
        <v>5</v>
      </c>
      <c r="F198" s="4">
        <v>4</v>
      </c>
      <c r="G198" s="5">
        <v>0</v>
      </c>
      <c r="H198" s="5">
        <v>0</v>
      </c>
      <c r="I198" s="6">
        <v>6</v>
      </c>
      <c r="J198" s="5">
        <v>6</v>
      </c>
      <c r="K198" s="7">
        <v>2</v>
      </c>
      <c r="L198" s="5">
        <v>2</v>
      </c>
      <c r="M198" s="5">
        <v>2</v>
      </c>
      <c r="N198" s="7">
        <v>3</v>
      </c>
      <c r="O198" s="4">
        <v>0</v>
      </c>
    </row>
    <row r="199" spans="1:15">
      <c r="A199" s="8" t="s">
        <v>76</v>
      </c>
      <c r="B199" s="3" t="s">
        <v>16</v>
      </c>
      <c r="C199" s="3" t="s">
        <v>17</v>
      </c>
      <c r="D199" s="3" t="s">
        <v>20</v>
      </c>
      <c r="E199" s="4">
        <v>5</v>
      </c>
      <c r="F199" s="4">
        <v>1</v>
      </c>
      <c r="G199" s="5">
        <v>0</v>
      </c>
      <c r="H199" s="5">
        <v>0</v>
      </c>
      <c r="I199" s="6">
        <v>34</v>
      </c>
      <c r="J199" s="5">
        <v>34</v>
      </c>
      <c r="K199" s="7">
        <v>3</v>
      </c>
      <c r="L199" s="5">
        <v>54</v>
      </c>
      <c r="M199" s="5">
        <v>65</v>
      </c>
      <c r="N199" s="7">
        <v>89</v>
      </c>
      <c r="O199" s="4">
        <v>97</v>
      </c>
    </row>
    <row r="200" spans="1:15">
      <c r="A200" s="8" t="s">
        <v>76</v>
      </c>
      <c r="B200" s="3" t="s">
        <v>61</v>
      </c>
      <c r="C200" s="3" t="s">
        <v>17</v>
      </c>
      <c r="D200" s="3" t="s">
        <v>20</v>
      </c>
      <c r="E200" s="4">
        <v>10</v>
      </c>
      <c r="F200" s="4">
        <v>1</v>
      </c>
      <c r="G200" s="5">
        <v>0</v>
      </c>
      <c r="H200" s="5">
        <v>0</v>
      </c>
      <c r="I200" s="6">
        <v>41</v>
      </c>
      <c r="J200" s="5">
        <v>41</v>
      </c>
      <c r="K200" s="7">
        <v>1</v>
      </c>
      <c r="L200" s="5">
        <v>14</v>
      </c>
      <c r="M200" s="5">
        <v>25</v>
      </c>
      <c r="N200" s="7">
        <v>47</v>
      </c>
      <c r="O200" s="4">
        <v>72</v>
      </c>
    </row>
    <row r="201" spans="1:15">
      <c r="A201" s="8" t="s">
        <v>76</v>
      </c>
      <c r="B201" s="3" t="s">
        <v>62</v>
      </c>
      <c r="C201" s="3" t="s">
        <v>17</v>
      </c>
      <c r="D201" s="3" t="s">
        <v>20</v>
      </c>
      <c r="E201" s="4">
        <v>10</v>
      </c>
      <c r="F201" s="4">
        <v>1</v>
      </c>
      <c r="G201" s="5">
        <v>0</v>
      </c>
      <c r="H201" s="5">
        <v>0</v>
      </c>
      <c r="I201" s="6">
        <v>48</v>
      </c>
      <c r="J201" s="5">
        <v>48</v>
      </c>
      <c r="K201" s="7">
        <v>3</v>
      </c>
      <c r="L201" s="5">
        <v>7</v>
      </c>
      <c r="M201" s="5">
        <v>7</v>
      </c>
      <c r="N201" s="7">
        <v>40</v>
      </c>
      <c r="O201" s="4">
        <v>12</v>
      </c>
    </row>
    <row r="202" spans="1:15">
      <c r="A202" s="8" t="s">
        <v>76</v>
      </c>
      <c r="B202" s="3" t="s">
        <v>19</v>
      </c>
      <c r="C202" s="3" t="s">
        <v>17</v>
      </c>
      <c r="D202" s="3" t="s">
        <v>20</v>
      </c>
      <c r="E202" s="4">
        <v>5</v>
      </c>
      <c r="F202" s="4">
        <v>1</v>
      </c>
      <c r="G202" s="5">
        <v>0</v>
      </c>
      <c r="H202" s="5">
        <v>0</v>
      </c>
      <c r="I202" s="6">
        <v>4</v>
      </c>
      <c r="J202" s="5">
        <v>4</v>
      </c>
      <c r="K202" s="7">
        <v>25</v>
      </c>
      <c r="L202" s="5">
        <v>339</v>
      </c>
      <c r="M202" s="5">
        <v>470</v>
      </c>
      <c r="N202" s="7">
        <v>629</v>
      </c>
      <c r="O202" s="4">
        <v>767</v>
      </c>
    </row>
    <row r="203" spans="1:15">
      <c r="A203" s="8" t="s">
        <v>76</v>
      </c>
      <c r="B203" s="3" t="s">
        <v>63</v>
      </c>
      <c r="C203" s="3" t="s">
        <v>17</v>
      </c>
      <c r="D203" s="3" t="s">
        <v>20</v>
      </c>
      <c r="E203" s="4">
        <v>25</v>
      </c>
      <c r="F203" s="4">
        <v>1</v>
      </c>
      <c r="G203" s="5">
        <v>0</v>
      </c>
      <c r="H203" s="5">
        <v>0</v>
      </c>
      <c r="I203" s="6">
        <v>81</v>
      </c>
      <c r="J203" s="5">
        <v>85</v>
      </c>
      <c r="K203" s="7">
        <v>1</v>
      </c>
      <c r="L203" s="5">
        <v>7</v>
      </c>
      <c r="M203" s="5">
        <v>28</v>
      </c>
      <c r="N203" s="7">
        <v>45</v>
      </c>
      <c r="O203" s="4">
        <v>113</v>
      </c>
    </row>
    <row r="204" spans="1:15">
      <c r="A204" s="8" t="s">
        <v>76</v>
      </c>
      <c r="B204" s="3" t="s">
        <v>64</v>
      </c>
      <c r="C204" s="3" t="s">
        <v>17</v>
      </c>
      <c r="D204" s="3" t="s">
        <v>20</v>
      </c>
      <c r="E204" s="4">
        <v>10</v>
      </c>
      <c r="F204" s="4">
        <v>1</v>
      </c>
      <c r="G204" s="5">
        <v>0</v>
      </c>
      <c r="H204" s="5">
        <v>0</v>
      </c>
      <c r="I204" s="6">
        <v>54</v>
      </c>
      <c r="J204" s="5">
        <v>54</v>
      </c>
      <c r="K204" s="7">
        <v>7</v>
      </c>
      <c r="L204" s="5">
        <v>28</v>
      </c>
      <c r="M204" s="5">
        <v>45</v>
      </c>
      <c r="N204" s="7">
        <v>89</v>
      </c>
      <c r="O204" s="4">
        <v>70</v>
      </c>
    </row>
    <row r="205" spans="1:15">
      <c r="A205" s="8" t="s">
        <v>76</v>
      </c>
      <c r="B205" s="3" t="s">
        <v>23</v>
      </c>
      <c r="C205" s="3" t="s">
        <v>17</v>
      </c>
      <c r="D205" s="3" t="s">
        <v>20</v>
      </c>
      <c r="E205" s="4">
        <v>5</v>
      </c>
      <c r="F205" s="4">
        <v>5</v>
      </c>
      <c r="G205" s="5">
        <v>0</v>
      </c>
      <c r="H205" s="5">
        <v>0.72</v>
      </c>
      <c r="I205" s="6">
        <v>31</v>
      </c>
      <c r="J205" s="5">
        <v>31</v>
      </c>
      <c r="K205" s="7">
        <v>0</v>
      </c>
      <c r="L205" s="5">
        <v>3</v>
      </c>
      <c r="M205" s="5">
        <v>6</v>
      </c>
      <c r="N205" s="7">
        <v>15</v>
      </c>
      <c r="O205" s="4">
        <v>10</v>
      </c>
    </row>
    <row r="206" spans="1:15">
      <c r="A206" s="8" t="s">
        <v>76</v>
      </c>
      <c r="B206" s="3" t="s">
        <v>65</v>
      </c>
      <c r="C206" s="3" t="s">
        <v>17</v>
      </c>
      <c r="D206" s="3" t="s">
        <v>20</v>
      </c>
      <c r="E206" s="4">
        <v>2.5</v>
      </c>
      <c r="F206" s="4">
        <v>1</v>
      </c>
      <c r="G206" s="5">
        <v>0</v>
      </c>
      <c r="H206" s="5">
        <v>0</v>
      </c>
      <c r="I206" s="6">
        <v>113</v>
      </c>
      <c r="J206" s="5">
        <v>113</v>
      </c>
      <c r="K206" s="7">
        <v>16</v>
      </c>
      <c r="L206" s="5">
        <v>41</v>
      </c>
      <c r="M206" s="5">
        <v>60</v>
      </c>
      <c r="N206" s="7">
        <v>66</v>
      </c>
      <c r="O206" s="4">
        <v>0</v>
      </c>
    </row>
    <row r="207" spans="1:15">
      <c r="A207" s="8" t="s">
        <v>76</v>
      </c>
      <c r="B207" s="3" t="s">
        <v>21</v>
      </c>
      <c r="C207" s="3" t="s">
        <v>17</v>
      </c>
      <c r="D207" s="3" t="s">
        <v>20</v>
      </c>
      <c r="E207" s="4">
        <v>5</v>
      </c>
      <c r="F207" s="4">
        <v>1</v>
      </c>
      <c r="G207" s="5">
        <v>0</v>
      </c>
      <c r="H207" s="5">
        <v>0</v>
      </c>
      <c r="I207" s="6">
        <v>75</v>
      </c>
      <c r="J207" s="5">
        <v>79</v>
      </c>
      <c r="K207" s="7">
        <v>5</v>
      </c>
      <c r="L207" s="5">
        <v>15</v>
      </c>
      <c r="M207" s="5">
        <v>17</v>
      </c>
      <c r="N207" s="7">
        <v>68</v>
      </c>
      <c r="O207" s="4">
        <v>15</v>
      </c>
    </row>
    <row r="208" spans="1:15">
      <c r="A208" s="8" t="s">
        <v>76</v>
      </c>
      <c r="B208" s="3" t="s">
        <v>66</v>
      </c>
      <c r="C208" s="3" t="s">
        <v>25</v>
      </c>
      <c r="D208" s="3" t="s">
        <v>20</v>
      </c>
      <c r="E208" s="4">
        <v>10</v>
      </c>
      <c r="F208" s="4">
        <v>1</v>
      </c>
      <c r="G208" s="5">
        <v>0</v>
      </c>
      <c r="H208" s="5">
        <v>0</v>
      </c>
      <c r="I208" s="6">
        <v>81</v>
      </c>
      <c r="J208" s="5">
        <v>81</v>
      </c>
      <c r="K208" s="7">
        <v>0</v>
      </c>
      <c r="L208" s="5">
        <v>9</v>
      </c>
      <c r="M208" s="5">
        <v>15</v>
      </c>
      <c r="N208" s="7">
        <v>39</v>
      </c>
      <c r="O208" s="4">
        <v>0</v>
      </c>
    </row>
    <row r="209" spans="1:15">
      <c r="A209" s="8" t="s">
        <v>76</v>
      </c>
      <c r="B209" s="3" t="s">
        <v>39</v>
      </c>
      <c r="C209" s="3" t="s">
        <v>25</v>
      </c>
      <c r="D209" s="3" t="s">
        <v>20</v>
      </c>
      <c r="E209" s="4">
        <v>2.5</v>
      </c>
      <c r="F209" s="4">
        <v>1</v>
      </c>
      <c r="G209" s="5">
        <v>0</v>
      </c>
      <c r="H209" s="5">
        <v>0</v>
      </c>
      <c r="I209" s="6">
        <v>10</v>
      </c>
      <c r="J209" s="5">
        <v>10</v>
      </c>
      <c r="K209" s="7">
        <v>0</v>
      </c>
      <c r="L209" s="5">
        <v>0</v>
      </c>
      <c r="M209" s="5">
        <v>1</v>
      </c>
      <c r="N209" s="7">
        <v>2</v>
      </c>
      <c r="O209" s="4">
        <v>0</v>
      </c>
    </row>
    <row r="210" spans="1:15">
      <c r="A210" s="8" t="s">
        <v>76</v>
      </c>
      <c r="B210" s="3" t="s">
        <v>77</v>
      </c>
      <c r="C210" s="3" t="s">
        <v>25</v>
      </c>
      <c r="D210" s="3" t="s">
        <v>18</v>
      </c>
      <c r="E210" s="4">
        <v>25</v>
      </c>
      <c r="F210" s="4">
        <v>1</v>
      </c>
      <c r="G210" s="5">
        <v>0</v>
      </c>
      <c r="H210" s="5">
        <v>0</v>
      </c>
      <c r="I210" s="6">
        <v>0</v>
      </c>
      <c r="J210" s="5">
        <v>0</v>
      </c>
      <c r="K210" s="7">
        <v>0</v>
      </c>
      <c r="L210" s="5">
        <v>0</v>
      </c>
      <c r="M210" s="5">
        <v>0</v>
      </c>
      <c r="N210" s="7">
        <v>0</v>
      </c>
      <c r="O210" s="4">
        <v>0</v>
      </c>
    </row>
    <row r="211" spans="1:15">
      <c r="A211" s="8" t="s">
        <v>76</v>
      </c>
      <c r="B211" s="3" t="s">
        <v>40</v>
      </c>
      <c r="C211" s="3" t="s">
        <v>25</v>
      </c>
      <c r="D211" s="3" t="s">
        <v>20</v>
      </c>
      <c r="E211" s="4">
        <v>5</v>
      </c>
      <c r="F211" s="4">
        <v>4</v>
      </c>
      <c r="G211" s="5">
        <v>0</v>
      </c>
      <c r="H211" s="5">
        <v>0</v>
      </c>
      <c r="I211" s="6">
        <v>8</v>
      </c>
      <c r="J211" s="5">
        <v>8</v>
      </c>
      <c r="K211" s="7">
        <v>0</v>
      </c>
      <c r="L211" s="5">
        <v>6</v>
      </c>
      <c r="M211" s="5">
        <v>7</v>
      </c>
      <c r="N211" s="7">
        <v>8</v>
      </c>
      <c r="O211" s="4">
        <v>0</v>
      </c>
    </row>
    <row r="212" spans="1:15">
      <c r="A212" s="8" t="s">
        <v>76</v>
      </c>
      <c r="B212" s="3" t="s">
        <v>48</v>
      </c>
      <c r="C212" s="3" t="s">
        <v>25</v>
      </c>
      <c r="D212" s="3" t="s">
        <v>20</v>
      </c>
      <c r="E212" s="4">
        <v>10</v>
      </c>
      <c r="F212" s="4">
        <v>2</v>
      </c>
      <c r="G212" s="5">
        <v>0</v>
      </c>
      <c r="H212" s="5">
        <v>0.26</v>
      </c>
      <c r="I212" s="6">
        <v>9</v>
      </c>
      <c r="J212" s="5">
        <v>9</v>
      </c>
      <c r="K212" s="7">
        <v>0</v>
      </c>
      <c r="L212" s="5">
        <v>0</v>
      </c>
      <c r="M212" s="5">
        <v>1</v>
      </c>
      <c r="N212" s="7">
        <v>5</v>
      </c>
      <c r="O212" s="4">
        <v>0</v>
      </c>
    </row>
    <row r="213" spans="1:15">
      <c r="A213" s="8" t="s">
        <v>76</v>
      </c>
      <c r="B213" s="3" t="s">
        <v>56</v>
      </c>
      <c r="C213" s="3" t="s">
        <v>25</v>
      </c>
      <c r="D213" s="3" t="s">
        <v>20</v>
      </c>
      <c r="E213" s="4">
        <v>5</v>
      </c>
      <c r="F213" s="4">
        <v>4</v>
      </c>
      <c r="G213" s="5">
        <v>0</v>
      </c>
      <c r="H213" s="5">
        <v>0</v>
      </c>
      <c r="I213" s="6">
        <v>2</v>
      </c>
      <c r="J213" s="5">
        <v>2</v>
      </c>
      <c r="K213" s="7">
        <v>0</v>
      </c>
      <c r="L213" s="5">
        <v>0</v>
      </c>
      <c r="M213" s="5">
        <v>1</v>
      </c>
      <c r="N213" s="7">
        <v>1</v>
      </c>
      <c r="O213" s="4">
        <v>0</v>
      </c>
    </row>
    <row r="214" spans="1:15">
      <c r="A214" s="8" t="s">
        <v>76</v>
      </c>
      <c r="B214" s="3" t="s">
        <v>42</v>
      </c>
      <c r="C214" s="3" t="s">
        <v>25</v>
      </c>
      <c r="D214" s="3" t="s">
        <v>20</v>
      </c>
      <c r="E214" s="4">
        <v>5</v>
      </c>
      <c r="F214" s="4">
        <v>4</v>
      </c>
      <c r="G214" s="5">
        <v>0</v>
      </c>
      <c r="H214" s="5">
        <v>2.36</v>
      </c>
      <c r="I214" s="6">
        <v>5</v>
      </c>
      <c r="J214" s="5">
        <v>5</v>
      </c>
      <c r="K214" s="7">
        <v>0</v>
      </c>
      <c r="L214" s="5">
        <v>0</v>
      </c>
      <c r="M214" s="5">
        <v>0</v>
      </c>
      <c r="N214" s="7">
        <v>0</v>
      </c>
      <c r="O214" s="4">
        <v>0</v>
      </c>
    </row>
    <row r="215" spans="1:15">
      <c r="A215" s="8" t="s">
        <v>76</v>
      </c>
      <c r="B215" s="3" t="s">
        <v>53</v>
      </c>
      <c r="C215" s="3" t="s">
        <v>25</v>
      </c>
      <c r="D215" s="3" t="s">
        <v>20</v>
      </c>
      <c r="E215" s="4">
        <v>25</v>
      </c>
      <c r="F215" s="4">
        <v>1</v>
      </c>
      <c r="G215" s="5">
        <v>0</v>
      </c>
      <c r="H215" s="5">
        <v>0.14</v>
      </c>
      <c r="I215" s="6">
        <v>3</v>
      </c>
      <c r="J215" s="5">
        <v>3</v>
      </c>
      <c r="K215" s="7">
        <v>0</v>
      </c>
      <c r="L215" s="5">
        <v>0</v>
      </c>
      <c r="M215" s="5">
        <v>1</v>
      </c>
      <c r="N215" s="7">
        <v>1</v>
      </c>
      <c r="O215" s="4">
        <v>0</v>
      </c>
    </row>
    <row r="216" spans="1:15">
      <c r="A216" s="8" t="s">
        <v>76</v>
      </c>
      <c r="B216" s="3" t="s">
        <v>24</v>
      </c>
      <c r="C216" s="3" t="s">
        <v>25</v>
      </c>
      <c r="D216" s="3" t="s">
        <v>52</v>
      </c>
      <c r="E216" s="4">
        <v>5</v>
      </c>
      <c r="F216" s="4">
        <v>4</v>
      </c>
      <c r="G216" s="5">
        <v>0</v>
      </c>
      <c r="H216" s="5">
        <v>0</v>
      </c>
      <c r="I216" s="6">
        <v>81</v>
      </c>
      <c r="J216" s="5">
        <v>81</v>
      </c>
      <c r="K216" s="7">
        <v>0</v>
      </c>
      <c r="L216" s="5">
        <v>19</v>
      </c>
      <c r="M216" s="5">
        <v>44</v>
      </c>
      <c r="N216" s="7">
        <v>76</v>
      </c>
      <c r="O216" s="4">
        <v>0</v>
      </c>
    </row>
    <row r="217" spans="1:15">
      <c r="A217" s="8" t="s">
        <v>76</v>
      </c>
      <c r="B217" s="3" t="s">
        <v>49</v>
      </c>
      <c r="C217" s="3" t="s">
        <v>25</v>
      </c>
      <c r="D217" s="3" t="s">
        <v>20</v>
      </c>
      <c r="E217" s="4">
        <v>10</v>
      </c>
      <c r="F217" s="4">
        <v>2</v>
      </c>
      <c r="G217" s="5">
        <v>0</v>
      </c>
      <c r="H217" s="5">
        <v>0</v>
      </c>
      <c r="I217" s="6">
        <v>25</v>
      </c>
      <c r="J217" s="5">
        <v>26</v>
      </c>
      <c r="K217" s="7">
        <v>0</v>
      </c>
      <c r="L217" s="5">
        <v>9</v>
      </c>
      <c r="M217" s="5">
        <v>13</v>
      </c>
      <c r="N217" s="7">
        <v>44</v>
      </c>
      <c r="O217" s="4">
        <v>0</v>
      </c>
    </row>
    <row r="218" spans="1:15">
      <c r="A218" s="8" t="s">
        <v>76</v>
      </c>
      <c r="B218" s="3" t="s">
        <v>50</v>
      </c>
      <c r="C218" s="3" t="s">
        <v>25</v>
      </c>
      <c r="D218" s="3" t="s">
        <v>20</v>
      </c>
      <c r="E218" s="4">
        <v>10</v>
      </c>
      <c r="F218" s="4">
        <v>2</v>
      </c>
      <c r="G218" s="5">
        <v>0</v>
      </c>
      <c r="H218" s="5">
        <v>0</v>
      </c>
      <c r="I218" s="6">
        <v>6</v>
      </c>
      <c r="J218" s="5">
        <v>6</v>
      </c>
      <c r="K218" s="7">
        <v>0</v>
      </c>
      <c r="L218" s="5">
        <v>0</v>
      </c>
      <c r="M218" s="5">
        <v>0</v>
      </c>
      <c r="N218" s="7">
        <v>4</v>
      </c>
      <c r="O218" s="4">
        <v>0</v>
      </c>
    </row>
    <row r="219" spans="1:15">
      <c r="A219" s="8" t="s">
        <v>76</v>
      </c>
      <c r="B219" s="3" t="s">
        <v>43</v>
      </c>
      <c r="C219" s="3" t="s">
        <v>25</v>
      </c>
      <c r="D219" s="3" t="s">
        <v>20</v>
      </c>
      <c r="E219" s="4">
        <v>5</v>
      </c>
      <c r="F219" s="4">
        <v>4</v>
      </c>
      <c r="G219" s="5">
        <v>0</v>
      </c>
      <c r="H219" s="5">
        <v>0.5</v>
      </c>
      <c r="I219" s="6">
        <v>3</v>
      </c>
      <c r="J219" s="5">
        <v>3</v>
      </c>
      <c r="K219" s="7">
        <v>0</v>
      </c>
      <c r="L219" s="5">
        <v>1</v>
      </c>
      <c r="M219" s="5">
        <v>1</v>
      </c>
      <c r="N219" s="7">
        <v>5</v>
      </c>
      <c r="O219" s="4">
        <v>0</v>
      </c>
    </row>
    <row r="220" spans="1:15">
      <c r="A220" s="3" t="s">
        <v>78</v>
      </c>
      <c r="B220" s="3" t="s">
        <v>59</v>
      </c>
      <c r="C220" s="3" t="s">
        <v>17</v>
      </c>
      <c r="D220" s="3" t="s">
        <v>20</v>
      </c>
      <c r="E220" s="4">
        <v>2.5</v>
      </c>
      <c r="F220" s="4">
        <v>1</v>
      </c>
      <c r="G220" s="5">
        <v>0</v>
      </c>
      <c r="H220" s="5">
        <v>0</v>
      </c>
      <c r="I220" s="6">
        <v>65</v>
      </c>
      <c r="J220" s="5">
        <v>65</v>
      </c>
      <c r="K220" s="7">
        <v>0</v>
      </c>
      <c r="L220" s="5">
        <v>4</v>
      </c>
      <c r="M220" s="5">
        <v>50</v>
      </c>
      <c r="N220" s="7">
        <v>53</v>
      </c>
      <c r="O220" s="4">
        <v>7</v>
      </c>
    </row>
    <row r="221" spans="1:15">
      <c r="A221" s="8" t="s">
        <v>78</v>
      </c>
      <c r="B221" s="3" t="s">
        <v>60</v>
      </c>
      <c r="C221" s="3" t="s">
        <v>17</v>
      </c>
      <c r="D221" s="3" t="s">
        <v>20</v>
      </c>
      <c r="E221" s="4">
        <v>10</v>
      </c>
      <c r="F221" s="4">
        <v>1</v>
      </c>
      <c r="G221" s="5">
        <v>0</v>
      </c>
      <c r="H221" s="5">
        <v>0</v>
      </c>
      <c r="I221" s="6">
        <v>45</v>
      </c>
      <c r="J221" s="5">
        <v>45</v>
      </c>
      <c r="K221" s="7">
        <v>1</v>
      </c>
      <c r="L221" s="5">
        <v>5</v>
      </c>
      <c r="M221" s="5">
        <v>19</v>
      </c>
      <c r="N221" s="7">
        <v>30</v>
      </c>
      <c r="O221" s="4">
        <v>8</v>
      </c>
    </row>
    <row r="222" spans="1:15">
      <c r="A222" s="8" t="s">
        <v>78</v>
      </c>
      <c r="B222" s="3" t="s">
        <v>38</v>
      </c>
      <c r="C222" s="3" t="s">
        <v>25</v>
      </c>
      <c r="D222" s="3" t="s">
        <v>20</v>
      </c>
      <c r="E222" s="4">
        <v>5</v>
      </c>
      <c r="F222" s="4">
        <v>4</v>
      </c>
      <c r="G222" s="5">
        <v>0</v>
      </c>
      <c r="H222" s="5">
        <v>0</v>
      </c>
      <c r="I222" s="6">
        <v>1</v>
      </c>
      <c r="J222" s="5">
        <v>1</v>
      </c>
      <c r="K222" s="7">
        <v>1</v>
      </c>
      <c r="L222" s="5">
        <v>3</v>
      </c>
      <c r="M222" s="5">
        <v>3</v>
      </c>
      <c r="N222" s="7">
        <v>3</v>
      </c>
      <c r="O222" s="4">
        <v>0</v>
      </c>
    </row>
    <row r="223" spans="1:15">
      <c r="A223" s="8" t="s">
        <v>78</v>
      </c>
      <c r="B223" s="3" t="s">
        <v>16</v>
      </c>
      <c r="C223" s="3" t="s">
        <v>17</v>
      </c>
      <c r="D223" s="3" t="s">
        <v>20</v>
      </c>
      <c r="E223" s="4">
        <v>5</v>
      </c>
      <c r="F223" s="4">
        <v>1</v>
      </c>
      <c r="G223" s="5">
        <v>0</v>
      </c>
      <c r="H223" s="5">
        <v>16.37</v>
      </c>
      <c r="I223" s="6">
        <v>93</v>
      </c>
      <c r="J223" s="5">
        <v>93</v>
      </c>
      <c r="K223" s="7">
        <v>3</v>
      </c>
      <c r="L223" s="5">
        <v>12</v>
      </c>
      <c r="M223" s="5">
        <v>30</v>
      </c>
      <c r="N223" s="7">
        <v>45</v>
      </c>
      <c r="O223" s="4">
        <v>0</v>
      </c>
    </row>
    <row r="224" spans="1:15">
      <c r="A224" s="8" t="s">
        <v>78</v>
      </c>
      <c r="B224" s="3" t="s">
        <v>61</v>
      </c>
      <c r="C224" s="3" t="s">
        <v>17</v>
      </c>
      <c r="D224" s="3" t="s">
        <v>20</v>
      </c>
      <c r="E224" s="4">
        <v>10</v>
      </c>
      <c r="F224" s="4">
        <v>1</v>
      </c>
      <c r="G224" s="5">
        <v>0</v>
      </c>
      <c r="H224" s="5">
        <v>0</v>
      </c>
      <c r="I224" s="6">
        <v>18</v>
      </c>
      <c r="J224" s="5">
        <v>18</v>
      </c>
      <c r="K224" s="7">
        <v>0</v>
      </c>
      <c r="L224" s="5">
        <v>24</v>
      </c>
      <c r="M224" s="5">
        <v>33</v>
      </c>
      <c r="N224" s="7">
        <v>42</v>
      </c>
      <c r="O224" s="4">
        <v>36</v>
      </c>
    </row>
    <row r="225" spans="1:15">
      <c r="A225" s="8" t="s">
        <v>78</v>
      </c>
      <c r="B225" s="3" t="s">
        <v>62</v>
      </c>
      <c r="C225" s="3" t="s">
        <v>17</v>
      </c>
      <c r="D225" s="3" t="s">
        <v>20</v>
      </c>
      <c r="E225" s="4">
        <v>10</v>
      </c>
      <c r="F225" s="4">
        <v>1</v>
      </c>
      <c r="G225" s="5">
        <v>0</v>
      </c>
      <c r="H225" s="5">
        <v>0</v>
      </c>
      <c r="I225" s="6">
        <v>57</v>
      </c>
      <c r="J225" s="5">
        <v>58</v>
      </c>
      <c r="K225" s="7">
        <v>1</v>
      </c>
      <c r="L225" s="5">
        <v>7</v>
      </c>
      <c r="M225" s="5">
        <v>22</v>
      </c>
      <c r="N225" s="7">
        <v>36</v>
      </c>
      <c r="O225" s="4">
        <v>3</v>
      </c>
    </row>
    <row r="226" spans="1:15">
      <c r="A226" s="8" t="s">
        <v>78</v>
      </c>
      <c r="B226" s="3" t="s">
        <v>19</v>
      </c>
      <c r="C226" s="3" t="s">
        <v>17</v>
      </c>
      <c r="D226" s="3" t="s">
        <v>20</v>
      </c>
      <c r="E226" s="4">
        <v>5</v>
      </c>
      <c r="F226" s="4">
        <v>1</v>
      </c>
      <c r="G226" s="5">
        <v>0</v>
      </c>
      <c r="H226" s="5">
        <v>0</v>
      </c>
      <c r="I226" s="6">
        <v>164</v>
      </c>
      <c r="J226" s="5">
        <v>172</v>
      </c>
      <c r="K226" s="7">
        <v>14</v>
      </c>
      <c r="L226" s="5">
        <v>134</v>
      </c>
      <c r="M226" s="5">
        <v>210</v>
      </c>
      <c r="N226" s="7">
        <v>310</v>
      </c>
      <c r="O226" s="4">
        <v>394</v>
      </c>
    </row>
    <row r="227" spans="1:15">
      <c r="A227" s="8" t="s">
        <v>78</v>
      </c>
      <c r="B227" s="3" t="s">
        <v>63</v>
      </c>
      <c r="C227" s="3" t="s">
        <v>17</v>
      </c>
      <c r="D227" s="3" t="s">
        <v>20</v>
      </c>
      <c r="E227" s="4">
        <v>25</v>
      </c>
      <c r="F227" s="4">
        <v>1</v>
      </c>
      <c r="G227" s="5">
        <v>0</v>
      </c>
      <c r="H227" s="5">
        <v>0</v>
      </c>
      <c r="I227" s="6">
        <v>64</v>
      </c>
      <c r="J227" s="5">
        <v>68</v>
      </c>
      <c r="K227" s="7">
        <v>3</v>
      </c>
      <c r="L227" s="5">
        <v>24</v>
      </c>
      <c r="M227" s="5">
        <v>43</v>
      </c>
      <c r="N227" s="7">
        <v>50</v>
      </c>
      <c r="O227" s="4">
        <v>129</v>
      </c>
    </row>
    <row r="228" spans="1:15">
      <c r="A228" s="8" t="s">
        <v>78</v>
      </c>
      <c r="B228" s="3" t="s">
        <v>64</v>
      </c>
      <c r="C228" s="3" t="s">
        <v>17</v>
      </c>
      <c r="D228" s="3" t="s">
        <v>20</v>
      </c>
      <c r="E228" s="4">
        <v>10</v>
      </c>
      <c r="F228" s="4">
        <v>1</v>
      </c>
      <c r="G228" s="5">
        <v>0</v>
      </c>
      <c r="H228" s="5">
        <v>0</v>
      </c>
      <c r="I228" s="6">
        <v>47</v>
      </c>
      <c r="J228" s="5">
        <v>48</v>
      </c>
      <c r="K228" s="7">
        <v>3</v>
      </c>
      <c r="L228" s="5">
        <v>9</v>
      </c>
      <c r="M228" s="5">
        <v>9</v>
      </c>
      <c r="N228" s="7">
        <v>30</v>
      </c>
      <c r="O228" s="4">
        <v>0</v>
      </c>
    </row>
    <row r="229" spans="1:15">
      <c r="A229" s="8" t="s">
        <v>78</v>
      </c>
      <c r="B229" s="3" t="s">
        <v>23</v>
      </c>
      <c r="C229" s="3" t="s">
        <v>17</v>
      </c>
      <c r="D229" s="3" t="s">
        <v>20</v>
      </c>
      <c r="E229" s="4">
        <v>5</v>
      </c>
      <c r="F229" s="4">
        <v>5</v>
      </c>
      <c r="G229" s="5">
        <v>0</v>
      </c>
      <c r="H229" s="5">
        <v>0</v>
      </c>
      <c r="I229" s="6">
        <v>38</v>
      </c>
      <c r="J229" s="5">
        <v>38</v>
      </c>
      <c r="K229" s="7">
        <v>0</v>
      </c>
      <c r="L229" s="5">
        <v>9</v>
      </c>
      <c r="M229" s="5">
        <v>23</v>
      </c>
      <c r="N229" s="7">
        <v>53</v>
      </c>
      <c r="O229" s="4">
        <v>10</v>
      </c>
    </row>
    <row r="230" spans="1:15">
      <c r="A230" s="8" t="s">
        <v>78</v>
      </c>
      <c r="B230" s="3" t="s">
        <v>65</v>
      </c>
      <c r="C230" s="3" t="s">
        <v>17</v>
      </c>
      <c r="D230" s="3" t="s">
        <v>20</v>
      </c>
      <c r="E230" s="4">
        <v>2.5</v>
      </c>
      <c r="F230" s="4">
        <v>1</v>
      </c>
      <c r="G230" s="5">
        <v>0</v>
      </c>
      <c r="H230" s="5">
        <v>0</v>
      </c>
      <c r="I230" s="6">
        <v>99</v>
      </c>
      <c r="J230" s="5">
        <v>99</v>
      </c>
      <c r="K230" s="7">
        <v>0</v>
      </c>
      <c r="L230" s="5">
        <v>1</v>
      </c>
      <c r="M230" s="5">
        <v>38</v>
      </c>
      <c r="N230" s="7">
        <v>50</v>
      </c>
      <c r="O230" s="4">
        <v>0</v>
      </c>
    </row>
    <row r="231" spans="1:15">
      <c r="A231" s="8" t="s">
        <v>78</v>
      </c>
      <c r="B231" s="3" t="s">
        <v>21</v>
      </c>
      <c r="C231" s="3" t="s">
        <v>17</v>
      </c>
      <c r="D231" s="3" t="s">
        <v>20</v>
      </c>
      <c r="E231" s="4">
        <v>5</v>
      </c>
      <c r="F231" s="4">
        <v>1</v>
      </c>
      <c r="G231" s="5">
        <v>0</v>
      </c>
      <c r="H231" s="5">
        <v>0</v>
      </c>
      <c r="I231" s="6">
        <v>91</v>
      </c>
      <c r="J231" s="5">
        <v>91</v>
      </c>
      <c r="K231" s="7">
        <v>1</v>
      </c>
      <c r="L231" s="5">
        <v>9</v>
      </c>
      <c r="M231" s="5">
        <v>24</v>
      </c>
      <c r="N231" s="7">
        <v>78</v>
      </c>
      <c r="O231" s="4">
        <v>48</v>
      </c>
    </row>
    <row r="232" spans="1:15">
      <c r="A232" s="8" t="s">
        <v>78</v>
      </c>
      <c r="B232" s="3" t="s">
        <v>66</v>
      </c>
      <c r="C232" s="3" t="s">
        <v>25</v>
      </c>
      <c r="D232" s="3" t="s">
        <v>20</v>
      </c>
      <c r="E232" s="4">
        <v>10</v>
      </c>
      <c r="F232" s="4">
        <v>1</v>
      </c>
      <c r="G232" s="5">
        <v>0</v>
      </c>
      <c r="H232" s="5">
        <v>0</v>
      </c>
      <c r="I232" s="6">
        <v>64</v>
      </c>
      <c r="J232" s="5">
        <v>64</v>
      </c>
      <c r="K232" s="7">
        <v>0</v>
      </c>
      <c r="L232" s="5">
        <v>6</v>
      </c>
      <c r="M232" s="5">
        <v>13</v>
      </c>
      <c r="N232" s="7">
        <v>40</v>
      </c>
      <c r="O232" s="4">
        <v>0</v>
      </c>
    </row>
    <row r="233" spans="1:15">
      <c r="A233" s="8" t="s">
        <v>78</v>
      </c>
      <c r="B233" s="3" t="s">
        <v>39</v>
      </c>
      <c r="C233" s="3" t="s">
        <v>25</v>
      </c>
      <c r="D233" s="3" t="s">
        <v>20</v>
      </c>
      <c r="E233" s="4">
        <v>2.5</v>
      </c>
      <c r="F233" s="4">
        <v>1</v>
      </c>
      <c r="G233" s="5">
        <v>0</v>
      </c>
      <c r="H233" s="5">
        <v>0</v>
      </c>
      <c r="I233" s="6">
        <v>11</v>
      </c>
      <c r="J233" s="5">
        <v>11</v>
      </c>
      <c r="K233" s="7">
        <v>0</v>
      </c>
      <c r="L233" s="5">
        <v>0</v>
      </c>
      <c r="M233" s="5">
        <v>0</v>
      </c>
      <c r="N233" s="7">
        <v>1</v>
      </c>
      <c r="O233" s="4">
        <v>0</v>
      </c>
    </row>
    <row r="234" spans="1:15">
      <c r="A234" s="8" t="s">
        <v>78</v>
      </c>
      <c r="B234" s="3" t="s">
        <v>40</v>
      </c>
      <c r="C234" s="3" t="s">
        <v>25</v>
      </c>
      <c r="D234" s="3" t="s">
        <v>20</v>
      </c>
      <c r="E234" s="4">
        <v>5</v>
      </c>
      <c r="F234" s="4">
        <v>4</v>
      </c>
      <c r="G234" s="5">
        <v>0</v>
      </c>
      <c r="H234" s="5">
        <v>0</v>
      </c>
      <c r="I234" s="6">
        <v>4</v>
      </c>
      <c r="J234" s="5">
        <v>4</v>
      </c>
      <c r="K234" s="7">
        <v>1</v>
      </c>
      <c r="L234" s="5">
        <v>4</v>
      </c>
      <c r="M234" s="5">
        <v>4</v>
      </c>
      <c r="N234" s="7">
        <v>7</v>
      </c>
      <c r="O234" s="4">
        <v>0</v>
      </c>
    </row>
    <row r="235" spans="1:15">
      <c r="A235" s="8" t="s">
        <v>78</v>
      </c>
      <c r="B235" s="3" t="s">
        <v>48</v>
      </c>
      <c r="C235" s="3" t="s">
        <v>25</v>
      </c>
      <c r="D235" s="3" t="s">
        <v>20</v>
      </c>
      <c r="E235" s="4">
        <v>10</v>
      </c>
      <c r="F235" s="4">
        <v>2</v>
      </c>
      <c r="G235" s="5">
        <v>0</v>
      </c>
      <c r="H235" s="5">
        <v>0</v>
      </c>
      <c r="I235" s="6">
        <v>4</v>
      </c>
      <c r="J235" s="5">
        <v>4</v>
      </c>
      <c r="K235" s="7">
        <v>0</v>
      </c>
      <c r="L235" s="5">
        <v>1</v>
      </c>
      <c r="M235" s="5">
        <v>2</v>
      </c>
      <c r="N235" s="7">
        <v>4</v>
      </c>
      <c r="O235" s="4">
        <v>0</v>
      </c>
    </row>
    <row r="236" spans="1:15">
      <c r="A236" s="8" t="s">
        <v>78</v>
      </c>
      <c r="B236" s="3" t="s">
        <v>56</v>
      </c>
      <c r="C236" s="3" t="s">
        <v>25</v>
      </c>
      <c r="D236" s="3" t="s">
        <v>52</v>
      </c>
      <c r="E236" s="4">
        <v>5</v>
      </c>
      <c r="F236" s="4">
        <v>4</v>
      </c>
      <c r="G236" s="5">
        <v>0</v>
      </c>
      <c r="H236" s="5">
        <v>0</v>
      </c>
      <c r="I236" s="6">
        <v>4</v>
      </c>
      <c r="J236" s="5">
        <v>4</v>
      </c>
      <c r="K236" s="7">
        <v>0</v>
      </c>
      <c r="L236" s="5">
        <v>1</v>
      </c>
      <c r="M236" s="5">
        <v>1</v>
      </c>
      <c r="N236" s="7">
        <v>4</v>
      </c>
      <c r="O236" s="4">
        <v>0</v>
      </c>
    </row>
    <row r="237" spans="1:15">
      <c r="A237" s="8" t="s">
        <v>78</v>
      </c>
      <c r="B237" s="3" t="s">
        <v>42</v>
      </c>
      <c r="C237" s="3" t="s">
        <v>25</v>
      </c>
      <c r="D237" s="3" t="s">
        <v>20</v>
      </c>
      <c r="E237" s="4">
        <v>5</v>
      </c>
      <c r="F237" s="4">
        <v>4</v>
      </c>
      <c r="G237" s="5">
        <v>3</v>
      </c>
      <c r="H237" s="5">
        <v>1.58</v>
      </c>
      <c r="I237" s="6">
        <v>3</v>
      </c>
      <c r="J237" s="5">
        <v>3</v>
      </c>
      <c r="K237" s="7">
        <v>0</v>
      </c>
      <c r="L237" s="5">
        <v>0</v>
      </c>
      <c r="M237" s="5">
        <v>0</v>
      </c>
      <c r="N237" s="7">
        <v>0</v>
      </c>
      <c r="O237" s="4">
        <v>0</v>
      </c>
    </row>
    <row r="238" spans="1:15">
      <c r="A238" s="8" t="s">
        <v>78</v>
      </c>
      <c r="B238" s="3" t="s">
        <v>53</v>
      </c>
      <c r="C238" s="3" t="s">
        <v>25</v>
      </c>
      <c r="D238" s="3" t="s">
        <v>20</v>
      </c>
      <c r="E238" s="4">
        <v>25</v>
      </c>
      <c r="F238" s="4">
        <v>1</v>
      </c>
      <c r="G238" s="5">
        <v>0</v>
      </c>
      <c r="H238" s="5">
        <v>0</v>
      </c>
      <c r="I238" s="6">
        <v>1</v>
      </c>
      <c r="J238" s="5">
        <v>1</v>
      </c>
      <c r="K238" s="7">
        <v>0</v>
      </c>
      <c r="L238" s="5">
        <v>0</v>
      </c>
      <c r="M238" s="5">
        <v>1</v>
      </c>
      <c r="N238" s="7">
        <v>1</v>
      </c>
      <c r="O238" s="4">
        <v>0</v>
      </c>
    </row>
    <row r="239" spans="1:15">
      <c r="A239" s="8" t="s">
        <v>78</v>
      </c>
      <c r="B239" s="3" t="s">
        <v>49</v>
      </c>
      <c r="C239" s="3" t="s">
        <v>25</v>
      </c>
      <c r="D239" s="3" t="s">
        <v>20</v>
      </c>
      <c r="E239" s="4">
        <v>10</v>
      </c>
      <c r="F239" s="4">
        <v>2</v>
      </c>
      <c r="G239" s="5">
        <v>0</v>
      </c>
      <c r="H239" s="5">
        <v>0</v>
      </c>
      <c r="I239" s="6">
        <v>15</v>
      </c>
      <c r="J239" s="5">
        <v>15</v>
      </c>
      <c r="K239" s="7">
        <v>2</v>
      </c>
      <c r="L239" s="5">
        <v>4</v>
      </c>
      <c r="M239" s="5">
        <v>6</v>
      </c>
      <c r="N239" s="7">
        <v>26</v>
      </c>
      <c r="O239" s="4">
        <v>0</v>
      </c>
    </row>
    <row r="240" spans="1:15">
      <c r="A240" s="8" t="s">
        <v>78</v>
      </c>
      <c r="B240" s="3" t="s">
        <v>50</v>
      </c>
      <c r="C240" s="3" t="s">
        <v>25</v>
      </c>
      <c r="D240" s="3" t="s">
        <v>20</v>
      </c>
      <c r="E240" s="4">
        <v>10</v>
      </c>
      <c r="F240" s="4">
        <v>2</v>
      </c>
      <c r="G240" s="5">
        <v>0</v>
      </c>
      <c r="H240" s="5">
        <v>0.97</v>
      </c>
      <c r="I240" s="6">
        <v>3</v>
      </c>
      <c r="J240" s="5">
        <v>3</v>
      </c>
      <c r="K240" s="7">
        <v>0</v>
      </c>
      <c r="L240" s="5">
        <v>0</v>
      </c>
      <c r="M240" s="5">
        <v>0</v>
      </c>
      <c r="N240" s="7">
        <v>0</v>
      </c>
      <c r="O240" s="4">
        <v>0</v>
      </c>
    </row>
    <row r="241" spans="1:15">
      <c r="A241" s="8" t="s">
        <v>78</v>
      </c>
      <c r="B241" s="3" t="s">
        <v>43</v>
      </c>
      <c r="C241" s="3" t="s">
        <v>25</v>
      </c>
      <c r="D241" s="3" t="s">
        <v>20</v>
      </c>
      <c r="E241" s="4">
        <v>5</v>
      </c>
      <c r="F241" s="4">
        <v>4</v>
      </c>
      <c r="G241" s="5">
        <v>0</v>
      </c>
      <c r="H241" s="5">
        <v>0.95</v>
      </c>
      <c r="I241" s="6">
        <v>4</v>
      </c>
      <c r="J241" s="5">
        <v>4</v>
      </c>
      <c r="K241" s="7">
        <v>0</v>
      </c>
      <c r="L241" s="5">
        <v>1</v>
      </c>
      <c r="M241" s="5">
        <v>2</v>
      </c>
      <c r="N241" s="7">
        <v>2</v>
      </c>
      <c r="O241" s="4">
        <v>0</v>
      </c>
    </row>
    <row r="242" spans="1:15">
      <c r="A242" s="3" t="s">
        <v>79</v>
      </c>
      <c r="B242" s="3" t="s">
        <v>59</v>
      </c>
      <c r="C242" s="3" t="s">
        <v>17</v>
      </c>
      <c r="D242" s="3" t="s">
        <v>20</v>
      </c>
      <c r="E242" s="4">
        <v>2.5</v>
      </c>
      <c r="F242" s="4">
        <v>1</v>
      </c>
      <c r="G242" s="5">
        <v>0</v>
      </c>
      <c r="H242" s="5">
        <v>0</v>
      </c>
      <c r="I242" s="6">
        <v>80</v>
      </c>
      <c r="J242" s="5">
        <v>80</v>
      </c>
      <c r="K242" s="7">
        <v>4</v>
      </c>
      <c r="L242" s="5">
        <v>12</v>
      </c>
      <c r="M242" s="5">
        <v>47</v>
      </c>
      <c r="N242" s="7">
        <v>70</v>
      </c>
      <c r="O242" s="4">
        <v>222</v>
      </c>
    </row>
    <row r="243" spans="1:15">
      <c r="A243" s="8" t="s">
        <v>79</v>
      </c>
      <c r="B243" s="3" t="s">
        <v>60</v>
      </c>
      <c r="C243" s="3" t="s">
        <v>17</v>
      </c>
      <c r="D243" s="3" t="s">
        <v>70</v>
      </c>
      <c r="E243" s="4">
        <v>10</v>
      </c>
      <c r="F243" s="4">
        <v>1</v>
      </c>
      <c r="G243" s="5">
        <v>0</v>
      </c>
      <c r="H243" s="5">
        <v>0</v>
      </c>
      <c r="I243" s="6">
        <v>0</v>
      </c>
      <c r="J243" s="5">
        <v>0</v>
      </c>
      <c r="K243" s="7">
        <v>0</v>
      </c>
      <c r="L243" s="5">
        <v>15</v>
      </c>
      <c r="M243" s="5">
        <v>43</v>
      </c>
      <c r="N243" s="7">
        <v>67</v>
      </c>
      <c r="O243" s="4">
        <v>85</v>
      </c>
    </row>
    <row r="244" spans="1:15">
      <c r="A244" s="8" t="s">
        <v>79</v>
      </c>
      <c r="B244" s="3" t="s">
        <v>68</v>
      </c>
      <c r="C244" s="3" t="s">
        <v>25</v>
      </c>
      <c r="D244" s="3" t="s">
        <v>20</v>
      </c>
      <c r="E244" s="4">
        <v>10</v>
      </c>
      <c r="F244" s="4">
        <v>1</v>
      </c>
      <c r="G244" s="5">
        <v>0</v>
      </c>
      <c r="H244" s="5">
        <v>0</v>
      </c>
      <c r="I244" s="6">
        <v>20</v>
      </c>
      <c r="J244" s="5">
        <v>20</v>
      </c>
      <c r="K244" s="7">
        <v>1</v>
      </c>
      <c r="L244" s="5">
        <v>3</v>
      </c>
      <c r="M244" s="5">
        <v>4</v>
      </c>
      <c r="N244" s="7">
        <v>8</v>
      </c>
      <c r="O244" s="4">
        <v>0</v>
      </c>
    </row>
    <row r="245" spans="1:15">
      <c r="A245" s="8" t="s">
        <v>79</v>
      </c>
      <c r="B245" s="3" t="s">
        <v>38</v>
      </c>
      <c r="C245" s="3" t="s">
        <v>25</v>
      </c>
      <c r="D245" s="3" t="s">
        <v>20</v>
      </c>
      <c r="E245" s="4">
        <v>5</v>
      </c>
      <c r="F245" s="4">
        <v>4</v>
      </c>
      <c r="G245" s="5">
        <v>4</v>
      </c>
      <c r="H245" s="5">
        <v>2.11</v>
      </c>
      <c r="I245" s="6">
        <v>8</v>
      </c>
      <c r="J245" s="5">
        <v>8</v>
      </c>
      <c r="K245" s="7">
        <v>0</v>
      </c>
      <c r="L245" s="5">
        <v>0</v>
      </c>
      <c r="M245" s="5">
        <v>0</v>
      </c>
      <c r="N245" s="7">
        <v>1</v>
      </c>
      <c r="O245" s="4">
        <v>0</v>
      </c>
    </row>
    <row r="246" spans="1:15">
      <c r="A246" s="8" t="s">
        <v>79</v>
      </c>
      <c r="B246" s="3" t="s">
        <v>16</v>
      </c>
      <c r="C246" s="3" t="s">
        <v>17</v>
      </c>
      <c r="D246" s="3" t="s">
        <v>20</v>
      </c>
      <c r="E246" s="4">
        <v>5</v>
      </c>
      <c r="F246" s="4">
        <v>1</v>
      </c>
      <c r="G246" s="5">
        <v>0</v>
      </c>
      <c r="H246" s="5">
        <v>0</v>
      </c>
      <c r="I246" s="6">
        <v>99</v>
      </c>
      <c r="J246" s="5">
        <v>99</v>
      </c>
      <c r="K246" s="7">
        <v>5</v>
      </c>
      <c r="L246" s="5">
        <v>36</v>
      </c>
      <c r="M246" s="5">
        <v>74</v>
      </c>
      <c r="N246" s="7">
        <v>147</v>
      </c>
      <c r="O246" s="4">
        <v>257</v>
      </c>
    </row>
    <row r="247" spans="1:15">
      <c r="A247" s="8" t="s">
        <v>79</v>
      </c>
      <c r="B247" s="3" t="s">
        <v>61</v>
      </c>
      <c r="C247" s="3" t="s">
        <v>17</v>
      </c>
      <c r="D247" s="3" t="s">
        <v>70</v>
      </c>
      <c r="E247" s="4">
        <v>10</v>
      </c>
      <c r="F247" s="4">
        <v>1</v>
      </c>
      <c r="G247" s="5">
        <v>0</v>
      </c>
      <c r="H247" s="5">
        <v>0</v>
      </c>
      <c r="I247" s="6">
        <v>0</v>
      </c>
      <c r="J247" s="5">
        <v>0</v>
      </c>
      <c r="K247" s="7">
        <v>0</v>
      </c>
      <c r="L247" s="5">
        <v>6</v>
      </c>
      <c r="M247" s="5">
        <v>13</v>
      </c>
      <c r="N247" s="7">
        <v>35</v>
      </c>
      <c r="O247" s="4">
        <v>83</v>
      </c>
    </row>
    <row r="248" spans="1:15">
      <c r="A248" s="8" t="s">
        <v>79</v>
      </c>
      <c r="B248" s="3" t="s">
        <v>62</v>
      </c>
      <c r="C248" s="3" t="s">
        <v>17</v>
      </c>
      <c r="D248" s="3" t="s">
        <v>20</v>
      </c>
      <c r="E248" s="4">
        <v>10</v>
      </c>
      <c r="F248" s="4">
        <v>1</v>
      </c>
      <c r="G248" s="5">
        <v>0</v>
      </c>
      <c r="H248" s="5">
        <v>0</v>
      </c>
      <c r="I248" s="6">
        <v>42</v>
      </c>
      <c r="J248" s="5">
        <v>43</v>
      </c>
      <c r="K248" s="7">
        <v>4</v>
      </c>
      <c r="L248" s="5">
        <v>15</v>
      </c>
      <c r="M248" s="5">
        <v>39</v>
      </c>
      <c r="N248" s="7">
        <v>100</v>
      </c>
      <c r="O248" s="4">
        <v>64</v>
      </c>
    </row>
    <row r="249" spans="1:15">
      <c r="A249" s="8" t="s">
        <v>79</v>
      </c>
      <c r="B249" s="3" t="s">
        <v>19</v>
      </c>
      <c r="C249" s="3" t="s">
        <v>17</v>
      </c>
      <c r="D249" s="3" t="s">
        <v>20</v>
      </c>
      <c r="E249" s="4">
        <v>5</v>
      </c>
      <c r="F249" s="4">
        <v>1</v>
      </c>
      <c r="G249" s="5">
        <v>0</v>
      </c>
      <c r="H249" s="5">
        <v>0</v>
      </c>
      <c r="I249" s="6">
        <v>402</v>
      </c>
      <c r="J249" s="5">
        <v>429</v>
      </c>
      <c r="K249" s="7">
        <v>12</v>
      </c>
      <c r="L249" s="5">
        <v>119</v>
      </c>
      <c r="M249" s="5">
        <v>199</v>
      </c>
      <c r="N249" s="7">
        <v>389</v>
      </c>
      <c r="O249" s="4">
        <v>723</v>
      </c>
    </row>
    <row r="250" spans="1:15">
      <c r="A250" s="8" t="s">
        <v>79</v>
      </c>
      <c r="B250" s="3" t="s">
        <v>63</v>
      </c>
      <c r="C250" s="3" t="s">
        <v>17</v>
      </c>
      <c r="D250" s="3" t="s">
        <v>20</v>
      </c>
      <c r="E250" s="4">
        <v>25</v>
      </c>
      <c r="F250" s="4">
        <v>1</v>
      </c>
      <c r="G250" s="5">
        <v>0</v>
      </c>
      <c r="H250" s="5">
        <v>0</v>
      </c>
      <c r="I250" s="6">
        <v>67</v>
      </c>
      <c r="J250" s="5">
        <v>68</v>
      </c>
      <c r="K250" s="7">
        <v>3</v>
      </c>
      <c r="L250" s="5">
        <v>16</v>
      </c>
      <c r="M250" s="5">
        <v>28</v>
      </c>
      <c r="N250" s="7">
        <v>41</v>
      </c>
      <c r="O250" s="4">
        <v>102</v>
      </c>
    </row>
    <row r="251" spans="1:15">
      <c r="A251" s="8" t="s">
        <v>79</v>
      </c>
      <c r="B251" s="3" t="s">
        <v>64</v>
      </c>
      <c r="C251" s="3" t="s">
        <v>17</v>
      </c>
      <c r="D251" s="3" t="s">
        <v>20</v>
      </c>
      <c r="E251" s="4">
        <v>10</v>
      </c>
      <c r="F251" s="4">
        <v>1</v>
      </c>
      <c r="G251" s="5">
        <v>0</v>
      </c>
      <c r="H251" s="5">
        <v>34.71</v>
      </c>
      <c r="I251" s="6">
        <v>1</v>
      </c>
      <c r="J251" s="5">
        <v>1</v>
      </c>
      <c r="K251" s="7">
        <v>0</v>
      </c>
      <c r="L251" s="5">
        <v>17</v>
      </c>
      <c r="M251" s="5">
        <v>27</v>
      </c>
      <c r="N251" s="7">
        <v>75</v>
      </c>
      <c r="O251" s="4">
        <v>0</v>
      </c>
    </row>
    <row r="252" spans="1:15">
      <c r="A252" s="8" t="s">
        <v>79</v>
      </c>
      <c r="B252" s="3" t="s">
        <v>23</v>
      </c>
      <c r="C252" s="3" t="s">
        <v>17</v>
      </c>
      <c r="D252" s="3" t="s">
        <v>20</v>
      </c>
      <c r="E252" s="4">
        <v>5</v>
      </c>
      <c r="F252" s="4">
        <v>5</v>
      </c>
      <c r="G252" s="5">
        <v>0</v>
      </c>
      <c r="H252" s="5">
        <v>0</v>
      </c>
      <c r="I252" s="6">
        <v>40</v>
      </c>
      <c r="J252" s="5">
        <v>40</v>
      </c>
      <c r="K252" s="7">
        <v>2</v>
      </c>
      <c r="L252" s="5">
        <v>7</v>
      </c>
      <c r="M252" s="5">
        <v>31</v>
      </c>
      <c r="N252" s="7">
        <v>35</v>
      </c>
      <c r="O252" s="4">
        <v>10</v>
      </c>
    </row>
    <row r="253" spans="1:15">
      <c r="A253" s="8" t="s">
        <v>79</v>
      </c>
      <c r="B253" s="3" t="s">
        <v>65</v>
      </c>
      <c r="C253" s="3" t="s">
        <v>17</v>
      </c>
      <c r="D253" s="3" t="s">
        <v>20</v>
      </c>
      <c r="E253" s="4">
        <v>2.5</v>
      </c>
      <c r="F253" s="4">
        <v>1</v>
      </c>
      <c r="G253" s="5">
        <v>0</v>
      </c>
      <c r="H253" s="5">
        <v>0</v>
      </c>
      <c r="I253" s="6">
        <v>0</v>
      </c>
      <c r="J253" s="5">
        <v>0</v>
      </c>
      <c r="K253" s="7">
        <v>1</v>
      </c>
      <c r="L253" s="5">
        <v>7</v>
      </c>
      <c r="M253" s="5">
        <v>42</v>
      </c>
      <c r="N253" s="7">
        <v>51</v>
      </c>
      <c r="O253" s="4">
        <v>136</v>
      </c>
    </row>
    <row r="254" spans="1:15">
      <c r="A254" s="8" t="s">
        <v>79</v>
      </c>
      <c r="B254" s="3" t="s">
        <v>21</v>
      </c>
      <c r="C254" s="3" t="s">
        <v>17</v>
      </c>
      <c r="D254" s="3" t="s">
        <v>20</v>
      </c>
      <c r="E254" s="4">
        <v>5</v>
      </c>
      <c r="F254" s="4">
        <v>1</v>
      </c>
      <c r="G254" s="5">
        <v>0</v>
      </c>
      <c r="H254" s="5">
        <v>0</v>
      </c>
      <c r="I254" s="6">
        <v>129</v>
      </c>
      <c r="J254" s="5">
        <v>129</v>
      </c>
      <c r="K254" s="7">
        <v>7</v>
      </c>
      <c r="L254" s="5">
        <v>26</v>
      </c>
      <c r="M254" s="5">
        <v>28</v>
      </c>
      <c r="N254" s="7">
        <v>93</v>
      </c>
      <c r="O254" s="4">
        <v>31</v>
      </c>
    </row>
    <row r="255" spans="1:15">
      <c r="A255" s="8" t="s">
        <v>79</v>
      </c>
      <c r="B255" s="3" t="s">
        <v>66</v>
      </c>
      <c r="C255" s="3" t="s">
        <v>25</v>
      </c>
      <c r="D255" s="3" t="s">
        <v>20</v>
      </c>
      <c r="E255" s="4">
        <v>10</v>
      </c>
      <c r="F255" s="4">
        <v>1</v>
      </c>
      <c r="G255" s="5">
        <v>0</v>
      </c>
      <c r="H255" s="5">
        <v>0</v>
      </c>
      <c r="I255" s="6">
        <v>43</v>
      </c>
      <c r="J255" s="5">
        <v>43</v>
      </c>
      <c r="K255" s="7">
        <v>2</v>
      </c>
      <c r="L255" s="5">
        <v>7</v>
      </c>
      <c r="M255" s="5">
        <v>15</v>
      </c>
      <c r="N255" s="7">
        <v>51</v>
      </c>
      <c r="O255" s="4">
        <v>0</v>
      </c>
    </row>
    <row r="256" spans="1:15">
      <c r="A256" s="8" t="s">
        <v>79</v>
      </c>
      <c r="B256" s="3" t="s">
        <v>39</v>
      </c>
      <c r="C256" s="3" t="s">
        <v>25</v>
      </c>
      <c r="D256" s="3" t="s">
        <v>20</v>
      </c>
      <c r="E256" s="4">
        <v>2.5</v>
      </c>
      <c r="F256" s="4">
        <v>1</v>
      </c>
      <c r="G256" s="5">
        <v>0</v>
      </c>
      <c r="H256" s="5">
        <v>0</v>
      </c>
      <c r="I256" s="6">
        <v>7</v>
      </c>
      <c r="J256" s="5">
        <v>7</v>
      </c>
      <c r="K256" s="7">
        <v>0</v>
      </c>
      <c r="L256" s="5">
        <v>2</v>
      </c>
      <c r="M256" s="5">
        <v>5</v>
      </c>
      <c r="N256" s="7">
        <v>5</v>
      </c>
      <c r="O256" s="4">
        <v>0</v>
      </c>
    </row>
    <row r="257" spans="1:15">
      <c r="A257" s="8" t="s">
        <v>79</v>
      </c>
      <c r="B257" s="3" t="s">
        <v>40</v>
      </c>
      <c r="C257" s="3" t="s">
        <v>25</v>
      </c>
      <c r="D257" s="3" t="s">
        <v>20</v>
      </c>
      <c r="E257" s="4">
        <v>5</v>
      </c>
      <c r="F257" s="4">
        <v>4</v>
      </c>
      <c r="G257" s="5">
        <v>0</v>
      </c>
      <c r="H257" s="5">
        <v>4.04</v>
      </c>
      <c r="I257" s="6">
        <v>14</v>
      </c>
      <c r="J257" s="5">
        <v>14</v>
      </c>
      <c r="K257" s="7">
        <v>0</v>
      </c>
      <c r="L257" s="5">
        <v>0</v>
      </c>
      <c r="M257" s="5">
        <v>1</v>
      </c>
      <c r="N257" s="7">
        <v>6</v>
      </c>
      <c r="O257" s="4">
        <v>0</v>
      </c>
    </row>
    <row r="258" spans="1:15">
      <c r="A258" s="8" t="s">
        <v>79</v>
      </c>
      <c r="B258" s="3" t="s">
        <v>48</v>
      </c>
      <c r="C258" s="3" t="s">
        <v>25</v>
      </c>
      <c r="D258" s="3" t="s">
        <v>20</v>
      </c>
      <c r="E258" s="4">
        <v>10</v>
      </c>
      <c r="F258" s="4">
        <v>2</v>
      </c>
      <c r="G258" s="5">
        <v>0</v>
      </c>
      <c r="H258" s="5">
        <v>0</v>
      </c>
      <c r="I258" s="6">
        <v>8</v>
      </c>
      <c r="J258" s="5">
        <v>8</v>
      </c>
      <c r="K258" s="7">
        <v>0</v>
      </c>
      <c r="L258" s="5">
        <v>2</v>
      </c>
      <c r="M258" s="5">
        <v>4</v>
      </c>
      <c r="N258" s="7">
        <v>7</v>
      </c>
      <c r="O258" s="4">
        <v>0</v>
      </c>
    </row>
    <row r="259" spans="1:15">
      <c r="A259" s="8" t="s">
        <v>79</v>
      </c>
      <c r="B259" s="3" t="s">
        <v>56</v>
      </c>
      <c r="C259" s="3" t="s">
        <v>25</v>
      </c>
      <c r="D259" s="3" t="s">
        <v>20</v>
      </c>
      <c r="E259" s="4">
        <v>5</v>
      </c>
      <c r="F259" s="4">
        <v>4</v>
      </c>
      <c r="G259" s="5">
        <v>0</v>
      </c>
      <c r="H259" s="5">
        <v>0</v>
      </c>
      <c r="I259" s="6">
        <v>2</v>
      </c>
      <c r="J259" s="5">
        <v>2</v>
      </c>
      <c r="K259" s="7">
        <v>0</v>
      </c>
      <c r="L259" s="5">
        <v>0</v>
      </c>
      <c r="M259" s="5">
        <v>0</v>
      </c>
      <c r="N259" s="7">
        <v>2</v>
      </c>
      <c r="O259" s="4">
        <v>0</v>
      </c>
    </row>
    <row r="260" spans="1:15">
      <c r="A260" s="8" t="s">
        <v>79</v>
      </c>
      <c r="B260" s="3" t="s">
        <v>53</v>
      </c>
      <c r="C260" s="3" t="s">
        <v>25</v>
      </c>
      <c r="D260" s="3" t="s">
        <v>20</v>
      </c>
      <c r="E260" s="4">
        <v>25</v>
      </c>
      <c r="F260" s="4">
        <v>1</v>
      </c>
      <c r="G260" s="5">
        <v>0</v>
      </c>
      <c r="H260" s="5">
        <v>0</v>
      </c>
      <c r="I260" s="6">
        <v>4</v>
      </c>
      <c r="J260" s="5">
        <v>4</v>
      </c>
      <c r="K260" s="7">
        <v>0</v>
      </c>
      <c r="L260" s="5">
        <v>1</v>
      </c>
      <c r="M260" s="5">
        <v>1</v>
      </c>
      <c r="N260" s="7">
        <v>4</v>
      </c>
      <c r="O260" s="4">
        <v>0</v>
      </c>
    </row>
    <row r="261" spans="1:15">
      <c r="A261" s="8" t="s">
        <v>79</v>
      </c>
      <c r="B261" s="3" t="s">
        <v>24</v>
      </c>
      <c r="C261" s="3" t="s">
        <v>25</v>
      </c>
      <c r="D261" s="3" t="s">
        <v>20</v>
      </c>
      <c r="E261" s="4">
        <v>5</v>
      </c>
      <c r="F261" s="4">
        <v>4</v>
      </c>
      <c r="G261" s="5">
        <v>0</v>
      </c>
      <c r="H261" s="5">
        <v>0</v>
      </c>
      <c r="I261" s="6">
        <v>56</v>
      </c>
      <c r="J261" s="5">
        <v>57</v>
      </c>
      <c r="K261" s="7">
        <v>0</v>
      </c>
      <c r="L261" s="5">
        <v>13</v>
      </c>
      <c r="M261" s="5">
        <v>28</v>
      </c>
      <c r="N261" s="7">
        <v>54</v>
      </c>
      <c r="O261" s="4">
        <v>0</v>
      </c>
    </row>
    <row r="262" spans="1:15">
      <c r="A262" s="8" t="s">
        <v>79</v>
      </c>
      <c r="B262" s="3" t="s">
        <v>49</v>
      </c>
      <c r="C262" s="3" t="s">
        <v>25</v>
      </c>
      <c r="D262" s="3" t="s">
        <v>20</v>
      </c>
      <c r="E262" s="4">
        <v>10</v>
      </c>
      <c r="F262" s="4">
        <v>2</v>
      </c>
      <c r="G262" s="5">
        <v>0</v>
      </c>
      <c r="H262" s="5">
        <v>0</v>
      </c>
      <c r="I262" s="6">
        <v>24</v>
      </c>
      <c r="J262" s="5">
        <v>24</v>
      </c>
      <c r="K262" s="7">
        <v>1</v>
      </c>
      <c r="L262" s="5">
        <v>14</v>
      </c>
      <c r="M262" s="5">
        <v>18</v>
      </c>
      <c r="N262" s="7">
        <v>47</v>
      </c>
      <c r="O262" s="4">
        <v>0</v>
      </c>
    </row>
    <row r="263" spans="1:15">
      <c r="A263" s="8" t="s">
        <v>79</v>
      </c>
      <c r="B263" s="3" t="s">
        <v>50</v>
      </c>
      <c r="C263" s="3" t="s">
        <v>25</v>
      </c>
      <c r="D263" s="3" t="s">
        <v>20</v>
      </c>
      <c r="E263" s="4">
        <v>10</v>
      </c>
      <c r="F263" s="4">
        <v>2</v>
      </c>
      <c r="G263" s="5">
        <v>0</v>
      </c>
      <c r="H263" s="5">
        <v>0</v>
      </c>
      <c r="I263" s="6">
        <v>2</v>
      </c>
      <c r="J263" s="5">
        <v>4</v>
      </c>
      <c r="K263" s="7">
        <v>0</v>
      </c>
      <c r="L263" s="5">
        <v>1</v>
      </c>
      <c r="M263" s="5">
        <v>1</v>
      </c>
      <c r="N263" s="7">
        <v>5</v>
      </c>
      <c r="O263" s="4">
        <v>0</v>
      </c>
    </row>
    <row r="264" spans="1:15">
      <c r="A264" s="3" t="s">
        <v>80</v>
      </c>
      <c r="B264" s="3" t="s">
        <v>59</v>
      </c>
      <c r="C264" s="3" t="s">
        <v>17</v>
      </c>
      <c r="D264" s="3" t="s">
        <v>20</v>
      </c>
      <c r="E264" s="4">
        <v>2.5</v>
      </c>
      <c r="F264" s="4">
        <v>1</v>
      </c>
      <c r="G264" s="5">
        <v>0</v>
      </c>
      <c r="H264" s="5">
        <v>0</v>
      </c>
      <c r="I264" s="6">
        <v>166</v>
      </c>
      <c r="J264" s="5">
        <v>166</v>
      </c>
      <c r="K264" s="7">
        <v>13</v>
      </c>
      <c r="L264" s="5">
        <v>31</v>
      </c>
      <c r="M264" s="5">
        <v>90</v>
      </c>
      <c r="N264" s="7">
        <v>130</v>
      </c>
      <c r="O264" s="4">
        <v>0</v>
      </c>
    </row>
    <row r="265" spans="1:15">
      <c r="A265" s="8" t="s">
        <v>80</v>
      </c>
      <c r="B265" s="3" t="s">
        <v>60</v>
      </c>
      <c r="C265" s="3" t="s">
        <v>17</v>
      </c>
      <c r="D265" s="3" t="s">
        <v>20</v>
      </c>
      <c r="E265" s="4">
        <v>10</v>
      </c>
      <c r="F265" s="4">
        <v>1</v>
      </c>
      <c r="G265" s="5">
        <v>0</v>
      </c>
      <c r="H265" s="5">
        <v>0</v>
      </c>
      <c r="I265" s="6">
        <v>20</v>
      </c>
      <c r="J265" s="5">
        <v>20</v>
      </c>
      <c r="K265" s="7">
        <v>3</v>
      </c>
      <c r="L265" s="5">
        <v>26</v>
      </c>
      <c r="M265" s="5">
        <v>37</v>
      </c>
      <c r="N265" s="7">
        <v>68</v>
      </c>
      <c r="O265" s="4">
        <v>26</v>
      </c>
    </row>
    <row r="266" spans="1:15">
      <c r="A266" s="8" t="s">
        <v>80</v>
      </c>
      <c r="B266" s="3" t="s">
        <v>16</v>
      </c>
      <c r="C266" s="3" t="s">
        <v>17</v>
      </c>
      <c r="D266" s="3" t="s">
        <v>20</v>
      </c>
      <c r="E266" s="4">
        <v>5</v>
      </c>
      <c r="F266" s="4">
        <v>1</v>
      </c>
      <c r="G266" s="5">
        <v>0</v>
      </c>
      <c r="H266" s="5">
        <v>0</v>
      </c>
      <c r="I266" s="6">
        <v>59</v>
      </c>
      <c r="J266" s="5">
        <v>60</v>
      </c>
      <c r="K266" s="7">
        <v>10</v>
      </c>
      <c r="L266" s="5">
        <v>70</v>
      </c>
      <c r="M266" s="5">
        <v>134</v>
      </c>
      <c r="N266" s="7">
        <v>224</v>
      </c>
      <c r="O266" s="4">
        <v>200</v>
      </c>
    </row>
    <row r="267" spans="1:15">
      <c r="A267" s="8" t="s">
        <v>80</v>
      </c>
      <c r="B267" s="3" t="s">
        <v>61</v>
      </c>
      <c r="C267" s="3" t="s">
        <v>17</v>
      </c>
      <c r="D267" s="3" t="s">
        <v>20</v>
      </c>
      <c r="E267" s="4">
        <v>10</v>
      </c>
      <c r="F267" s="4">
        <v>1</v>
      </c>
      <c r="G267" s="5">
        <v>0</v>
      </c>
      <c r="H267" s="5">
        <v>0</v>
      </c>
      <c r="I267" s="6">
        <v>47</v>
      </c>
      <c r="J267" s="5">
        <v>47</v>
      </c>
      <c r="K267" s="7">
        <v>2</v>
      </c>
      <c r="L267" s="5">
        <v>13</v>
      </c>
      <c r="M267" s="5">
        <v>19</v>
      </c>
      <c r="N267" s="7">
        <v>43</v>
      </c>
      <c r="O267" s="4">
        <v>11</v>
      </c>
    </row>
    <row r="268" spans="1:15">
      <c r="A268" s="8" t="s">
        <v>80</v>
      </c>
      <c r="B268" s="3" t="s">
        <v>62</v>
      </c>
      <c r="C268" s="3" t="s">
        <v>17</v>
      </c>
      <c r="D268" s="3" t="s">
        <v>20</v>
      </c>
      <c r="E268" s="4">
        <v>10</v>
      </c>
      <c r="F268" s="4">
        <v>1</v>
      </c>
      <c r="G268" s="5">
        <v>0</v>
      </c>
      <c r="H268" s="5">
        <v>0</v>
      </c>
      <c r="I268" s="6">
        <v>69</v>
      </c>
      <c r="J268" s="5">
        <v>69</v>
      </c>
      <c r="K268" s="7">
        <v>1</v>
      </c>
      <c r="L268" s="5">
        <v>20</v>
      </c>
      <c r="M268" s="5">
        <v>36</v>
      </c>
      <c r="N268" s="7">
        <v>89</v>
      </c>
      <c r="O268" s="4">
        <v>0</v>
      </c>
    </row>
    <row r="269" spans="1:15">
      <c r="A269" s="8" t="s">
        <v>80</v>
      </c>
      <c r="B269" s="3" t="s">
        <v>19</v>
      </c>
      <c r="C269" s="3" t="s">
        <v>17</v>
      </c>
      <c r="D269" s="3" t="s">
        <v>20</v>
      </c>
      <c r="E269" s="4">
        <v>5</v>
      </c>
      <c r="F269" s="4">
        <v>1</v>
      </c>
      <c r="G269" s="5">
        <v>0</v>
      </c>
      <c r="H269" s="5">
        <v>0</v>
      </c>
      <c r="I269" s="6">
        <v>0</v>
      </c>
      <c r="J269" s="5">
        <v>0</v>
      </c>
      <c r="K269" s="7">
        <v>4</v>
      </c>
      <c r="L269" s="5">
        <v>207</v>
      </c>
      <c r="M269" s="5">
        <v>799</v>
      </c>
      <c r="N269" s="7">
        <v>1353</v>
      </c>
      <c r="O269" s="4">
        <v>709</v>
      </c>
    </row>
    <row r="270" spans="1:15">
      <c r="A270" s="8" t="s">
        <v>80</v>
      </c>
      <c r="B270" s="3" t="s">
        <v>63</v>
      </c>
      <c r="C270" s="3" t="s">
        <v>17</v>
      </c>
      <c r="D270" s="3" t="s">
        <v>20</v>
      </c>
      <c r="E270" s="4">
        <v>25</v>
      </c>
      <c r="F270" s="4">
        <v>1</v>
      </c>
      <c r="G270" s="5">
        <v>0</v>
      </c>
      <c r="H270" s="5">
        <v>0</v>
      </c>
      <c r="I270" s="6">
        <v>125</v>
      </c>
      <c r="J270" s="5">
        <v>126</v>
      </c>
      <c r="K270" s="7">
        <v>5</v>
      </c>
      <c r="L270" s="5">
        <v>30</v>
      </c>
      <c r="M270" s="5">
        <v>59</v>
      </c>
      <c r="N270" s="7">
        <v>93</v>
      </c>
      <c r="O270" s="4">
        <v>0</v>
      </c>
    </row>
    <row r="271" spans="1:15">
      <c r="A271" s="8" t="s">
        <v>80</v>
      </c>
      <c r="B271" s="3" t="s">
        <v>64</v>
      </c>
      <c r="C271" s="3" t="s">
        <v>17</v>
      </c>
      <c r="D271" s="3" t="s">
        <v>20</v>
      </c>
      <c r="E271" s="4">
        <v>10</v>
      </c>
      <c r="F271" s="4">
        <v>1</v>
      </c>
      <c r="G271" s="5">
        <v>0</v>
      </c>
      <c r="H271" s="5">
        <v>0</v>
      </c>
      <c r="I271" s="6">
        <v>103</v>
      </c>
      <c r="J271" s="5">
        <v>103</v>
      </c>
      <c r="K271" s="7">
        <v>3</v>
      </c>
      <c r="L271" s="5">
        <v>26</v>
      </c>
      <c r="M271" s="5">
        <v>55</v>
      </c>
      <c r="N271" s="7">
        <v>114</v>
      </c>
      <c r="O271" s="4">
        <v>42</v>
      </c>
    </row>
    <row r="272" spans="1:15">
      <c r="A272" s="8" t="s">
        <v>80</v>
      </c>
      <c r="B272" s="3" t="s">
        <v>23</v>
      </c>
      <c r="C272" s="3" t="s">
        <v>17</v>
      </c>
      <c r="D272" s="3" t="s">
        <v>20</v>
      </c>
      <c r="E272" s="4">
        <v>5</v>
      </c>
      <c r="F272" s="4">
        <v>5</v>
      </c>
      <c r="G272" s="5">
        <v>0</v>
      </c>
      <c r="H272" s="5">
        <v>0</v>
      </c>
      <c r="I272" s="6">
        <v>40</v>
      </c>
      <c r="J272" s="5">
        <v>40</v>
      </c>
      <c r="K272" s="7">
        <v>1</v>
      </c>
      <c r="L272" s="5">
        <v>11</v>
      </c>
      <c r="M272" s="5">
        <v>24</v>
      </c>
      <c r="N272" s="7">
        <v>60</v>
      </c>
      <c r="O272" s="4">
        <v>90</v>
      </c>
    </row>
    <row r="273" spans="1:15">
      <c r="A273" s="8" t="s">
        <v>80</v>
      </c>
      <c r="B273" s="3" t="s">
        <v>65</v>
      </c>
      <c r="C273" s="3" t="s">
        <v>17</v>
      </c>
      <c r="D273" s="3" t="s">
        <v>20</v>
      </c>
      <c r="E273" s="4">
        <v>2.5</v>
      </c>
      <c r="F273" s="4">
        <v>1</v>
      </c>
      <c r="G273" s="5">
        <v>0</v>
      </c>
      <c r="H273" s="5">
        <v>0</v>
      </c>
      <c r="I273" s="6">
        <v>122</v>
      </c>
      <c r="J273" s="5">
        <v>122</v>
      </c>
      <c r="K273" s="7">
        <v>2</v>
      </c>
      <c r="L273" s="5">
        <v>6</v>
      </c>
      <c r="M273" s="5">
        <v>32</v>
      </c>
      <c r="N273" s="7">
        <v>55</v>
      </c>
      <c r="O273" s="4">
        <v>0</v>
      </c>
    </row>
    <row r="274" spans="1:15">
      <c r="A274" s="8" t="s">
        <v>80</v>
      </c>
      <c r="B274" s="3" t="s">
        <v>21</v>
      </c>
      <c r="C274" s="3" t="s">
        <v>17</v>
      </c>
      <c r="D274" s="3" t="s">
        <v>20</v>
      </c>
      <c r="E274" s="4">
        <v>5</v>
      </c>
      <c r="F274" s="4">
        <v>1</v>
      </c>
      <c r="G274" s="5">
        <v>0</v>
      </c>
      <c r="H274" s="5">
        <v>0</v>
      </c>
      <c r="I274" s="6">
        <v>187</v>
      </c>
      <c r="J274" s="5">
        <v>192</v>
      </c>
      <c r="K274" s="7">
        <v>8</v>
      </c>
      <c r="L274" s="5">
        <v>43</v>
      </c>
      <c r="M274" s="5">
        <v>68</v>
      </c>
      <c r="N274" s="7">
        <v>207</v>
      </c>
      <c r="O274" s="4">
        <v>72</v>
      </c>
    </row>
    <row r="275" spans="1:15">
      <c r="A275" s="8" t="s">
        <v>80</v>
      </c>
      <c r="B275" s="3" t="s">
        <v>66</v>
      </c>
      <c r="C275" s="3" t="s">
        <v>25</v>
      </c>
      <c r="D275" s="3" t="s">
        <v>20</v>
      </c>
      <c r="E275" s="4">
        <v>10</v>
      </c>
      <c r="F275" s="4">
        <v>1</v>
      </c>
      <c r="G275" s="5">
        <v>0</v>
      </c>
      <c r="H275" s="5">
        <v>0</v>
      </c>
      <c r="I275" s="6">
        <v>24</v>
      </c>
      <c r="J275" s="5">
        <v>24</v>
      </c>
      <c r="K275" s="7">
        <v>0</v>
      </c>
      <c r="L275" s="5">
        <v>20</v>
      </c>
      <c r="M275" s="5">
        <v>34</v>
      </c>
      <c r="N275" s="7">
        <v>56</v>
      </c>
      <c r="O275" s="4">
        <v>0</v>
      </c>
    </row>
    <row r="276" spans="1:15">
      <c r="A276" s="8" t="s">
        <v>80</v>
      </c>
      <c r="B276" s="3" t="s">
        <v>39</v>
      </c>
      <c r="C276" s="3" t="s">
        <v>25</v>
      </c>
      <c r="D276" s="3" t="s">
        <v>20</v>
      </c>
      <c r="E276" s="4">
        <v>2.5</v>
      </c>
      <c r="F276" s="4">
        <v>1</v>
      </c>
      <c r="G276" s="5">
        <v>0</v>
      </c>
      <c r="H276" s="5">
        <v>0</v>
      </c>
      <c r="I276" s="6">
        <v>9</v>
      </c>
      <c r="J276" s="5">
        <v>9</v>
      </c>
      <c r="K276" s="7">
        <v>0</v>
      </c>
      <c r="L276" s="5">
        <v>0</v>
      </c>
      <c r="M276" s="5">
        <v>2</v>
      </c>
      <c r="N276" s="7">
        <v>3</v>
      </c>
      <c r="O276" s="4">
        <v>0</v>
      </c>
    </row>
    <row r="277" spans="1:15">
      <c r="A277" s="8" t="s">
        <v>80</v>
      </c>
      <c r="B277" s="3" t="s">
        <v>48</v>
      </c>
      <c r="C277" s="3" t="s">
        <v>25</v>
      </c>
      <c r="D277" s="3" t="s">
        <v>20</v>
      </c>
      <c r="E277" s="4">
        <v>10</v>
      </c>
      <c r="F277" s="4">
        <v>2</v>
      </c>
      <c r="G277" s="5">
        <v>0</v>
      </c>
      <c r="H277" s="5">
        <v>0</v>
      </c>
      <c r="I277" s="6">
        <v>14</v>
      </c>
      <c r="J277" s="5">
        <v>14</v>
      </c>
      <c r="K277" s="7">
        <v>0</v>
      </c>
      <c r="L277" s="5">
        <v>1</v>
      </c>
      <c r="M277" s="5">
        <v>4</v>
      </c>
      <c r="N277" s="7">
        <v>12</v>
      </c>
      <c r="O277" s="4">
        <v>0</v>
      </c>
    </row>
    <row r="278" spans="1:15">
      <c r="A278" s="8" t="s">
        <v>80</v>
      </c>
      <c r="B278" s="3" t="s">
        <v>56</v>
      </c>
      <c r="C278" s="3" t="s">
        <v>25</v>
      </c>
      <c r="D278" s="3" t="s">
        <v>20</v>
      </c>
      <c r="E278" s="4">
        <v>5</v>
      </c>
      <c r="F278" s="4">
        <v>4</v>
      </c>
      <c r="G278" s="5">
        <v>0</v>
      </c>
      <c r="H278" s="5">
        <v>0</v>
      </c>
      <c r="I278" s="6">
        <v>2</v>
      </c>
      <c r="J278" s="5">
        <v>2</v>
      </c>
      <c r="K278" s="7">
        <v>1</v>
      </c>
      <c r="L278" s="5">
        <v>1</v>
      </c>
      <c r="M278" s="5">
        <v>1</v>
      </c>
      <c r="N278" s="7">
        <v>1</v>
      </c>
      <c r="O278" s="4">
        <v>0</v>
      </c>
    </row>
    <row r="279" spans="1:15">
      <c r="A279" s="8" t="s">
        <v>80</v>
      </c>
      <c r="B279" s="3" t="s">
        <v>53</v>
      </c>
      <c r="C279" s="3" t="s">
        <v>25</v>
      </c>
      <c r="D279" s="3" t="s">
        <v>20</v>
      </c>
      <c r="E279" s="4">
        <v>25</v>
      </c>
      <c r="F279" s="4">
        <v>1</v>
      </c>
      <c r="G279" s="5">
        <v>0</v>
      </c>
      <c r="H279" s="5">
        <v>0</v>
      </c>
      <c r="I279" s="6">
        <v>3</v>
      </c>
      <c r="J279" s="5">
        <v>3</v>
      </c>
      <c r="K279" s="7">
        <v>0</v>
      </c>
      <c r="L279" s="5">
        <v>0</v>
      </c>
      <c r="M279" s="5">
        <v>0</v>
      </c>
      <c r="N279" s="7">
        <v>3</v>
      </c>
      <c r="O279" s="4">
        <v>0</v>
      </c>
    </row>
    <row r="280" spans="1:15">
      <c r="A280" s="8" t="s">
        <v>80</v>
      </c>
      <c r="B280" s="3" t="s">
        <v>24</v>
      </c>
      <c r="C280" s="3" t="s">
        <v>25</v>
      </c>
      <c r="D280" s="3" t="s">
        <v>52</v>
      </c>
      <c r="E280" s="4">
        <v>5</v>
      </c>
      <c r="F280" s="4">
        <v>4</v>
      </c>
      <c r="G280" s="5">
        <v>0</v>
      </c>
      <c r="H280" s="5">
        <v>0</v>
      </c>
      <c r="I280" s="6">
        <v>76</v>
      </c>
      <c r="J280" s="5">
        <v>76</v>
      </c>
      <c r="K280" s="7">
        <v>0</v>
      </c>
      <c r="L280" s="5">
        <v>0</v>
      </c>
      <c r="M280" s="5">
        <v>43</v>
      </c>
      <c r="N280" s="7">
        <v>83</v>
      </c>
      <c r="O280" s="4">
        <v>0</v>
      </c>
    </row>
    <row r="281" spans="1:15">
      <c r="A281" s="8" t="s">
        <v>80</v>
      </c>
      <c r="B281" s="3" t="s">
        <v>49</v>
      </c>
      <c r="C281" s="3" t="s">
        <v>25</v>
      </c>
      <c r="D281" s="3" t="s">
        <v>20</v>
      </c>
      <c r="E281" s="4">
        <v>10</v>
      </c>
      <c r="F281" s="4">
        <v>2</v>
      </c>
      <c r="G281" s="5">
        <v>0</v>
      </c>
      <c r="H281" s="5">
        <v>0</v>
      </c>
      <c r="I281" s="6">
        <v>32</v>
      </c>
      <c r="J281" s="5">
        <v>32</v>
      </c>
      <c r="K281" s="7">
        <v>1</v>
      </c>
      <c r="L281" s="5">
        <v>10</v>
      </c>
      <c r="M281" s="5">
        <v>14</v>
      </c>
      <c r="N281" s="7">
        <v>45</v>
      </c>
      <c r="O281" s="4">
        <v>0</v>
      </c>
    </row>
    <row r="282" spans="1:15">
      <c r="A282" s="8" t="s">
        <v>80</v>
      </c>
      <c r="B282" s="3" t="s">
        <v>43</v>
      </c>
      <c r="C282" s="3" t="s">
        <v>25</v>
      </c>
      <c r="D282" s="3" t="s">
        <v>52</v>
      </c>
      <c r="E282" s="4">
        <v>5</v>
      </c>
      <c r="F282" s="4">
        <v>4</v>
      </c>
      <c r="G282" s="5">
        <v>0</v>
      </c>
      <c r="H282" s="5">
        <v>0</v>
      </c>
      <c r="I282" s="6">
        <v>4</v>
      </c>
      <c r="J282" s="5">
        <v>4</v>
      </c>
      <c r="K282" s="7">
        <v>0</v>
      </c>
      <c r="L282" s="5">
        <v>0</v>
      </c>
      <c r="M282" s="5">
        <v>4</v>
      </c>
      <c r="N282" s="7">
        <v>7</v>
      </c>
      <c r="O282" s="4">
        <v>0</v>
      </c>
    </row>
    <row r="283" spans="1:15">
      <c r="A283" s="3" t="s">
        <v>81</v>
      </c>
      <c r="B283" s="3" t="s">
        <v>40</v>
      </c>
      <c r="C283" s="3" t="s">
        <v>25</v>
      </c>
      <c r="D283" s="3" t="s">
        <v>82</v>
      </c>
      <c r="E283" s="4">
        <v>5</v>
      </c>
      <c r="F283" s="4">
        <v>4</v>
      </c>
      <c r="G283" s="5">
        <v>0</v>
      </c>
      <c r="H283" s="5">
        <v>0</v>
      </c>
      <c r="I283" s="6">
        <v>0</v>
      </c>
      <c r="J283" s="5">
        <v>0</v>
      </c>
      <c r="K283" s="7">
        <v>0</v>
      </c>
      <c r="L283" s="5">
        <v>0</v>
      </c>
      <c r="M283" s="5">
        <v>0</v>
      </c>
      <c r="N283" s="7">
        <v>0</v>
      </c>
      <c r="O283" s="4">
        <v>0</v>
      </c>
    </row>
    <row r="284" spans="1:15">
      <c r="A284" s="3" t="s">
        <v>83</v>
      </c>
      <c r="B284" s="3" t="s">
        <v>59</v>
      </c>
      <c r="C284" s="3" t="s">
        <v>17</v>
      </c>
      <c r="D284" s="3" t="s">
        <v>20</v>
      </c>
      <c r="E284" s="4">
        <v>2.5</v>
      </c>
      <c r="F284" s="4">
        <v>1</v>
      </c>
      <c r="G284" s="5">
        <v>0</v>
      </c>
      <c r="H284" s="5">
        <v>0</v>
      </c>
      <c r="I284" s="6">
        <v>338</v>
      </c>
      <c r="J284" s="5">
        <v>338</v>
      </c>
      <c r="K284" s="7">
        <v>6</v>
      </c>
      <c r="L284" s="5">
        <v>11</v>
      </c>
      <c r="M284" s="5">
        <v>45</v>
      </c>
      <c r="N284" s="7">
        <v>90</v>
      </c>
      <c r="O284" s="4">
        <v>188</v>
      </c>
    </row>
    <row r="285" spans="1:15">
      <c r="A285" s="8" t="s">
        <v>83</v>
      </c>
      <c r="B285" s="3" t="s">
        <v>60</v>
      </c>
      <c r="C285" s="3" t="s">
        <v>17</v>
      </c>
      <c r="D285" s="3" t="s">
        <v>20</v>
      </c>
      <c r="E285" s="4">
        <v>10</v>
      </c>
      <c r="F285" s="4">
        <v>1</v>
      </c>
      <c r="G285" s="5">
        <v>0</v>
      </c>
      <c r="H285" s="5">
        <v>0</v>
      </c>
      <c r="I285" s="6">
        <v>51</v>
      </c>
      <c r="J285" s="5">
        <v>51</v>
      </c>
      <c r="K285" s="7">
        <v>7</v>
      </c>
      <c r="L285" s="5">
        <v>44</v>
      </c>
      <c r="M285" s="5">
        <v>57</v>
      </c>
      <c r="N285" s="7">
        <v>108</v>
      </c>
      <c r="O285" s="4">
        <v>74</v>
      </c>
    </row>
    <row r="286" spans="1:15">
      <c r="A286" s="8" t="s">
        <v>83</v>
      </c>
      <c r="B286" s="3" t="s">
        <v>68</v>
      </c>
      <c r="C286" s="3" t="s">
        <v>25</v>
      </c>
      <c r="D286" s="3" t="s">
        <v>70</v>
      </c>
      <c r="E286" s="4">
        <v>10</v>
      </c>
      <c r="F286" s="4">
        <v>1</v>
      </c>
      <c r="G286" s="5">
        <v>0</v>
      </c>
      <c r="H286" s="5">
        <v>0</v>
      </c>
      <c r="I286" s="6">
        <v>0</v>
      </c>
      <c r="J286" s="5">
        <v>0</v>
      </c>
      <c r="K286" s="7">
        <v>0</v>
      </c>
      <c r="L286" s="5">
        <v>0</v>
      </c>
      <c r="M286" s="5">
        <v>0</v>
      </c>
      <c r="N286" s="7">
        <v>8</v>
      </c>
      <c r="O286" s="4">
        <v>0</v>
      </c>
    </row>
    <row r="287" spans="1:15">
      <c r="A287" s="8" t="s">
        <v>83</v>
      </c>
      <c r="B287" s="3" t="s">
        <v>38</v>
      </c>
      <c r="C287" s="3" t="s">
        <v>25</v>
      </c>
      <c r="D287" s="3" t="s">
        <v>20</v>
      </c>
      <c r="E287" s="4">
        <v>5</v>
      </c>
      <c r="F287" s="4">
        <v>4</v>
      </c>
      <c r="G287" s="5">
        <v>0</v>
      </c>
      <c r="H287" s="5">
        <v>0</v>
      </c>
      <c r="I287" s="6">
        <v>9</v>
      </c>
      <c r="J287" s="5">
        <v>9</v>
      </c>
      <c r="K287" s="7">
        <v>0</v>
      </c>
      <c r="L287" s="5">
        <v>2</v>
      </c>
      <c r="M287" s="5">
        <v>4</v>
      </c>
      <c r="N287" s="7">
        <v>6</v>
      </c>
      <c r="O287" s="4">
        <v>0</v>
      </c>
    </row>
    <row r="288" spans="1:15">
      <c r="A288" s="8" t="s">
        <v>83</v>
      </c>
      <c r="B288" s="3" t="s">
        <v>16</v>
      </c>
      <c r="C288" s="3" t="s">
        <v>17</v>
      </c>
      <c r="D288" s="3" t="s">
        <v>20</v>
      </c>
      <c r="E288" s="4">
        <v>5</v>
      </c>
      <c r="F288" s="4">
        <v>1</v>
      </c>
      <c r="G288" s="5">
        <v>0</v>
      </c>
      <c r="H288" s="5">
        <v>0</v>
      </c>
      <c r="I288" s="6">
        <v>131</v>
      </c>
      <c r="J288" s="5">
        <v>133</v>
      </c>
      <c r="K288" s="7">
        <v>4</v>
      </c>
      <c r="L288" s="5">
        <v>63</v>
      </c>
      <c r="M288" s="5">
        <v>130</v>
      </c>
      <c r="N288" s="7">
        <v>222</v>
      </c>
      <c r="O288" s="4">
        <v>451</v>
      </c>
    </row>
    <row r="289" spans="1:15">
      <c r="A289" s="8" t="s">
        <v>83</v>
      </c>
      <c r="B289" s="3" t="s">
        <v>61</v>
      </c>
      <c r="C289" s="3" t="s">
        <v>17</v>
      </c>
      <c r="D289" s="3" t="s">
        <v>20</v>
      </c>
      <c r="E289" s="4">
        <v>10</v>
      </c>
      <c r="F289" s="4">
        <v>1</v>
      </c>
      <c r="G289" s="5">
        <v>0</v>
      </c>
      <c r="H289" s="5">
        <v>0</v>
      </c>
      <c r="I289" s="6">
        <v>24</v>
      </c>
      <c r="J289" s="5">
        <v>24</v>
      </c>
      <c r="K289" s="7">
        <v>2</v>
      </c>
      <c r="L289" s="5">
        <v>56</v>
      </c>
      <c r="M289" s="5">
        <v>72</v>
      </c>
      <c r="N289" s="7">
        <v>122</v>
      </c>
      <c r="O289" s="4">
        <v>181</v>
      </c>
    </row>
    <row r="290" spans="1:15">
      <c r="A290" s="8" t="s">
        <v>83</v>
      </c>
      <c r="B290" s="3" t="s">
        <v>62</v>
      </c>
      <c r="C290" s="3" t="s">
        <v>17</v>
      </c>
      <c r="D290" s="3" t="s">
        <v>20</v>
      </c>
      <c r="E290" s="4">
        <v>10</v>
      </c>
      <c r="F290" s="4">
        <v>1</v>
      </c>
      <c r="G290" s="5">
        <v>0</v>
      </c>
      <c r="H290" s="5">
        <v>0</v>
      </c>
      <c r="I290" s="6">
        <v>89</v>
      </c>
      <c r="J290" s="5">
        <v>89</v>
      </c>
      <c r="K290" s="7">
        <v>4</v>
      </c>
      <c r="L290" s="5">
        <v>10</v>
      </c>
      <c r="M290" s="5">
        <v>32</v>
      </c>
      <c r="N290" s="7">
        <v>95</v>
      </c>
      <c r="O290" s="4">
        <v>81</v>
      </c>
    </row>
    <row r="291" spans="1:15">
      <c r="A291" s="8" t="s">
        <v>83</v>
      </c>
      <c r="B291" s="3" t="s">
        <v>19</v>
      </c>
      <c r="C291" s="3" t="s">
        <v>17</v>
      </c>
      <c r="D291" s="3" t="s">
        <v>20</v>
      </c>
      <c r="E291" s="4">
        <v>5</v>
      </c>
      <c r="F291" s="4">
        <v>1</v>
      </c>
      <c r="G291" s="5">
        <v>0</v>
      </c>
      <c r="H291" s="5">
        <v>0</v>
      </c>
      <c r="I291" s="6">
        <v>477</v>
      </c>
      <c r="J291" s="5">
        <v>482</v>
      </c>
      <c r="K291" s="7">
        <v>38</v>
      </c>
      <c r="L291" s="5">
        <v>312</v>
      </c>
      <c r="M291" s="5">
        <v>499</v>
      </c>
      <c r="N291" s="7">
        <v>899</v>
      </c>
      <c r="O291" s="4">
        <v>2329</v>
      </c>
    </row>
    <row r="292" spans="1:15">
      <c r="A292" s="8" t="s">
        <v>83</v>
      </c>
      <c r="B292" s="3" t="s">
        <v>63</v>
      </c>
      <c r="C292" s="3" t="s">
        <v>17</v>
      </c>
      <c r="D292" s="3" t="s">
        <v>20</v>
      </c>
      <c r="E292" s="4">
        <v>25</v>
      </c>
      <c r="F292" s="4">
        <v>1</v>
      </c>
      <c r="G292" s="5">
        <v>0</v>
      </c>
      <c r="H292" s="5">
        <v>0</v>
      </c>
      <c r="I292" s="6">
        <v>104</v>
      </c>
      <c r="J292" s="5">
        <v>104</v>
      </c>
      <c r="K292" s="7">
        <v>2</v>
      </c>
      <c r="L292" s="5">
        <v>16</v>
      </c>
      <c r="M292" s="5">
        <v>29</v>
      </c>
      <c r="N292" s="7">
        <v>57</v>
      </c>
      <c r="O292" s="4">
        <v>148</v>
      </c>
    </row>
    <row r="293" spans="1:15">
      <c r="A293" s="8" t="s">
        <v>83</v>
      </c>
      <c r="B293" s="3" t="s">
        <v>64</v>
      </c>
      <c r="C293" s="3" t="s">
        <v>17</v>
      </c>
      <c r="D293" s="3" t="s">
        <v>20</v>
      </c>
      <c r="E293" s="4">
        <v>10</v>
      </c>
      <c r="F293" s="4">
        <v>1</v>
      </c>
      <c r="G293" s="5">
        <v>0</v>
      </c>
      <c r="H293" s="5">
        <v>0</v>
      </c>
      <c r="I293" s="6">
        <v>186</v>
      </c>
      <c r="J293" s="5">
        <v>186</v>
      </c>
      <c r="K293" s="7">
        <v>2</v>
      </c>
      <c r="L293" s="5">
        <v>33</v>
      </c>
      <c r="M293" s="5">
        <v>58</v>
      </c>
      <c r="N293" s="7">
        <v>151</v>
      </c>
      <c r="O293" s="4">
        <v>181</v>
      </c>
    </row>
    <row r="294" spans="1:15">
      <c r="A294" s="8" t="s">
        <v>83</v>
      </c>
      <c r="B294" s="3" t="s">
        <v>23</v>
      </c>
      <c r="C294" s="3" t="s">
        <v>17</v>
      </c>
      <c r="D294" s="3" t="s">
        <v>20</v>
      </c>
      <c r="E294" s="4">
        <v>5</v>
      </c>
      <c r="F294" s="4">
        <v>5</v>
      </c>
      <c r="G294" s="5">
        <v>0</v>
      </c>
      <c r="H294" s="5">
        <v>19.42</v>
      </c>
      <c r="I294" s="6">
        <v>118</v>
      </c>
      <c r="J294" s="5">
        <v>118</v>
      </c>
      <c r="K294" s="7">
        <v>1</v>
      </c>
      <c r="L294" s="5">
        <v>23</v>
      </c>
      <c r="M294" s="5">
        <v>31</v>
      </c>
      <c r="N294" s="7">
        <v>66</v>
      </c>
      <c r="O294" s="4">
        <v>0</v>
      </c>
    </row>
    <row r="295" spans="1:15">
      <c r="A295" s="8" t="s">
        <v>83</v>
      </c>
      <c r="B295" s="3" t="s">
        <v>65</v>
      </c>
      <c r="C295" s="3" t="s">
        <v>17</v>
      </c>
      <c r="D295" s="3" t="s">
        <v>20</v>
      </c>
      <c r="E295" s="4">
        <v>2.5</v>
      </c>
      <c r="F295" s="4">
        <v>1</v>
      </c>
      <c r="G295" s="5">
        <v>0</v>
      </c>
      <c r="H295" s="5">
        <v>0</v>
      </c>
      <c r="I295" s="6">
        <v>243</v>
      </c>
      <c r="J295" s="5">
        <v>244</v>
      </c>
      <c r="K295" s="7">
        <v>4</v>
      </c>
      <c r="L295" s="5">
        <v>22</v>
      </c>
      <c r="M295" s="5">
        <v>51</v>
      </c>
      <c r="N295" s="7">
        <v>93</v>
      </c>
      <c r="O295" s="4">
        <v>129</v>
      </c>
    </row>
    <row r="296" spans="1:15">
      <c r="A296" s="8" t="s">
        <v>83</v>
      </c>
      <c r="B296" s="3" t="s">
        <v>21</v>
      </c>
      <c r="C296" s="3" t="s">
        <v>17</v>
      </c>
      <c r="D296" s="3" t="s">
        <v>20</v>
      </c>
      <c r="E296" s="4">
        <v>5</v>
      </c>
      <c r="F296" s="4">
        <v>1</v>
      </c>
      <c r="G296" s="5">
        <v>0</v>
      </c>
      <c r="H296" s="5">
        <v>0</v>
      </c>
      <c r="I296" s="6">
        <v>100</v>
      </c>
      <c r="J296" s="5">
        <v>102</v>
      </c>
      <c r="K296" s="7">
        <v>5</v>
      </c>
      <c r="L296" s="5">
        <v>42</v>
      </c>
      <c r="M296" s="5">
        <v>70</v>
      </c>
      <c r="N296" s="7">
        <v>136</v>
      </c>
      <c r="O296" s="4">
        <v>350</v>
      </c>
    </row>
    <row r="297" spans="1:15">
      <c r="A297" s="8" t="s">
        <v>83</v>
      </c>
      <c r="B297" s="3" t="s">
        <v>66</v>
      </c>
      <c r="C297" s="3" t="s">
        <v>25</v>
      </c>
      <c r="D297" s="3" t="s">
        <v>20</v>
      </c>
      <c r="E297" s="4">
        <v>10</v>
      </c>
      <c r="F297" s="4">
        <v>1</v>
      </c>
      <c r="G297" s="5">
        <v>0</v>
      </c>
      <c r="H297" s="5">
        <v>0</v>
      </c>
      <c r="I297" s="6">
        <v>113</v>
      </c>
      <c r="J297" s="5">
        <v>113</v>
      </c>
      <c r="K297" s="7">
        <v>3</v>
      </c>
      <c r="L297" s="5">
        <v>18</v>
      </c>
      <c r="M297" s="5">
        <v>49</v>
      </c>
      <c r="N297" s="7">
        <v>109</v>
      </c>
      <c r="O297" s="4">
        <v>0</v>
      </c>
    </row>
    <row r="298" spans="1:15">
      <c r="A298" s="8" t="s">
        <v>83</v>
      </c>
      <c r="B298" s="3" t="s">
        <v>39</v>
      </c>
      <c r="C298" s="3" t="s">
        <v>25</v>
      </c>
      <c r="D298" s="3" t="s">
        <v>20</v>
      </c>
      <c r="E298" s="4">
        <v>2.5</v>
      </c>
      <c r="F298" s="4">
        <v>1</v>
      </c>
      <c r="G298" s="5">
        <v>0</v>
      </c>
      <c r="H298" s="5">
        <v>0</v>
      </c>
      <c r="I298" s="6">
        <v>11</v>
      </c>
      <c r="J298" s="5">
        <v>11</v>
      </c>
      <c r="K298" s="7">
        <v>0</v>
      </c>
      <c r="L298" s="5">
        <v>0</v>
      </c>
      <c r="M298" s="5">
        <v>2</v>
      </c>
      <c r="N298" s="7">
        <v>7</v>
      </c>
      <c r="O298" s="4">
        <v>0</v>
      </c>
    </row>
    <row r="299" spans="1:15">
      <c r="A299" s="8" t="s">
        <v>83</v>
      </c>
      <c r="B299" s="3" t="s">
        <v>40</v>
      </c>
      <c r="C299" s="3" t="s">
        <v>25</v>
      </c>
      <c r="D299" s="3" t="s">
        <v>20</v>
      </c>
      <c r="E299" s="4">
        <v>5</v>
      </c>
      <c r="F299" s="4">
        <v>4</v>
      </c>
      <c r="G299" s="5">
        <v>0</v>
      </c>
      <c r="H299" s="5">
        <v>0</v>
      </c>
      <c r="I299" s="6">
        <v>21</v>
      </c>
      <c r="J299" s="5">
        <v>21</v>
      </c>
      <c r="K299" s="7">
        <v>0</v>
      </c>
      <c r="L299" s="5">
        <v>2</v>
      </c>
      <c r="M299" s="5">
        <v>2</v>
      </c>
      <c r="N299" s="7">
        <v>13</v>
      </c>
      <c r="O299" s="4">
        <v>0</v>
      </c>
    </row>
    <row r="300" spans="1:15">
      <c r="A300" s="8" t="s">
        <v>83</v>
      </c>
      <c r="B300" s="3" t="s">
        <v>48</v>
      </c>
      <c r="C300" s="3" t="s">
        <v>25</v>
      </c>
      <c r="D300" s="3" t="s">
        <v>20</v>
      </c>
      <c r="E300" s="4">
        <v>10</v>
      </c>
      <c r="F300" s="4">
        <v>2</v>
      </c>
      <c r="G300" s="5">
        <v>0</v>
      </c>
      <c r="H300" s="5">
        <v>0</v>
      </c>
      <c r="I300" s="6">
        <v>15</v>
      </c>
      <c r="J300" s="5">
        <v>15</v>
      </c>
      <c r="K300" s="7">
        <v>2</v>
      </c>
      <c r="L300" s="5">
        <v>4</v>
      </c>
      <c r="M300" s="5">
        <v>6</v>
      </c>
      <c r="N300" s="7">
        <v>15</v>
      </c>
      <c r="O300" s="4">
        <v>0</v>
      </c>
    </row>
    <row r="301" spans="1:15">
      <c r="A301" s="8" t="s">
        <v>83</v>
      </c>
      <c r="B301" s="3" t="s">
        <v>42</v>
      </c>
      <c r="C301" s="3" t="s">
        <v>25</v>
      </c>
      <c r="D301" s="3" t="s">
        <v>20</v>
      </c>
      <c r="E301" s="4">
        <v>5</v>
      </c>
      <c r="F301" s="4">
        <v>4</v>
      </c>
      <c r="G301" s="5">
        <v>0</v>
      </c>
      <c r="H301" s="5">
        <v>0.28</v>
      </c>
      <c r="I301" s="6">
        <v>8</v>
      </c>
      <c r="J301" s="5">
        <v>8</v>
      </c>
      <c r="K301" s="7">
        <v>0</v>
      </c>
      <c r="L301" s="5">
        <v>1</v>
      </c>
      <c r="M301" s="5">
        <v>2</v>
      </c>
      <c r="N301" s="7">
        <v>4</v>
      </c>
      <c r="O301" s="4">
        <v>0</v>
      </c>
    </row>
    <row r="302" spans="1:15">
      <c r="A302" s="8" t="s">
        <v>83</v>
      </c>
      <c r="B302" s="3" t="s">
        <v>53</v>
      </c>
      <c r="C302" s="3" t="s">
        <v>25</v>
      </c>
      <c r="D302" s="3" t="s">
        <v>20</v>
      </c>
      <c r="E302" s="4">
        <v>25</v>
      </c>
      <c r="F302" s="4">
        <v>1</v>
      </c>
      <c r="G302" s="5">
        <v>0</v>
      </c>
      <c r="H302" s="5">
        <v>0</v>
      </c>
      <c r="I302" s="6">
        <v>6</v>
      </c>
      <c r="J302" s="5">
        <v>6</v>
      </c>
      <c r="K302" s="7">
        <v>0</v>
      </c>
      <c r="L302" s="5">
        <v>0</v>
      </c>
      <c r="M302" s="5">
        <v>1</v>
      </c>
      <c r="N302" s="7">
        <v>6</v>
      </c>
      <c r="O302" s="4">
        <v>0</v>
      </c>
    </row>
    <row r="303" spans="1:15">
      <c r="A303" s="8" t="s">
        <v>83</v>
      </c>
      <c r="B303" s="3" t="s">
        <v>24</v>
      </c>
      <c r="C303" s="3" t="s">
        <v>25</v>
      </c>
      <c r="D303" s="3" t="s">
        <v>20</v>
      </c>
      <c r="E303" s="4">
        <v>5</v>
      </c>
      <c r="F303" s="4">
        <v>4</v>
      </c>
      <c r="G303" s="5">
        <v>0</v>
      </c>
      <c r="H303" s="5">
        <v>0</v>
      </c>
      <c r="I303" s="6">
        <v>85</v>
      </c>
      <c r="J303" s="5">
        <v>85</v>
      </c>
      <c r="K303" s="7">
        <v>1</v>
      </c>
      <c r="L303" s="5">
        <v>22</v>
      </c>
      <c r="M303" s="5">
        <v>50</v>
      </c>
      <c r="N303" s="7">
        <v>109</v>
      </c>
      <c r="O303" s="4">
        <v>0</v>
      </c>
    </row>
    <row r="304" spans="1:15">
      <c r="A304" s="8" t="s">
        <v>83</v>
      </c>
      <c r="B304" s="3" t="s">
        <v>49</v>
      </c>
      <c r="C304" s="3" t="s">
        <v>25</v>
      </c>
      <c r="D304" s="3" t="s">
        <v>20</v>
      </c>
      <c r="E304" s="4">
        <v>10</v>
      </c>
      <c r="F304" s="4">
        <v>2</v>
      </c>
      <c r="G304" s="5">
        <v>0</v>
      </c>
      <c r="H304" s="5">
        <v>0</v>
      </c>
      <c r="I304" s="6">
        <v>44</v>
      </c>
      <c r="J304" s="5">
        <v>44</v>
      </c>
      <c r="K304" s="7">
        <v>2</v>
      </c>
      <c r="L304" s="5">
        <v>11</v>
      </c>
      <c r="M304" s="5">
        <v>19</v>
      </c>
      <c r="N304" s="7">
        <v>55</v>
      </c>
      <c r="O304" s="4">
        <v>0</v>
      </c>
    </row>
    <row r="305" spans="1:15">
      <c r="A305" s="8" t="s">
        <v>83</v>
      </c>
      <c r="B305" s="3" t="s">
        <v>50</v>
      </c>
      <c r="C305" s="3" t="s">
        <v>25</v>
      </c>
      <c r="D305" s="3" t="s">
        <v>20</v>
      </c>
      <c r="E305" s="4">
        <v>10</v>
      </c>
      <c r="F305" s="4">
        <v>2</v>
      </c>
      <c r="G305" s="5">
        <v>0</v>
      </c>
      <c r="H305" s="5">
        <v>0</v>
      </c>
      <c r="I305" s="6">
        <v>7</v>
      </c>
      <c r="J305" s="5">
        <v>7</v>
      </c>
      <c r="K305" s="7">
        <v>0</v>
      </c>
      <c r="L305" s="5">
        <v>2</v>
      </c>
      <c r="M305" s="5">
        <v>3</v>
      </c>
      <c r="N305" s="7">
        <v>10</v>
      </c>
      <c r="O305" s="4">
        <v>0</v>
      </c>
    </row>
    <row r="306" spans="1:15">
      <c r="A306" s="8" t="s">
        <v>83</v>
      </c>
      <c r="B306" s="3" t="s">
        <v>43</v>
      </c>
      <c r="C306" s="3" t="s">
        <v>25</v>
      </c>
      <c r="D306" s="3" t="s">
        <v>20</v>
      </c>
      <c r="E306" s="4">
        <v>5</v>
      </c>
      <c r="F306" s="4">
        <v>4</v>
      </c>
      <c r="G306" s="5">
        <v>0</v>
      </c>
      <c r="H306" s="5">
        <v>0</v>
      </c>
      <c r="I306" s="6">
        <v>5</v>
      </c>
      <c r="J306" s="5">
        <v>5</v>
      </c>
      <c r="K306" s="7">
        <v>0</v>
      </c>
      <c r="L306" s="5">
        <v>3</v>
      </c>
      <c r="M306" s="5">
        <v>5</v>
      </c>
      <c r="N306" s="7">
        <v>11</v>
      </c>
      <c r="O306" s="4">
        <v>0</v>
      </c>
    </row>
    <row r="307" spans="1:15">
      <c r="A307" s="3" t="s">
        <v>84</v>
      </c>
      <c r="B307" s="3" t="s">
        <v>59</v>
      </c>
      <c r="C307" s="3" t="s">
        <v>17</v>
      </c>
      <c r="D307" s="3" t="s">
        <v>20</v>
      </c>
      <c r="E307" s="4">
        <v>2.5</v>
      </c>
      <c r="F307" s="4">
        <v>1</v>
      </c>
      <c r="G307" s="5">
        <v>0</v>
      </c>
      <c r="H307" s="5">
        <v>0</v>
      </c>
      <c r="I307" s="6">
        <v>136</v>
      </c>
      <c r="J307" s="5">
        <v>138</v>
      </c>
      <c r="K307" s="7">
        <v>38</v>
      </c>
      <c r="L307" s="5">
        <v>91</v>
      </c>
      <c r="M307" s="5">
        <v>109</v>
      </c>
      <c r="N307" s="7">
        <v>140</v>
      </c>
      <c r="O307" s="4">
        <v>193</v>
      </c>
    </row>
    <row r="308" spans="1:15">
      <c r="A308" s="8" t="s">
        <v>84</v>
      </c>
      <c r="B308" s="3" t="s">
        <v>60</v>
      </c>
      <c r="C308" s="3" t="s">
        <v>17</v>
      </c>
      <c r="D308" s="3" t="s">
        <v>20</v>
      </c>
      <c r="E308" s="4">
        <v>10</v>
      </c>
      <c r="F308" s="4">
        <v>1</v>
      </c>
      <c r="G308" s="5">
        <v>0</v>
      </c>
      <c r="H308" s="5">
        <v>0</v>
      </c>
      <c r="I308" s="6">
        <v>2</v>
      </c>
      <c r="J308" s="5">
        <v>5</v>
      </c>
      <c r="K308" s="7">
        <v>10</v>
      </c>
      <c r="L308" s="5">
        <v>34</v>
      </c>
      <c r="M308" s="5">
        <v>75</v>
      </c>
      <c r="N308" s="7">
        <v>124</v>
      </c>
      <c r="O308" s="4">
        <v>32</v>
      </c>
    </row>
    <row r="309" spans="1:15">
      <c r="A309" s="8" t="s">
        <v>84</v>
      </c>
      <c r="B309" s="3" t="s">
        <v>68</v>
      </c>
      <c r="C309" s="3" t="s">
        <v>25</v>
      </c>
      <c r="D309" s="3" t="s">
        <v>20</v>
      </c>
      <c r="E309" s="4">
        <v>10</v>
      </c>
      <c r="F309" s="4">
        <v>1</v>
      </c>
      <c r="G309" s="5">
        <v>0</v>
      </c>
      <c r="H309" s="5">
        <v>0</v>
      </c>
      <c r="I309" s="6">
        <v>15</v>
      </c>
      <c r="J309" s="5">
        <v>5</v>
      </c>
      <c r="K309" s="7">
        <v>0</v>
      </c>
      <c r="L309" s="5">
        <v>3</v>
      </c>
      <c r="M309" s="5">
        <v>3</v>
      </c>
      <c r="N309" s="7">
        <v>7</v>
      </c>
      <c r="O309" s="4">
        <v>0</v>
      </c>
    </row>
    <row r="310" spans="1:15">
      <c r="A310" s="8" t="s">
        <v>84</v>
      </c>
      <c r="B310" s="3" t="s">
        <v>16</v>
      </c>
      <c r="C310" s="3" t="s">
        <v>17</v>
      </c>
      <c r="D310" s="3" t="s">
        <v>20</v>
      </c>
      <c r="E310" s="4">
        <v>5</v>
      </c>
      <c r="F310" s="4">
        <v>1</v>
      </c>
      <c r="G310" s="5">
        <v>0</v>
      </c>
      <c r="H310" s="5">
        <v>0</v>
      </c>
      <c r="I310" s="6">
        <v>60</v>
      </c>
      <c r="J310" s="5">
        <v>61</v>
      </c>
      <c r="K310" s="7">
        <v>9</v>
      </c>
      <c r="L310" s="5">
        <v>39</v>
      </c>
      <c r="M310" s="5">
        <v>93</v>
      </c>
      <c r="N310" s="7">
        <v>175</v>
      </c>
      <c r="O310" s="4">
        <v>243</v>
      </c>
    </row>
    <row r="311" spans="1:15">
      <c r="A311" s="8" t="s">
        <v>84</v>
      </c>
      <c r="B311" s="3" t="s">
        <v>61</v>
      </c>
      <c r="C311" s="3" t="s">
        <v>17</v>
      </c>
      <c r="D311" s="3" t="s">
        <v>20</v>
      </c>
      <c r="E311" s="4">
        <v>10</v>
      </c>
      <c r="F311" s="4">
        <v>1</v>
      </c>
      <c r="G311" s="5">
        <v>0</v>
      </c>
      <c r="H311" s="5">
        <v>27.47</v>
      </c>
      <c r="I311" s="6">
        <v>122</v>
      </c>
      <c r="J311" s="5">
        <v>123</v>
      </c>
      <c r="K311" s="7">
        <v>0</v>
      </c>
      <c r="L311" s="5">
        <v>8</v>
      </c>
      <c r="M311" s="5">
        <v>15</v>
      </c>
      <c r="N311" s="7">
        <v>39</v>
      </c>
      <c r="O311" s="4">
        <v>0</v>
      </c>
    </row>
    <row r="312" spans="1:15">
      <c r="A312" s="8" t="s">
        <v>84</v>
      </c>
      <c r="B312" s="3" t="s">
        <v>62</v>
      </c>
      <c r="C312" s="3" t="s">
        <v>17</v>
      </c>
      <c r="D312" s="3" t="s">
        <v>20</v>
      </c>
      <c r="E312" s="4">
        <v>10</v>
      </c>
      <c r="F312" s="4">
        <v>1</v>
      </c>
      <c r="G312" s="5">
        <v>0</v>
      </c>
      <c r="H312" s="5">
        <v>0</v>
      </c>
      <c r="I312" s="6">
        <v>78</v>
      </c>
      <c r="J312" s="5">
        <v>78</v>
      </c>
      <c r="K312" s="7">
        <v>6</v>
      </c>
      <c r="L312" s="5">
        <v>21</v>
      </c>
      <c r="M312" s="5">
        <v>40</v>
      </c>
      <c r="N312" s="7">
        <v>99</v>
      </c>
      <c r="O312" s="4">
        <v>34</v>
      </c>
    </row>
    <row r="313" spans="1:15">
      <c r="A313" s="8" t="s">
        <v>84</v>
      </c>
      <c r="B313" s="3" t="s">
        <v>19</v>
      </c>
      <c r="C313" s="3" t="s">
        <v>17</v>
      </c>
      <c r="D313" s="3" t="s">
        <v>20</v>
      </c>
      <c r="E313" s="4">
        <v>5</v>
      </c>
      <c r="F313" s="4">
        <v>1</v>
      </c>
      <c r="G313" s="5">
        <v>0</v>
      </c>
      <c r="H313" s="5">
        <v>0</v>
      </c>
      <c r="I313" s="6">
        <v>0</v>
      </c>
      <c r="J313" s="5">
        <v>0</v>
      </c>
      <c r="K313" s="7">
        <v>13</v>
      </c>
      <c r="L313" s="5">
        <v>390</v>
      </c>
      <c r="M313" s="5">
        <v>688</v>
      </c>
      <c r="N313" s="7">
        <v>973</v>
      </c>
      <c r="O313" s="4">
        <v>1744</v>
      </c>
    </row>
    <row r="314" spans="1:15">
      <c r="A314" s="8" t="s">
        <v>84</v>
      </c>
      <c r="B314" s="3" t="s">
        <v>63</v>
      </c>
      <c r="C314" s="3" t="s">
        <v>17</v>
      </c>
      <c r="D314" s="3" t="s">
        <v>20</v>
      </c>
      <c r="E314" s="4">
        <v>25</v>
      </c>
      <c r="F314" s="4">
        <v>1</v>
      </c>
      <c r="G314" s="5">
        <v>0</v>
      </c>
      <c r="H314" s="5">
        <v>0</v>
      </c>
      <c r="I314" s="6">
        <v>60</v>
      </c>
      <c r="J314" s="5">
        <v>60</v>
      </c>
      <c r="K314" s="7">
        <v>12</v>
      </c>
      <c r="L314" s="5">
        <v>33</v>
      </c>
      <c r="M314" s="5">
        <v>52</v>
      </c>
      <c r="N314" s="7">
        <v>72</v>
      </c>
      <c r="O314" s="4">
        <v>145</v>
      </c>
    </row>
    <row r="315" spans="1:15">
      <c r="A315" s="8" t="s">
        <v>84</v>
      </c>
      <c r="B315" s="3" t="s">
        <v>64</v>
      </c>
      <c r="C315" s="3" t="s">
        <v>17</v>
      </c>
      <c r="D315" s="3" t="s">
        <v>20</v>
      </c>
      <c r="E315" s="4">
        <v>10</v>
      </c>
      <c r="F315" s="4">
        <v>1</v>
      </c>
      <c r="G315" s="5">
        <v>0</v>
      </c>
      <c r="H315" s="5">
        <v>0</v>
      </c>
      <c r="I315" s="6">
        <v>119</v>
      </c>
      <c r="J315" s="5">
        <v>119</v>
      </c>
      <c r="K315" s="7">
        <v>2</v>
      </c>
      <c r="L315" s="5">
        <v>19</v>
      </c>
      <c r="M315" s="5">
        <v>36</v>
      </c>
      <c r="N315" s="7">
        <v>100</v>
      </c>
      <c r="O315" s="4">
        <v>50</v>
      </c>
    </row>
    <row r="316" spans="1:15">
      <c r="A316" s="8" t="s">
        <v>84</v>
      </c>
      <c r="B316" s="3" t="s">
        <v>23</v>
      </c>
      <c r="C316" s="3" t="s">
        <v>17</v>
      </c>
      <c r="D316" s="3" t="s">
        <v>20</v>
      </c>
      <c r="E316" s="4">
        <v>5</v>
      </c>
      <c r="F316" s="4">
        <v>5</v>
      </c>
      <c r="G316" s="5">
        <v>0</v>
      </c>
      <c r="H316" s="5">
        <v>0</v>
      </c>
      <c r="I316" s="6">
        <v>44</v>
      </c>
      <c r="J316" s="5">
        <v>44</v>
      </c>
      <c r="K316" s="7">
        <v>2</v>
      </c>
      <c r="L316" s="5">
        <v>14</v>
      </c>
      <c r="M316" s="5">
        <v>41</v>
      </c>
      <c r="N316" s="7">
        <v>93</v>
      </c>
      <c r="O316" s="4">
        <v>75</v>
      </c>
    </row>
    <row r="317" spans="1:15">
      <c r="A317" s="8" t="s">
        <v>84</v>
      </c>
      <c r="B317" s="3" t="s">
        <v>65</v>
      </c>
      <c r="C317" s="3" t="s">
        <v>17</v>
      </c>
      <c r="D317" s="3" t="s">
        <v>20</v>
      </c>
      <c r="E317" s="4">
        <v>2.5</v>
      </c>
      <c r="F317" s="4">
        <v>1</v>
      </c>
      <c r="G317" s="5">
        <v>0</v>
      </c>
      <c r="H317" s="5">
        <v>0</v>
      </c>
      <c r="I317" s="6">
        <v>66</v>
      </c>
      <c r="J317" s="5">
        <v>66</v>
      </c>
      <c r="K317" s="7">
        <v>1</v>
      </c>
      <c r="L317" s="5">
        <v>10</v>
      </c>
      <c r="M317" s="5">
        <v>24</v>
      </c>
      <c r="N317" s="7">
        <v>33</v>
      </c>
      <c r="O317" s="4">
        <v>21</v>
      </c>
    </row>
    <row r="318" spans="1:15">
      <c r="A318" s="8" t="s">
        <v>84</v>
      </c>
      <c r="B318" s="3" t="s">
        <v>21</v>
      </c>
      <c r="C318" s="3" t="s">
        <v>17</v>
      </c>
      <c r="D318" s="3" t="s">
        <v>20</v>
      </c>
      <c r="E318" s="4">
        <v>5</v>
      </c>
      <c r="F318" s="4">
        <v>1</v>
      </c>
      <c r="G318" s="5">
        <v>0</v>
      </c>
      <c r="H318" s="5">
        <v>0</v>
      </c>
      <c r="I318" s="6">
        <v>74</v>
      </c>
      <c r="J318" s="5">
        <v>77</v>
      </c>
      <c r="K318" s="7">
        <v>3</v>
      </c>
      <c r="L318" s="5">
        <v>32</v>
      </c>
      <c r="M318" s="5">
        <v>61</v>
      </c>
      <c r="N318" s="7">
        <v>179</v>
      </c>
      <c r="O318" s="4">
        <v>252</v>
      </c>
    </row>
    <row r="319" spans="1:15">
      <c r="A319" s="8" t="s">
        <v>84</v>
      </c>
      <c r="B319" s="3" t="s">
        <v>66</v>
      </c>
      <c r="C319" s="3" t="s">
        <v>25</v>
      </c>
      <c r="D319" s="3" t="s">
        <v>20</v>
      </c>
      <c r="E319" s="4">
        <v>10</v>
      </c>
      <c r="F319" s="4">
        <v>1</v>
      </c>
      <c r="G319" s="5">
        <v>0</v>
      </c>
      <c r="H319" s="5">
        <v>0</v>
      </c>
      <c r="I319" s="6">
        <v>48</v>
      </c>
      <c r="J319" s="5">
        <v>48</v>
      </c>
      <c r="K319" s="7">
        <v>1</v>
      </c>
      <c r="L319" s="5">
        <v>12</v>
      </c>
      <c r="M319" s="5">
        <v>25</v>
      </c>
      <c r="N319" s="7">
        <v>51</v>
      </c>
      <c r="O319" s="4">
        <v>0</v>
      </c>
    </row>
    <row r="320" spans="1:15">
      <c r="A320" s="8" t="s">
        <v>84</v>
      </c>
      <c r="B320" s="3" t="s">
        <v>85</v>
      </c>
      <c r="C320" s="3" t="s">
        <v>25</v>
      </c>
      <c r="D320" s="3" t="s">
        <v>18</v>
      </c>
      <c r="E320" s="4">
        <v>10</v>
      </c>
      <c r="F320" s="4">
        <v>2</v>
      </c>
      <c r="G320" s="5">
        <v>0</v>
      </c>
      <c r="H320" s="5">
        <v>0</v>
      </c>
      <c r="I320" s="6">
        <v>0</v>
      </c>
      <c r="J320" s="5">
        <v>0</v>
      </c>
      <c r="K320" s="7">
        <v>0</v>
      </c>
      <c r="L320" s="5">
        <v>0</v>
      </c>
      <c r="M320" s="5">
        <v>0</v>
      </c>
      <c r="N320" s="7">
        <v>0</v>
      </c>
      <c r="O320" s="4">
        <v>0</v>
      </c>
    </row>
    <row r="321" spans="1:15">
      <c r="A321" s="8" t="s">
        <v>84</v>
      </c>
      <c r="B321" s="3" t="s">
        <v>39</v>
      </c>
      <c r="C321" s="3" t="s">
        <v>25</v>
      </c>
      <c r="D321" s="3" t="s">
        <v>20</v>
      </c>
      <c r="E321" s="4">
        <v>2.5</v>
      </c>
      <c r="F321" s="4">
        <v>1</v>
      </c>
      <c r="G321" s="5">
        <v>0</v>
      </c>
      <c r="H321" s="5">
        <v>0</v>
      </c>
      <c r="I321" s="6">
        <v>10</v>
      </c>
      <c r="J321" s="5">
        <v>10</v>
      </c>
      <c r="K321" s="7">
        <v>0</v>
      </c>
      <c r="L321" s="5">
        <v>0</v>
      </c>
      <c r="M321" s="5">
        <v>2</v>
      </c>
      <c r="N321" s="7">
        <v>2</v>
      </c>
      <c r="O321" s="4">
        <v>0</v>
      </c>
    </row>
    <row r="322" spans="1:15">
      <c r="A322" s="8" t="s">
        <v>84</v>
      </c>
      <c r="B322" s="3" t="s">
        <v>40</v>
      </c>
      <c r="C322" s="3" t="s">
        <v>25</v>
      </c>
      <c r="D322" s="3" t="s">
        <v>20</v>
      </c>
      <c r="E322" s="4">
        <v>5</v>
      </c>
      <c r="F322" s="4">
        <v>4</v>
      </c>
      <c r="G322" s="5">
        <v>0</v>
      </c>
      <c r="H322" s="5">
        <v>0</v>
      </c>
      <c r="I322" s="6">
        <v>17</v>
      </c>
      <c r="J322" s="5">
        <v>9</v>
      </c>
      <c r="K322" s="7">
        <v>1</v>
      </c>
      <c r="L322" s="5">
        <v>2</v>
      </c>
      <c r="M322" s="5">
        <v>3</v>
      </c>
      <c r="N322" s="7">
        <v>9</v>
      </c>
      <c r="O322" s="4">
        <v>0</v>
      </c>
    </row>
    <row r="323" spans="1:15">
      <c r="A323" s="8" t="s">
        <v>84</v>
      </c>
      <c r="B323" s="3" t="s">
        <v>48</v>
      </c>
      <c r="C323" s="3" t="s">
        <v>25</v>
      </c>
      <c r="D323" s="3" t="s">
        <v>20</v>
      </c>
      <c r="E323" s="4">
        <v>10</v>
      </c>
      <c r="F323" s="4">
        <v>2</v>
      </c>
      <c r="G323" s="5">
        <v>0</v>
      </c>
      <c r="H323" s="5">
        <v>0.45</v>
      </c>
      <c r="I323" s="6">
        <v>10</v>
      </c>
      <c r="J323" s="5">
        <v>10</v>
      </c>
      <c r="K323" s="7">
        <v>0</v>
      </c>
      <c r="L323" s="5">
        <v>0</v>
      </c>
      <c r="M323" s="5">
        <v>1</v>
      </c>
      <c r="N323" s="7">
        <v>5</v>
      </c>
      <c r="O323" s="4">
        <v>0</v>
      </c>
    </row>
    <row r="324" spans="1:15">
      <c r="A324" s="8" t="s">
        <v>84</v>
      </c>
      <c r="B324" s="3" t="s">
        <v>56</v>
      </c>
      <c r="C324" s="3" t="s">
        <v>25</v>
      </c>
      <c r="D324" s="3" t="s">
        <v>20</v>
      </c>
      <c r="E324" s="4">
        <v>5</v>
      </c>
      <c r="F324" s="4">
        <v>4</v>
      </c>
      <c r="G324" s="5">
        <v>0</v>
      </c>
      <c r="H324" s="5">
        <v>2.37</v>
      </c>
      <c r="I324" s="6">
        <v>4</v>
      </c>
      <c r="J324" s="5">
        <v>4</v>
      </c>
      <c r="K324" s="7">
        <v>0</v>
      </c>
      <c r="L324" s="5">
        <v>0</v>
      </c>
      <c r="M324" s="5">
        <v>0</v>
      </c>
      <c r="N324" s="7">
        <v>0</v>
      </c>
      <c r="O324" s="4">
        <v>0</v>
      </c>
    </row>
    <row r="325" spans="1:15">
      <c r="A325" s="8" t="s">
        <v>84</v>
      </c>
      <c r="B325" s="3" t="s">
        <v>53</v>
      </c>
      <c r="C325" s="3" t="s">
        <v>25</v>
      </c>
      <c r="D325" s="3" t="s">
        <v>20</v>
      </c>
      <c r="E325" s="4">
        <v>25</v>
      </c>
      <c r="F325" s="4">
        <v>1</v>
      </c>
      <c r="G325" s="5">
        <v>0</v>
      </c>
      <c r="H325" s="5">
        <v>0</v>
      </c>
      <c r="I325" s="6">
        <v>0</v>
      </c>
      <c r="J325" s="5">
        <v>0</v>
      </c>
      <c r="K325" s="7">
        <v>0</v>
      </c>
      <c r="L325" s="5">
        <v>3</v>
      </c>
      <c r="M325" s="5">
        <v>3</v>
      </c>
      <c r="N325" s="7">
        <v>6</v>
      </c>
      <c r="O325" s="4">
        <v>0</v>
      </c>
    </row>
    <row r="326" spans="1:15">
      <c r="A326" s="8" t="s">
        <v>84</v>
      </c>
      <c r="B326" s="3" t="s">
        <v>24</v>
      </c>
      <c r="C326" s="3" t="s">
        <v>25</v>
      </c>
      <c r="D326" s="3" t="s">
        <v>20</v>
      </c>
      <c r="E326" s="4">
        <v>5</v>
      </c>
      <c r="F326" s="4">
        <v>4</v>
      </c>
      <c r="G326" s="5">
        <v>0</v>
      </c>
      <c r="H326" s="5">
        <v>0</v>
      </c>
      <c r="I326" s="6">
        <v>90</v>
      </c>
      <c r="J326" s="5">
        <v>74</v>
      </c>
      <c r="K326" s="7">
        <v>0</v>
      </c>
      <c r="L326" s="5">
        <v>12</v>
      </c>
      <c r="M326" s="5">
        <v>19</v>
      </c>
      <c r="N326" s="7">
        <v>71</v>
      </c>
      <c r="O326" s="4">
        <v>0</v>
      </c>
    </row>
    <row r="327" spans="1:15">
      <c r="A327" s="8" t="s">
        <v>84</v>
      </c>
      <c r="B327" s="3" t="s">
        <v>49</v>
      </c>
      <c r="C327" s="3" t="s">
        <v>25</v>
      </c>
      <c r="D327" s="3" t="s">
        <v>20</v>
      </c>
      <c r="E327" s="4">
        <v>10</v>
      </c>
      <c r="F327" s="4">
        <v>2</v>
      </c>
      <c r="G327" s="5">
        <v>0</v>
      </c>
      <c r="H327" s="5">
        <v>0</v>
      </c>
      <c r="I327" s="6">
        <v>29</v>
      </c>
      <c r="J327" s="5">
        <v>29</v>
      </c>
      <c r="K327" s="7">
        <v>1</v>
      </c>
      <c r="L327" s="5">
        <v>7</v>
      </c>
      <c r="M327" s="5">
        <v>17</v>
      </c>
      <c r="N327" s="7">
        <v>51</v>
      </c>
      <c r="O327" s="4">
        <v>0</v>
      </c>
    </row>
    <row r="328" spans="1:15">
      <c r="A328" s="8" t="s">
        <v>84</v>
      </c>
      <c r="B328" s="3" t="s">
        <v>43</v>
      </c>
      <c r="C328" s="3" t="s">
        <v>25</v>
      </c>
      <c r="D328" s="3" t="s">
        <v>20</v>
      </c>
      <c r="E328" s="4">
        <v>5</v>
      </c>
      <c r="F328" s="4">
        <v>4</v>
      </c>
      <c r="G328" s="5">
        <v>0</v>
      </c>
      <c r="H328" s="5">
        <v>0</v>
      </c>
      <c r="I328" s="6">
        <v>1</v>
      </c>
      <c r="J328" s="5">
        <v>1</v>
      </c>
      <c r="K328" s="7">
        <v>1</v>
      </c>
      <c r="L328" s="5">
        <v>3</v>
      </c>
      <c r="M328" s="5">
        <v>4</v>
      </c>
      <c r="N328" s="7">
        <v>7</v>
      </c>
      <c r="O328" s="4">
        <v>0</v>
      </c>
    </row>
    <row r="329" spans="1:15">
      <c r="A329" s="3" t="s">
        <v>86</v>
      </c>
      <c r="B329" s="3" t="s">
        <v>66</v>
      </c>
      <c r="C329" s="3" t="s">
        <v>25</v>
      </c>
      <c r="D329" s="3" t="s">
        <v>20</v>
      </c>
      <c r="E329" s="4">
        <v>10</v>
      </c>
      <c r="F329" s="4">
        <v>1</v>
      </c>
      <c r="G329" s="5">
        <v>0</v>
      </c>
      <c r="H329" s="5">
        <v>0</v>
      </c>
      <c r="I329" s="6">
        <v>39</v>
      </c>
      <c r="J329" s="5">
        <v>39</v>
      </c>
      <c r="K329" s="7">
        <v>0</v>
      </c>
      <c r="L329" s="5">
        <v>8</v>
      </c>
      <c r="M329" s="5">
        <v>10</v>
      </c>
      <c r="N329" s="7">
        <v>24</v>
      </c>
      <c r="O329" s="4">
        <v>0</v>
      </c>
    </row>
    <row r="330" spans="1:15">
      <c r="A330" s="8" t="s">
        <v>86</v>
      </c>
      <c r="B330" s="3" t="s">
        <v>39</v>
      </c>
      <c r="C330" s="3" t="s">
        <v>25</v>
      </c>
      <c r="D330" s="3" t="s">
        <v>20</v>
      </c>
      <c r="E330" s="4">
        <v>2.5</v>
      </c>
      <c r="F330" s="4">
        <v>1</v>
      </c>
      <c r="G330" s="5">
        <v>0</v>
      </c>
      <c r="H330" s="5">
        <v>0</v>
      </c>
      <c r="I330" s="6">
        <v>12</v>
      </c>
      <c r="J330" s="5">
        <v>12</v>
      </c>
      <c r="K330" s="7">
        <v>0</v>
      </c>
      <c r="L330" s="5">
        <v>0</v>
      </c>
      <c r="M330" s="5">
        <v>0</v>
      </c>
      <c r="N330" s="7">
        <v>0</v>
      </c>
      <c r="O330" s="4">
        <v>0</v>
      </c>
    </row>
    <row r="331" spans="1:15">
      <c r="A331" s="8" t="s">
        <v>86</v>
      </c>
      <c r="B331" s="3" t="s">
        <v>48</v>
      </c>
      <c r="C331" s="3" t="s">
        <v>25</v>
      </c>
      <c r="D331" s="3" t="s">
        <v>20</v>
      </c>
      <c r="E331" s="4">
        <v>10</v>
      </c>
      <c r="F331" s="4">
        <v>2</v>
      </c>
      <c r="G331" s="5">
        <v>0</v>
      </c>
      <c r="H331" s="5">
        <v>0</v>
      </c>
      <c r="I331" s="6">
        <v>7</v>
      </c>
      <c r="J331" s="5">
        <v>7</v>
      </c>
      <c r="K331" s="7">
        <v>2</v>
      </c>
      <c r="L331" s="5">
        <v>3</v>
      </c>
      <c r="M331" s="5">
        <v>4</v>
      </c>
      <c r="N331" s="7">
        <v>9</v>
      </c>
      <c r="O331" s="4">
        <v>0</v>
      </c>
    </row>
    <row r="332" spans="1:15">
      <c r="A332" s="8" t="s">
        <v>86</v>
      </c>
      <c r="B332" s="3" t="s">
        <v>24</v>
      </c>
      <c r="C332" s="3" t="s">
        <v>25</v>
      </c>
      <c r="D332" s="3" t="s">
        <v>52</v>
      </c>
      <c r="E332" s="4">
        <v>5</v>
      </c>
      <c r="F332" s="4">
        <v>4</v>
      </c>
      <c r="G332" s="5">
        <v>0</v>
      </c>
      <c r="H332" s="5">
        <v>0</v>
      </c>
      <c r="I332" s="6">
        <v>78</v>
      </c>
      <c r="J332" s="5">
        <v>78</v>
      </c>
      <c r="K332" s="7">
        <v>2</v>
      </c>
      <c r="L332" s="5">
        <v>12</v>
      </c>
      <c r="M332" s="5">
        <v>32</v>
      </c>
      <c r="N332" s="7">
        <v>63</v>
      </c>
      <c r="O332" s="4">
        <v>0</v>
      </c>
    </row>
    <row r="333" spans="1:15">
      <c r="A333" s="8" t="s">
        <v>86</v>
      </c>
      <c r="B333" s="3" t="s">
        <v>49</v>
      </c>
      <c r="C333" s="3" t="s">
        <v>25</v>
      </c>
      <c r="D333" s="3" t="s">
        <v>20</v>
      </c>
      <c r="E333" s="4">
        <v>10</v>
      </c>
      <c r="F333" s="4">
        <v>2</v>
      </c>
      <c r="G333" s="5">
        <v>0</v>
      </c>
      <c r="H333" s="5">
        <v>0</v>
      </c>
      <c r="I333" s="6">
        <v>43</v>
      </c>
      <c r="J333" s="5">
        <v>43</v>
      </c>
      <c r="K333" s="7">
        <v>2</v>
      </c>
      <c r="L333" s="5">
        <v>8</v>
      </c>
      <c r="M333" s="5">
        <v>15</v>
      </c>
      <c r="N333" s="7">
        <v>50</v>
      </c>
      <c r="O333" s="4">
        <v>0</v>
      </c>
    </row>
    <row r="334" spans="1:15">
      <c r="A334" s="8" t="s">
        <v>86</v>
      </c>
      <c r="B334" s="3" t="s">
        <v>50</v>
      </c>
      <c r="C334" s="3" t="s">
        <v>25</v>
      </c>
      <c r="D334" s="3" t="s">
        <v>20</v>
      </c>
      <c r="E334" s="4">
        <v>10</v>
      </c>
      <c r="F334" s="4">
        <v>2</v>
      </c>
      <c r="G334" s="5">
        <v>0</v>
      </c>
      <c r="H334" s="5">
        <v>0</v>
      </c>
      <c r="I334" s="6">
        <v>3</v>
      </c>
      <c r="J334" s="5">
        <v>3</v>
      </c>
      <c r="K334" s="7">
        <v>0</v>
      </c>
      <c r="L334" s="5">
        <v>0</v>
      </c>
      <c r="M334" s="5">
        <v>1</v>
      </c>
      <c r="N334" s="7">
        <v>5</v>
      </c>
      <c r="O334" s="4">
        <v>0</v>
      </c>
    </row>
    <row r="335" spans="1:15">
      <c r="A335" s="8" t="s">
        <v>86</v>
      </c>
      <c r="B335" s="3" t="s">
        <v>43</v>
      </c>
      <c r="C335" s="3" t="s">
        <v>25</v>
      </c>
      <c r="D335" s="3" t="s">
        <v>20</v>
      </c>
      <c r="E335" s="4">
        <v>5</v>
      </c>
      <c r="F335" s="4">
        <v>4</v>
      </c>
      <c r="G335" s="5">
        <v>0</v>
      </c>
      <c r="H335" s="5">
        <v>0</v>
      </c>
      <c r="I335" s="6">
        <v>6</v>
      </c>
      <c r="J335" s="5">
        <v>6</v>
      </c>
      <c r="K335" s="7">
        <v>0</v>
      </c>
      <c r="L335" s="5">
        <v>1</v>
      </c>
      <c r="M335" s="5">
        <v>5</v>
      </c>
      <c r="N335" s="7">
        <v>6</v>
      </c>
      <c r="O335" s="4">
        <v>0</v>
      </c>
    </row>
    <row r="336" spans="1:15">
      <c r="A336" s="3" t="s">
        <v>87</v>
      </c>
      <c r="B336" s="3" t="s">
        <v>48</v>
      </c>
      <c r="C336" s="3" t="s">
        <v>25</v>
      </c>
      <c r="D336" s="3" t="s">
        <v>20</v>
      </c>
      <c r="E336" s="4">
        <v>10</v>
      </c>
      <c r="F336" s="4">
        <v>2</v>
      </c>
      <c r="G336" s="5">
        <v>0</v>
      </c>
      <c r="H336" s="5">
        <v>0.28</v>
      </c>
      <c r="I336" s="6">
        <v>6</v>
      </c>
      <c r="J336" s="5">
        <v>6</v>
      </c>
      <c r="K336" s="7">
        <v>0</v>
      </c>
      <c r="L336" s="5">
        <v>0</v>
      </c>
      <c r="M336" s="5">
        <v>0</v>
      </c>
      <c r="N336" s="7">
        <v>2</v>
      </c>
      <c r="O336" s="4">
        <v>0</v>
      </c>
    </row>
    <row r="337" spans="1:15">
      <c r="A337" s="8" t="s">
        <v>87</v>
      </c>
      <c r="B337" s="3" t="s">
        <v>56</v>
      </c>
      <c r="C337" s="3" t="s">
        <v>25</v>
      </c>
      <c r="D337" s="3" t="s">
        <v>20</v>
      </c>
      <c r="E337" s="4">
        <v>5</v>
      </c>
      <c r="F337" s="4">
        <v>4</v>
      </c>
      <c r="G337" s="5">
        <v>0</v>
      </c>
      <c r="H337" s="5">
        <v>0</v>
      </c>
      <c r="I337" s="6">
        <v>0</v>
      </c>
      <c r="J337" s="5">
        <v>0</v>
      </c>
      <c r="K337" s="7">
        <v>0</v>
      </c>
      <c r="L337" s="5">
        <v>0</v>
      </c>
      <c r="M337" s="5">
        <v>0</v>
      </c>
      <c r="N337" s="7">
        <v>0</v>
      </c>
      <c r="O337" s="4">
        <v>0</v>
      </c>
    </row>
    <row r="338" spans="1:15">
      <c r="A338" s="8" t="s">
        <v>87</v>
      </c>
      <c r="B338" s="3" t="s">
        <v>42</v>
      </c>
      <c r="C338" s="3" t="s">
        <v>25</v>
      </c>
      <c r="D338" s="3" t="s">
        <v>20</v>
      </c>
      <c r="E338" s="4">
        <v>5</v>
      </c>
      <c r="F338" s="4">
        <v>4</v>
      </c>
      <c r="G338" s="5">
        <v>0</v>
      </c>
      <c r="H338" s="5">
        <v>0</v>
      </c>
      <c r="I338" s="6">
        <v>0</v>
      </c>
      <c r="J338" s="5">
        <v>0</v>
      </c>
      <c r="K338" s="7">
        <v>0</v>
      </c>
      <c r="L338" s="5">
        <v>1</v>
      </c>
      <c r="M338" s="5">
        <v>2</v>
      </c>
      <c r="N338" s="7">
        <v>3</v>
      </c>
      <c r="O338" s="4">
        <v>0</v>
      </c>
    </row>
    <row r="339" spans="1:15">
      <c r="A339" s="8" t="s">
        <v>87</v>
      </c>
      <c r="B339" s="3" t="s">
        <v>53</v>
      </c>
      <c r="C339" s="3" t="s">
        <v>25</v>
      </c>
      <c r="D339" s="3" t="s">
        <v>18</v>
      </c>
      <c r="E339" s="4">
        <v>25</v>
      </c>
      <c r="F339" s="4">
        <v>1</v>
      </c>
      <c r="G339" s="5">
        <v>0</v>
      </c>
      <c r="H339" s="5">
        <v>0</v>
      </c>
      <c r="I339" s="6">
        <v>0</v>
      </c>
      <c r="J339" s="5">
        <v>0</v>
      </c>
      <c r="K339" s="7">
        <v>0</v>
      </c>
      <c r="L339" s="5">
        <v>0</v>
      </c>
      <c r="M339" s="5">
        <v>0</v>
      </c>
      <c r="N339" s="7">
        <v>2</v>
      </c>
      <c r="O339" s="4">
        <v>0</v>
      </c>
    </row>
    <row r="340" spans="1:15">
      <c r="A340" s="8" t="s">
        <v>87</v>
      </c>
      <c r="B340" s="3" t="s">
        <v>24</v>
      </c>
      <c r="C340" s="3" t="s">
        <v>25</v>
      </c>
      <c r="D340" s="3" t="s">
        <v>52</v>
      </c>
      <c r="E340" s="4">
        <v>5</v>
      </c>
      <c r="F340" s="4">
        <v>4</v>
      </c>
      <c r="G340" s="5">
        <v>0</v>
      </c>
      <c r="H340" s="5">
        <v>0</v>
      </c>
      <c r="I340" s="6">
        <v>64</v>
      </c>
      <c r="J340" s="5">
        <v>64</v>
      </c>
      <c r="K340" s="7">
        <v>0</v>
      </c>
      <c r="L340" s="5">
        <v>0</v>
      </c>
      <c r="M340" s="5">
        <v>17</v>
      </c>
      <c r="N340" s="7">
        <v>40</v>
      </c>
      <c r="O340" s="4">
        <v>0</v>
      </c>
    </row>
    <row r="341" spans="1:15">
      <c r="A341" s="8" t="s">
        <v>87</v>
      </c>
      <c r="B341" s="3" t="s">
        <v>49</v>
      </c>
      <c r="C341" s="3" t="s">
        <v>25</v>
      </c>
      <c r="D341" s="3" t="s">
        <v>20</v>
      </c>
      <c r="E341" s="4">
        <v>10</v>
      </c>
      <c r="F341" s="4">
        <v>2</v>
      </c>
      <c r="G341" s="5">
        <v>0</v>
      </c>
      <c r="H341" s="5">
        <v>0</v>
      </c>
      <c r="I341" s="6">
        <v>25</v>
      </c>
      <c r="J341" s="5">
        <v>25</v>
      </c>
      <c r="K341" s="7">
        <v>0</v>
      </c>
      <c r="L341" s="5">
        <v>5</v>
      </c>
      <c r="M341" s="5">
        <v>7</v>
      </c>
      <c r="N341" s="7">
        <v>31</v>
      </c>
      <c r="O341" s="4">
        <v>0</v>
      </c>
    </row>
    <row r="342" spans="1:15">
      <c r="A342" s="8" t="s">
        <v>87</v>
      </c>
      <c r="B342" s="3" t="s">
        <v>43</v>
      </c>
      <c r="C342" s="3" t="s">
        <v>25</v>
      </c>
      <c r="D342" s="3" t="s">
        <v>20</v>
      </c>
      <c r="E342" s="4">
        <v>5</v>
      </c>
      <c r="F342" s="4">
        <v>4</v>
      </c>
      <c r="G342" s="5">
        <v>0</v>
      </c>
      <c r="H342" s="5">
        <v>0.36</v>
      </c>
      <c r="I342" s="6">
        <v>3</v>
      </c>
      <c r="J342" s="5">
        <v>3</v>
      </c>
      <c r="K342" s="7">
        <v>0</v>
      </c>
      <c r="L342" s="5">
        <v>0</v>
      </c>
      <c r="M342" s="5">
        <v>1</v>
      </c>
      <c r="N342" s="7">
        <v>2</v>
      </c>
      <c r="O342" s="4">
        <v>0</v>
      </c>
    </row>
    <row r="343" spans="1:15">
      <c r="A343" s="3" t="s">
        <v>88</v>
      </c>
      <c r="B343" s="3" t="s">
        <v>59</v>
      </c>
      <c r="C343" s="3" t="s">
        <v>17</v>
      </c>
      <c r="D343" s="3" t="s">
        <v>20</v>
      </c>
      <c r="E343" s="4">
        <v>2.5</v>
      </c>
      <c r="F343" s="4">
        <v>1</v>
      </c>
      <c r="G343" s="5">
        <v>0</v>
      </c>
      <c r="H343" s="5">
        <v>0</v>
      </c>
      <c r="I343" s="6">
        <v>1</v>
      </c>
      <c r="J343" s="5">
        <v>1</v>
      </c>
      <c r="K343" s="7">
        <v>0</v>
      </c>
      <c r="L343" s="5">
        <v>35</v>
      </c>
      <c r="M343" s="5">
        <v>83</v>
      </c>
      <c r="N343" s="7">
        <v>84</v>
      </c>
      <c r="O343" s="4">
        <v>11</v>
      </c>
    </row>
    <row r="344" spans="1:15">
      <c r="A344" s="8" t="s">
        <v>88</v>
      </c>
      <c r="B344" s="3" t="s">
        <v>60</v>
      </c>
      <c r="C344" s="3" t="s">
        <v>17</v>
      </c>
      <c r="D344" s="3" t="s">
        <v>20</v>
      </c>
      <c r="E344" s="4">
        <v>10</v>
      </c>
      <c r="F344" s="4">
        <v>1</v>
      </c>
      <c r="G344" s="5">
        <v>0</v>
      </c>
      <c r="H344" s="5">
        <v>0</v>
      </c>
      <c r="I344" s="6">
        <v>65</v>
      </c>
      <c r="J344" s="5">
        <v>68</v>
      </c>
      <c r="K344" s="7">
        <v>2</v>
      </c>
      <c r="L344" s="5">
        <v>39</v>
      </c>
      <c r="M344" s="5">
        <v>63</v>
      </c>
      <c r="N344" s="7">
        <v>104</v>
      </c>
      <c r="O344" s="4">
        <v>55</v>
      </c>
    </row>
    <row r="345" spans="1:15">
      <c r="A345" s="8" t="s">
        <v>88</v>
      </c>
      <c r="B345" s="3" t="s">
        <v>38</v>
      </c>
      <c r="C345" s="3" t="s">
        <v>25</v>
      </c>
      <c r="D345" s="3" t="s">
        <v>20</v>
      </c>
      <c r="E345" s="4">
        <v>5</v>
      </c>
      <c r="F345" s="4">
        <v>4</v>
      </c>
      <c r="G345" s="5">
        <v>0</v>
      </c>
      <c r="H345" s="5">
        <v>0.11</v>
      </c>
      <c r="I345" s="6">
        <v>6</v>
      </c>
      <c r="J345" s="5">
        <v>6</v>
      </c>
      <c r="K345" s="7">
        <v>0</v>
      </c>
      <c r="L345" s="5">
        <v>1</v>
      </c>
      <c r="M345" s="5">
        <v>2</v>
      </c>
      <c r="N345" s="7">
        <v>3</v>
      </c>
      <c r="O345" s="4">
        <v>0</v>
      </c>
    </row>
    <row r="346" spans="1:15">
      <c r="A346" s="8" t="s">
        <v>88</v>
      </c>
      <c r="B346" s="3" t="s">
        <v>16</v>
      </c>
      <c r="C346" s="3" t="s">
        <v>17</v>
      </c>
      <c r="D346" s="3" t="s">
        <v>20</v>
      </c>
      <c r="E346" s="4">
        <v>5</v>
      </c>
      <c r="F346" s="4">
        <v>1</v>
      </c>
      <c r="G346" s="5">
        <v>0</v>
      </c>
      <c r="H346" s="5">
        <v>0</v>
      </c>
      <c r="I346" s="6">
        <v>61</v>
      </c>
      <c r="J346" s="5">
        <v>61</v>
      </c>
      <c r="K346" s="7">
        <v>0</v>
      </c>
      <c r="L346" s="5">
        <v>36</v>
      </c>
      <c r="M346" s="5">
        <v>54</v>
      </c>
      <c r="N346" s="7">
        <v>98</v>
      </c>
      <c r="O346" s="4">
        <v>29</v>
      </c>
    </row>
    <row r="347" spans="1:15">
      <c r="A347" s="8" t="s">
        <v>88</v>
      </c>
      <c r="B347" s="3" t="s">
        <v>89</v>
      </c>
      <c r="C347" s="3" t="s">
        <v>17</v>
      </c>
      <c r="D347" s="3" t="s">
        <v>18</v>
      </c>
      <c r="E347" s="4">
        <v>25</v>
      </c>
      <c r="F347" s="4">
        <v>1</v>
      </c>
      <c r="G347" s="5">
        <v>0</v>
      </c>
      <c r="H347" s="5">
        <v>0</v>
      </c>
      <c r="I347" s="6">
        <v>0</v>
      </c>
      <c r="J347" s="5">
        <v>0</v>
      </c>
      <c r="K347" s="7">
        <v>0</v>
      </c>
      <c r="L347" s="5">
        <v>0</v>
      </c>
      <c r="M347" s="5">
        <v>0</v>
      </c>
      <c r="N347" s="7">
        <v>0</v>
      </c>
      <c r="O347" s="4">
        <v>0</v>
      </c>
    </row>
    <row r="348" spans="1:15">
      <c r="A348" s="8" t="s">
        <v>88</v>
      </c>
      <c r="B348" s="3" t="s">
        <v>61</v>
      </c>
      <c r="C348" s="3" t="s">
        <v>17</v>
      </c>
      <c r="D348" s="3" t="s">
        <v>20</v>
      </c>
      <c r="E348" s="4">
        <v>10</v>
      </c>
      <c r="F348" s="4">
        <v>1</v>
      </c>
      <c r="G348" s="5">
        <v>0</v>
      </c>
      <c r="H348" s="5">
        <v>0</v>
      </c>
      <c r="I348" s="6">
        <v>119</v>
      </c>
      <c r="J348" s="5">
        <v>119</v>
      </c>
      <c r="K348" s="7">
        <v>7</v>
      </c>
      <c r="L348" s="5">
        <v>62</v>
      </c>
      <c r="M348" s="5">
        <v>117</v>
      </c>
      <c r="N348" s="7">
        <v>237</v>
      </c>
      <c r="O348" s="4">
        <v>194</v>
      </c>
    </row>
    <row r="349" spans="1:15">
      <c r="A349" s="8" t="s">
        <v>88</v>
      </c>
      <c r="B349" s="3" t="s">
        <v>62</v>
      </c>
      <c r="C349" s="3" t="s">
        <v>17</v>
      </c>
      <c r="D349" s="3" t="s">
        <v>20</v>
      </c>
      <c r="E349" s="4">
        <v>10</v>
      </c>
      <c r="F349" s="4">
        <v>1</v>
      </c>
      <c r="G349" s="5">
        <v>0</v>
      </c>
      <c r="H349" s="5">
        <v>0</v>
      </c>
      <c r="I349" s="6">
        <v>87</v>
      </c>
      <c r="J349" s="5">
        <v>87</v>
      </c>
      <c r="K349" s="7">
        <v>0</v>
      </c>
      <c r="L349" s="5">
        <v>25</v>
      </c>
      <c r="M349" s="5">
        <v>57</v>
      </c>
      <c r="N349" s="7">
        <v>129</v>
      </c>
      <c r="O349" s="4">
        <v>26</v>
      </c>
    </row>
    <row r="350" spans="1:15">
      <c r="A350" s="8" t="s">
        <v>88</v>
      </c>
      <c r="B350" s="3" t="s">
        <v>19</v>
      </c>
      <c r="C350" s="3" t="s">
        <v>17</v>
      </c>
      <c r="D350" s="3" t="s">
        <v>20</v>
      </c>
      <c r="E350" s="4">
        <v>5</v>
      </c>
      <c r="F350" s="4">
        <v>1</v>
      </c>
      <c r="G350" s="5">
        <v>0</v>
      </c>
      <c r="H350" s="5">
        <v>0</v>
      </c>
      <c r="I350" s="6">
        <v>0</v>
      </c>
      <c r="J350" s="5">
        <v>0</v>
      </c>
      <c r="K350" s="7">
        <v>44</v>
      </c>
      <c r="L350" s="5">
        <v>362</v>
      </c>
      <c r="M350" s="5">
        <v>569</v>
      </c>
      <c r="N350" s="7">
        <v>967</v>
      </c>
      <c r="O350" s="4">
        <v>832</v>
      </c>
    </row>
    <row r="351" spans="1:15">
      <c r="A351" s="8" t="s">
        <v>88</v>
      </c>
      <c r="B351" s="3" t="s">
        <v>63</v>
      </c>
      <c r="C351" s="3" t="s">
        <v>17</v>
      </c>
      <c r="D351" s="3" t="s">
        <v>20</v>
      </c>
      <c r="E351" s="4">
        <v>25</v>
      </c>
      <c r="F351" s="4">
        <v>1</v>
      </c>
      <c r="G351" s="5">
        <v>0</v>
      </c>
      <c r="H351" s="5">
        <v>0</v>
      </c>
      <c r="I351" s="6">
        <v>54</v>
      </c>
      <c r="J351" s="5">
        <v>55</v>
      </c>
      <c r="K351" s="7">
        <v>2</v>
      </c>
      <c r="L351" s="5">
        <v>28</v>
      </c>
      <c r="M351" s="5">
        <v>53</v>
      </c>
      <c r="N351" s="7">
        <v>62</v>
      </c>
      <c r="O351" s="4">
        <v>32</v>
      </c>
    </row>
    <row r="352" spans="1:15">
      <c r="A352" s="8" t="s">
        <v>88</v>
      </c>
      <c r="B352" s="3" t="s">
        <v>64</v>
      </c>
      <c r="C352" s="3" t="s">
        <v>17</v>
      </c>
      <c r="D352" s="3" t="s">
        <v>20</v>
      </c>
      <c r="E352" s="4">
        <v>10</v>
      </c>
      <c r="F352" s="4">
        <v>1</v>
      </c>
      <c r="G352" s="5">
        <v>0</v>
      </c>
      <c r="H352" s="5">
        <v>0</v>
      </c>
      <c r="I352" s="6">
        <v>95</v>
      </c>
      <c r="J352" s="5">
        <v>95</v>
      </c>
      <c r="K352" s="7">
        <v>4</v>
      </c>
      <c r="L352" s="5">
        <v>23</v>
      </c>
      <c r="M352" s="5">
        <v>40</v>
      </c>
      <c r="N352" s="7">
        <v>67</v>
      </c>
      <c r="O352" s="4">
        <v>0</v>
      </c>
    </row>
    <row r="353" spans="1:15">
      <c r="A353" s="8" t="s">
        <v>88</v>
      </c>
      <c r="B353" s="3" t="s">
        <v>23</v>
      </c>
      <c r="C353" s="3" t="s">
        <v>17</v>
      </c>
      <c r="D353" s="3" t="s">
        <v>20</v>
      </c>
      <c r="E353" s="4">
        <v>5</v>
      </c>
      <c r="F353" s="4">
        <v>5</v>
      </c>
      <c r="G353" s="5">
        <v>0</v>
      </c>
      <c r="H353" s="5">
        <v>0</v>
      </c>
      <c r="I353" s="6">
        <v>52</v>
      </c>
      <c r="J353" s="5">
        <v>55</v>
      </c>
      <c r="K353" s="7">
        <v>2</v>
      </c>
      <c r="L353" s="5">
        <v>5</v>
      </c>
      <c r="M353" s="5">
        <v>13</v>
      </c>
      <c r="N353" s="7">
        <v>42</v>
      </c>
      <c r="O353" s="4">
        <v>15</v>
      </c>
    </row>
    <row r="354" spans="1:15">
      <c r="A354" s="8" t="s">
        <v>88</v>
      </c>
      <c r="B354" s="3" t="s">
        <v>65</v>
      </c>
      <c r="C354" s="3" t="s">
        <v>17</v>
      </c>
      <c r="D354" s="3" t="s">
        <v>20</v>
      </c>
      <c r="E354" s="4">
        <v>2.5</v>
      </c>
      <c r="F354" s="4">
        <v>1</v>
      </c>
      <c r="G354" s="5">
        <v>0</v>
      </c>
      <c r="H354" s="5">
        <v>0</v>
      </c>
      <c r="I354" s="6">
        <v>30</v>
      </c>
      <c r="J354" s="5">
        <v>30</v>
      </c>
      <c r="K354" s="7">
        <v>0</v>
      </c>
      <c r="L354" s="5">
        <v>10</v>
      </c>
      <c r="M354" s="5">
        <v>48</v>
      </c>
      <c r="N354" s="7">
        <v>60</v>
      </c>
      <c r="O354" s="4">
        <v>0</v>
      </c>
    </row>
    <row r="355" spans="1:15">
      <c r="A355" s="8" t="s">
        <v>88</v>
      </c>
      <c r="B355" s="3" t="s">
        <v>21</v>
      </c>
      <c r="C355" s="3" t="s">
        <v>17</v>
      </c>
      <c r="D355" s="3" t="s">
        <v>20</v>
      </c>
      <c r="E355" s="4">
        <v>5</v>
      </c>
      <c r="F355" s="4">
        <v>1</v>
      </c>
      <c r="G355" s="5">
        <v>0</v>
      </c>
      <c r="H355" s="5">
        <v>0</v>
      </c>
      <c r="I355" s="6">
        <v>1</v>
      </c>
      <c r="J355" s="5">
        <v>1</v>
      </c>
      <c r="K355" s="7">
        <v>6</v>
      </c>
      <c r="L355" s="5">
        <v>68</v>
      </c>
      <c r="M355" s="5">
        <v>127</v>
      </c>
      <c r="N355" s="7">
        <v>247</v>
      </c>
      <c r="O355" s="4">
        <v>121</v>
      </c>
    </row>
    <row r="356" spans="1:15">
      <c r="A356" s="8" t="s">
        <v>88</v>
      </c>
      <c r="B356" s="3" t="s">
        <v>66</v>
      </c>
      <c r="C356" s="3" t="s">
        <v>25</v>
      </c>
      <c r="D356" s="3" t="s">
        <v>20</v>
      </c>
      <c r="E356" s="4">
        <v>10</v>
      </c>
      <c r="F356" s="4">
        <v>1</v>
      </c>
      <c r="G356" s="5">
        <v>0</v>
      </c>
      <c r="H356" s="5">
        <v>0</v>
      </c>
      <c r="I356" s="6">
        <v>47</v>
      </c>
      <c r="J356" s="5">
        <v>47</v>
      </c>
      <c r="K356" s="7">
        <v>2</v>
      </c>
      <c r="L356" s="5">
        <v>11</v>
      </c>
      <c r="M356" s="5">
        <v>14</v>
      </c>
      <c r="N356" s="7">
        <v>43</v>
      </c>
      <c r="O356" s="4">
        <v>0</v>
      </c>
    </row>
    <row r="357" spans="1:15">
      <c r="A357" s="8" t="s">
        <v>88</v>
      </c>
      <c r="B357" s="3" t="s">
        <v>39</v>
      </c>
      <c r="C357" s="3" t="s">
        <v>25</v>
      </c>
      <c r="D357" s="3" t="s">
        <v>20</v>
      </c>
      <c r="E357" s="4">
        <v>2.5</v>
      </c>
      <c r="F357" s="4">
        <v>1</v>
      </c>
      <c r="G357" s="5">
        <v>0</v>
      </c>
      <c r="H357" s="5">
        <v>0</v>
      </c>
      <c r="I357" s="6">
        <v>11</v>
      </c>
      <c r="J357" s="5">
        <v>11</v>
      </c>
      <c r="K357" s="7">
        <v>0</v>
      </c>
      <c r="L357" s="5">
        <v>0</v>
      </c>
      <c r="M357" s="5">
        <v>1</v>
      </c>
      <c r="N357" s="7">
        <v>1</v>
      </c>
      <c r="O357" s="4">
        <v>0</v>
      </c>
    </row>
    <row r="358" spans="1:15">
      <c r="A358" s="8" t="s">
        <v>88</v>
      </c>
      <c r="B358" s="3" t="s">
        <v>40</v>
      </c>
      <c r="C358" s="3" t="s">
        <v>25</v>
      </c>
      <c r="D358" s="3" t="s">
        <v>20</v>
      </c>
      <c r="E358" s="4">
        <v>5</v>
      </c>
      <c r="F358" s="4">
        <v>4</v>
      </c>
      <c r="G358" s="5">
        <v>0</v>
      </c>
      <c r="H358" s="5">
        <v>2.31</v>
      </c>
      <c r="I358" s="6">
        <v>8</v>
      </c>
      <c r="J358" s="5">
        <v>8</v>
      </c>
      <c r="K358" s="7">
        <v>1</v>
      </c>
      <c r="L358" s="5">
        <v>1</v>
      </c>
      <c r="M358" s="5">
        <v>3</v>
      </c>
      <c r="N358" s="7">
        <v>3</v>
      </c>
      <c r="O358" s="4">
        <v>0</v>
      </c>
    </row>
    <row r="359" spans="1:15">
      <c r="A359" s="8" t="s">
        <v>88</v>
      </c>
      <c r="B359" s="3" t="s">
        <v>48</v>
      </c>
      <c r="C359" s="3" t="s">
        <v>25</v>
      </c>
      <c r="D359" s="3" t="s">
        <v>20</v>
      </c>
      <c r="E359" s="4">
        <v>10</v>
      </c>
      <c r="F359" s="4">
        <v>2</v>
      </c>
      <c r="G359" s="5">
        <v>0</v>
      </c>
      <c r="H359" s="5">
        <v>0</v>
      </c>
      <c r="I359" s="6">
        <v>6</v>
      </c>
      <c r="J359" s="5">
        <v>6</v>
      </c>
      <c r="K359" s="7">
        <v>0</v>
      </c>
      <c r="L359" s="5">
        <v>1</v>
      </c>
      <c r="M359" s="5">
        <v>2</v>
      </c>
      <c r="N359" s="7">
        <v>4</v>
      </c>
      <c r="O359" s="4">
        <v>0</v>
      </c>
    </row>
    <row r="360" spans="1:15">
      <c r="A360" s="8" t="s">
        <v>88</v>
      </c>
      <c r="B360" s="3" t="s">
        <v>56</v>
      </c>
      <c r="C360" s="3" t="s">
        <v>25</v>
      </c>
      <c r="D360" s="3" t="s">
        <v>20</v>
      </c>
      <c r="E360" s="4">
        <v>5</v>
      </c>
      <c r="F360" s="4">
        <v>4</v>
      </c>
      <c r="G360" s="5">
        <v>0</v>
      </c>
      <c r="H360" s="5">
        <v>1.17</v>
      </c>
      <c r="I360" s="6">
        <v>3</v>
      </c>
      <c r="J360" s="5">
        <v>3</v>
      </c>
      <c r="K360" s="7">
        <v>0</v>
      </c>
      <c r="L360" s="5">
        <v>0</v>
      </c>
      <c r="M360" s="5">
        <v>1</v>
      </c>
      <c r="N360" s="7">
        <v>1</v>
      </c>
      <c r="O360" s="4">
        <v>0</v>
      </c>
    </row>
    <row r="361" spans="1:15">
      <c r="A361" s="8" t="s">
        <v>88</v>
      </c>
      <c r="B361" s="3" t="s">
        <v>42</v>
      </c>
      <c r="C361" s="3" t="s">
        <v>25</v>
      </c>
      <c r="D361" s="3" t="s">
        <v>20</v>
      </c>
      <c r="E361" s="4">
        <v>5</v>
      </c>
      <c r="F361" s="4">
        <v>4</v>
      </c>
      <c r="G361" s="5">
        <v>0</v>
      </c>
      <c r="H361" s="5">
        <v>2.17</v>
      </c>
      <c r="I361" s="6">
        <v>4</v>
      </c>
      <c r="J361" s="5">
        <v>4</v>
      </c>
      <c r="K361" s="7">
        <v>0</v>
      </c>
      <c r="L361" s="5">
        <v>0</v>
      </c>
      <c r="M361" s="5">
        <v>0</v>
      </c>
      <c r="N361" s="7">
        <v>0</v>
      </c>
      <c r="O361" s="4">
        <v>0</v>
      </c>
    </row>
    <row r="362" spans="1:15">
      <c r="A362" s="8" t="s">
        <v>88</v>
      </c>
      <c r="B362" s="3" t="s">
        <v>53</v>
      </c>
      <c r="C362" s="3" t="s">
        <v>25</v>
      </c>
      <c r="D362" s="3" t="s">
        <v>20</v>
      </c>
      <c r="E362" s="4">
        <v>25</v>
      </c>
      <c r="F362" s="4">
        <v>1</v>
      </c>
      <c r="G362" s="5">
        <v>0</v>
      </c>
      <c r="H362" s="5">
        <v>0</v>
      </c>
      <c r="I362" s="6">
        <v>2</v>
      </c>
      <c r="J362" s="5">
        <v>2</v>
      </c>
      <c r="K362" s="7">
        <v>0</v>
      </c>
      <c r="L362" s="5">
        <v>1</v>
      </c>
      <c r="M362" s="5">
        <v>3</v>
      </c>
      <c r="N362" s="7">
        <v>3</v>
      </c>
      <c r="O362" s="4">
        <v>0</v>
      </c>
    </row>
    <row r="363" spans="1:15">
      <c r="A363" s="8" t="s">
        <v>88</v>
      </c>
      <c r="B363" s="3" t="s">
        <v>24</v>
      </c>
      <c r="C363" s="3" t="s">
        <v>25</v>
      </c>
      <c r="D363" s="3" t="s">
        <v>20</v>
      </c>
      <c r="E363" s="4">
        <v>5</v>
      </c>
      <c r="F363" s="4">
        <v>4</v>
      </c>
      <c r="G363" s="5">
        <v>0</v>
      </c>
      <c r="H363" s="5">
        <v>0</v>
      </c>
      <c r="I363" s="6">
        <v>66</v>
      </c>
      <c r="J363" s="5">
        <v>66</v>
      </c>
      <c r="K363" s="7">
        <v>3</v>
      </c>
      <c r="L363" s="5">
        <v>16</v>
      </c>
      <c r="M363" s="5">
        <v>46</v>
      </c>
      <c r="N363" s="7">
        <v>72</v>
      </c>
      <c r="O363" s="4">
        <v>0</v>
      </c>
    </row>
    <row r="364" spans="1:15">
      <c r="A364" s="8" t="s">
        <v>88</v>
      </c>
      <c r="B364" s="3" t="s">
        <v>49</v>
      </c>
      <c r="C364" s="3" t="s">
        <v>25</v>
      </c>
      <c r="D364" s="3" t="s">
        <v>20</v>
      </c>
      <c r="E364" s="4">
        <v>10</v>
      </c>
      <c r="F364" s="4">
        <v>2</v>
      </c>
      <c r="G364" s="5">
        <v>0</v>
      </c>
      <c r="H364" s="5">
        <v>0</v>
      </c>
      <c r="I364" s="6">
        <v>33</v>
      </c>
      <c r="J364" s="5">
        <v>33</v>
      </c>
      <c r="K364" s="7">
        <v>2</v>
      </c>
      <c r="L364" s="5">
        <v>4</v>
      </c>
      <c r="M364" s="5">
        <v>11</v>
      </c>
      <c r="N364" s="7">
        <v>41</v>
      </c>
      <c r="O364" s="4">
        <v>0</v>
      </c>
    </row>
    <row r="365" spans="1:15">
      <c r="A365" s="8" t="s">
        <v>88</v>
      </c>
      <c r="B365" s="3" t="s">
        <v>50</v>
      </c>
      <c r="C365" s="3" t="s">
        <v>25</v>
      </c>
      <c r="D365" s="3" t="s">
        <v>20</v>
      </c>
      <c r="E365" s="4">
        <v>10</v>
      </c>
      <c r="F365" s="4">
        <v>2</v>
      </c>
      <c r="G365" s="5">
        <v>0</v>
      </c>
      <c r="H365" s="5">
        <v>0</v>
      </c>
      <c r="I365" s="6">
        <v>3</v>
      </c>
      <c r="J365" s="5">
        <v>3</v>
      </c>
      <c r="K365" s="7">
        <v>0</v>
      </c>
      <c r="L365" s="5">
        <v>0</v>
      </c>
      <c r="M365" s="5">
        <v>1</v>
      </c>
      <c r="N365" s="7">
        <v>4</v>
      </c>
      <c r="O365" s="4">
        <v>0</v>
      </c>
    </row>
    <row r="366" spans="1:15">
      <c r="A366" s="8" t="s">
        <v>88</v>
      </c>
      <c r="B366" s="3" t="s">
        <v>43</v>
      </c>
      <c r="C366" s="3" t="s">
        <v>25</v>
      </c>
      <c r="D366" s="3" t="s">
        <v>20</v>
      </c>
      <c r="E366" s="4">
        <v>5</v>
      </c>
      <c r="F366" s="4">
        <v>4</v>
      </c>
      <c r="G366" s="5">
        <v>0</v>
      </c>
      <c r="H366" s="5">
        <v>0</v>
      </c>
      <c r="I366" s="6">
        <v>3</v>
      </c>
      <c r="J366" s="5">
        <v>3</v>
      </c>
      <c r="K366" s="7">
        <v>0</v>
      </c>
      <c r="L366" s="5">
        <v>0</v>
      </c>
      <c r="M366" s="5">
        <v>1</v>
      </c>
      <c r="N366" s="7">
        <v>2</v>
      </c>
      <c r="O366" s="4">
        <v>0</v>
      </c>
    </row>
    <row r="367" spans="1:15">
      <c r="A367" s="3" t="s">
        <v>90</v>
      </c>
      <c r="B367" s="3" t="s">
        <v>66</v>
      </c>
      <c r="C367" s="3" t="s">
        <v>25</v>
      </c>
      <c r="D367" s="3" t="s">
        <v>20</v>
      </c>
      <c r="E367" s="4">
        <v>10</v>
      </c>
      <c r="F367" s="4">
        <v>1</v>
      </c>
      <c r="G367" s="5">
        <v>0</v>
      </c>
      <c r="H367" s="5">
        <v>0</v>
      </c>
      <c r="I367" s="6">
        <v>15</v>
      </c>
      <c r="J367" s="5">
        <v>15</v>
      </c>
      <c r="K367" s="7">
        <v>0</v>
      </c>
      <c r="L367" s="5">
        <v>3</v>
      </c>
      <c r="M367" s="5">
        <v>9</v>
      </c>
      <c r="N367" s="7">
        <v>15</v>
      </c>
      <c r="O367" s="4">
        <v>0</v>
      </c>
    </row>
    <row r="368" spans="1:15">
      <c r="A368" s="8" t="s">
        <v>90</v>
      </c>
      <c r="B368" s="3" t="s">
        <v>40</v>
      </c>
      <c r="C368" s="3" t="s">
        <v>25</v>
      </c>
      <c r="D368" s="3" t="s">
        <v>18</v>
      </c>
      <c r="E368" s="4">
        <v>5</v>
      </c>
      <c r="F368" s="4">
        <v>4</v>
      </c>
      <c r="G368" s="5">
        <v>0</v>
      </c>
      <c r="H368" s="5">
        <v>0</v>
      </c>
      <c r="I368" s="6">
        <v>0</v>
      </c>
      <c r="J368" s="5">
        <v>0</v>
      </c>
      <c r="K368" s="7">
        <v>0</v>
      </c>
      <c r="L368" s="5">
        <v>0</v>
      </c>
      <c r="M368" s="5">
        <v>0</v>
      </c>
      <c r="N368" s="7">
        <v>0</v>
      </c>
      <c r="O368" s="4">
        <v>0</v>
      </c>
    </row>
    <row r="369" spans="1:15">
      <c r="A369" s="8" t="s">
        <v>90</v>
      </c>
      <c r="B369" s="3" t="s">
        <v>48</v>
      </c>
      <c r="C369" s="3" t="s">
        <v>25</v>
      </c>
      <c r="D369" s="3" t="s">
        <v>20</v>
      </c>
      <c r="E369" s="4">
        <v>10</v>
      </c>
      <c r="F369" s="4">
        <v>2</v>
      </c>
      <c r="G369" s="5">
        <v>0</v>
      </c>
      <c r="H369" s="5">
        <v>0</v>
      </c>
      <c r="I369" s="6">
        <v>3</v>
      </c>
      <c r="J369" s="5">
        <v>3</v>
      </c>
      <c r="K369" s="7">
        <v>1</v>
      </c>
      <c r="L369" s="5">
        <v>1</v>
      </c>
      <c r="M369" s="5">
        <v>1</v>
      </c>
      <c r="N369" s="7">
        <v>3</v>
      </c>
      <c r="O369" s="4">
        <v>0</v>
      </c>
    </row>
    <row r="370" spans="1:15">
      <c r="A370" s="8" t="s">
        <v>90</v>
      </c>
      <c r="B370" s="3" t="s">
        <v>56</v>
      </c>
      <c r="C370" s="3" t="s">
        <v>25</v>
      </c>
      <c r="D370" s="3" t="s">
        <v>20</v>
      </c>
      <c r="E370" s="4">
        <v>5</v>
      </c>
      <c r="F370" s="4">
        <v>4</v>
      </c>
      <c r="G370" s="5">
        <v>0</v>
      </c>
      <c r="H370" s="5">
        <v>3.8</v>
      </c>
      <c r="I370" s="6">
        <v>4</v>
      </c>
      <c r="J370" s="5">
        <v>4</v>
      </c>
      <c r="K370" s="7">
        <v>0</v>
      </c>
      <c r="L370" s="5">
        <v>0</v>
      </c>
      <c r="M370" s="5">
        <v>0</v>
      </c>
      <c r="N370" s="7">
        <v>0</v>
      </c>
      <c r="O370" s="4">
        <v>0</v>
      </c>
    </row>
    <row r="371" spans="1:15">
      <c r="A371" s="8" t="s">
        <v>90</v>
      </c>
      <c r="B371" s="3" t="s">
        <v>42</v>
      </c>
      <c r="C371" s="3" t="s">
        <v>25</v>
      </c>
      <c r="D371" s="3" t="s">
        <v>20</v>
      </c>
      <c r="E371" s="4">
        <v>5</v>
      </c>
      <c r="F371" s="4">
        <v>4</v>
      </c>
      <c r="G371" s="5">
        <v>0</v>
      </c>
      <c r="H371" s="5">
        <v>3.39</v>
      </c>
      <c r="I371" s="6">
        <v>4</v>
      </c>
      <c r="J371" s="5">
        <v>4</v>
      </c>
      <c r="K371" s="7">
        <v>0</v>
      </c>
      <c r="L371" s="5">
        <v>0</v>
      </c>
      <c r="M371" s="5">
        <v>0</v>
      </c>
      <c r="N371" s="7">
        <v>0</v>
      </c>
      <c r="O371" s="4">
        <v>0</v>
      </c>
    </row>
    <row r="372" spans="1:15">
      <c r="A372" s="8" t="s">
        <v>90</v>
      </c>
      <c r="B372" s="3" t="s">
        <v>24</v>
      </c>
      <c r="C372" s="3" t="s">
        <v>25</v>
      </c>
      <c r="D372" s="3" t="s">
        <v>20</v>
      </c>
      <c r="E372" s="4">
        <v>5</v>
      </c>
      <c r="F372" s="4">
        <v>4</v>
      </c>
      <c r="G372" s="5">
        <v>0</v>
      </c>
      <c r="H372" s="5">
        <v>2.69</v>
      </c>
      <c r="I372" s="6">
        <v>2</v>
      </c>
      <c r="J372" s="5">
        <v>2</v>
      </c>
      <c r="K372" s="7">
        <v>0</v>
      </c>
      <c r="L372" s="5">
        <v>0</v>
      </c>
      <c r="M372" s="5">
        <v>5</v>
      </c>
      <c r="N372" s="7">
        <v>12</v>
      </c>
      <c r="O372" s="4">
        <v>0</v>
      </c>
    </row>
    <row r="373" spans="1:15">
      <c r="A373" s="8" t="s">
        <v>90</v>
      </c>
      <c r="B373" s="3" t="s">
        <v>49</v>
      </c>
      <c r="C373" s="3" t="s">
        <v>25</v>
      </c>
      <c r="D373" s="3" t="s">
        <v>20</v>
      </c>
      <c r="E373" s="4">
        <v>10</v>
      </c>
      <c r="F373" s="4">
        <v>2</v>
      </c>
      <c r="G373" s="5">
        <v>0</v>
      </c>
      <c r="H373" s="5">
        <v>0</v>
      </c>
      <c r="I373" s="6">
        <v>5</v>
      </c>
      <c r="J373" s="5">
        <v>5</v>
      </c>
      <c r="K373" s="7">
        <v>0</v>
      </c>
      <c r="L373" s="5">
        <v>2</v>
      </c>
      <c r="M373" s="5">
        <v>3</v>
      </c>
      <c r="N373" s="7">
        <v>8</v>
      </c>
      <c r="O373" s="4">
        <v>0</v>
      </c>
    </row>
    <row r="374" spans="1:15">
      <c r="A374" s="8" t="s">
        <v>90</v>
      </c>
      <c r="B374" s="3" t="s">
        <v>50</v>
      </c>
      <c r="C374" s="3" t="s">
        <v>25</v>
      </c>
      <c r="D374" s="3" t="s">
        <v>20</v>
      </c>
      <c r="E374" s="4">
        <v>10</v>
      </c>
      <c r="F374" s="4">
        <v>2</v>
      </c>
      <c r="G374" s="5">
        <v>0</v>
      </c>
      <c r="H374" s="5">
        <v>0</v>
      </c>
      <c r="I374" s="6">
        <v>2</v>
      </c>
      <c r="J374" s="5">
        <v>2</v>
      </c>
      <c r="K374" s="7">
        <v>0</v>
      </c>
      <c r="L374" s="5">
        <v>0</v>
      </c>
      <c r="M374" s="5">
        <v>0</v>
      </c>
      <c r="N374" s="7">
        <v>2</v>
      </c>
      <c r="O374" s="4">
        <v>0</v>
      </c>
    </row>
    <row r="375" spans="1:15">
      <c r="A375" s="8" t="s">
        <v>90</v>
      </c>
      <c r="B375" s="3" t="s">
        <v>43</v>
      </c>
      <c r="C375" s="3" t="s">
        <v>25</v>
      </c>
      <c r="D375" s="3" t="s">
        <v>20</v>
      </c>
      <c r="E375" s="4">
        <v>5</v>
      </c>
      <c r="F375" s="4">
        <v>4</v>
      </c>
      <c r="G375" s="5">
        <v>0</v>
      </c>
      <c r="H375" s="5">
        <v>0</v>
      </c>
      <c r="I375" s="6">
        <v>1</v>
      </c>
      <c r="J375" s="5">
        <v>1</v>
      </c>
      <c r="K375" s="7">
        <v>0</v>
      </c>
      <c r="L375" s="5">
        <v>0</v>
      </c>
      <c r="M375" s="5">
        <v>0</v>
      </c>
      <c r="N375" s="7">
        <v>2</v>
      </c>
      <c r="O375" s="4">
        <v>0</v>
      </c>
    </row>
    <row r="376" spans="1:15">
      <c r="A376" s="3" t="s">
        <v>91</v>
      </c>
      <c r="B376" s="3" t="s">
        <v>59</v>
      </c>
      <c r="C376" s="3" t="s">
        <v>17</v>
      </c>
      <c r="D376" s="3" t="s">
        <v>20</v>
      </c>
      <c r="E376" s="4">
        <v>2.5</v>
      </c>
      <c r="F376" s="4">
        <v>1</v>
      </c>
      <c r="G376" s="5">
        <v>0</v>
      </c>
      <c r="H376" s="5">
        <v>0</v>
      </c>
      <c r="I376" s="6">
        <v>23</v>
      </c>
      <c r="J376" s="5">
        <v>23</v>
      </c>
      <c r="K376" s="7">
        <v>0</v>
      </c>
      <c r="L376" s="5">
        <v>3</v>
      </c>
      <c r="M376" s="5">
        <v>15</v>
      </c>
      <c r="N376" s="7">
        <v>24</v>
      </c>
      <c r="O376" s="4">
        <v>119</v>
      </c>
    </row>
    <row r="377" spans="1:15">
      <c r="A377" s="8" t="s">
        <v>91</v>
      </c>
      <c r="B377" s="3" t="s">
        <v>60</v>
      </c>
      <c r="C377" s="3" t="s">
        <v>17</v>
      </c>
      <c r="D377" s="3" t="s">
        <v>20</v>
      </c>
      <c r="E377" s="4">
        <v>10</v>
      </c>
      <c r="F377" s="4">
        <v>1</v>
      </c>
      <c r="G377" s="5">
        <v>0</v>
      </c>
      <c r="H377" s="5">
        <v>0</v>
      </c>
      <c r="I377" s="6">
        <v>18</v>
      </c>
      <c r="J377" s="5">
        <v>18</v>
      </c>
      <c r="K377" s="7">
        <v>1</v>
      </c>
      <c r="L377" s="5">
        <v>13</v>
      </c>
      <c r="M377" s="5">
        <v>24</v>
      </c>
      <c r="N377" s="7">
        <v>41</v>
      </c>
      <c r="O377" s="4">
        <v>45</v>
      </c>
    </row>
    <row r="378" spans="1:15">
      <c r="A378" s="8" t="s">
        <v>91</v>
      </c>
      <c r="B378" s="3" t="s">
        <v>16</v>
      </c>
      <c r="C378" s="3" t="s">
        <v>17</v>
      </c>
      <c r="D378" s="3" t="s">
        <v>20</v>
      </c>
      <c r="E378" s="4">
        <v>5</v>
      </c>
      <c r="F378" s="4">
        <v>1</v>
      </c>
      <c r="G378" s="5">
        <v>0</v>
      </c>
      <c r="H378" s="5">
        <v>0</v>
      </c>
      <c r="I378" s="6">
        <v>69</v>
      </c>
      <c r="J378" s="5">
        <v>69</v>
      </c>
      <c r="K378" s="7">
        <v>2</v>
      </c>
      <c r="L378" s="5">
        <v>12</v>
      </c>
      <c r="M378" s="5">
        <v>34</v>
      </c>
      <c r="N378" s="7">
        <v>54</v>
      </c>
      <c r="O378" s="4">
        <v>73</v>
      </c>
    </row>
    <row r="379" spans="1:15">
      <c r="A379" s="8" t="s">
        <v>91</v>
      </c>
      <c r="B379" s="3" t="s">
        <v>61</v>
      </c>
      <c r="C379" s="3" t="s">
        <v>17</v>
      </c>
      <c r="D379" s="3" t="s">
        <v>20</v>
      </c>
      <c r="E379" s="4">
        <v>10</v>
      </c>
      <c r="F379" s="4">
        <v>1</v>
      </c>
      <c r="G379" s="5">
        <v>0</v>
      </c>
      <c r="H379" s="5">
        <v>0</v>
      </c>
      <c r="I379" s="6">
        <v>59</v>
      </c>
      <c r="J379" s="5">
        <v>59</v>
      </c>
      <c r="K379" s="7">
        <v>2</v>
      </c>
      <c r="L379" s="5">
        <v>12</v>
      </c>
      <c r="M379" s="5">
        <v>16</v>
      </c>
      <c r="N379" s="7">
        <v>43</v>
      </c>
      <c r="O379" s="4">
        <v>39</v>
      </c>
    </row>
    <row r="380" spans="1:15">
      <c r="A380" s="8" t="s">
        <v>91</v>
      </c>
      <c r="B380" s="3" t="s">
        <v>62</v>
      </c>
      <c r="C380" s="3" t="s">
        <v>17</v>
      </c>
      <c r="D380" s="3" t="s">
        <v>20</v>
      </c>
      <c r="E380" s="4">
        <v>10</v>
      </c>
      <c r="F380" s="4">
        <v>1</v>
      </c>
      <c r="G380" s="5">
        <v>0</v>
      </c>
      <c r="H380" s="5">
        <v>0</v>
      </c>
      <c r="I380" s="6">
        <v>33</v>
      </c>
      <c r="J380" s="5">
        <v>33</v>
      </c>
      <c r="K380" s="7">
        <v>2</v>
      </c>
      <c r="L380" s="5">
        <v>7</v>
      </c>
      <c r="M380" s="5">
        <v>13</v>
      </c>
      <c r="N380" s="7">
        <v>29</v>
      </c>
      <c r="O380" s="4">
        <v>17</v>
      </c>
    </row>
    <row r="381" spans="1:15">
      <c r="A381" s="8" t="s">
        <v>91</v>
      </c>
      <c r="B381" s="3" t="s">
        <v>19</v>
      </c>
      <c r="C381" s="3" t="s">
        <v>17</v>
      </c>
      <c r="D381" s="3" t="s">
        <v>20</v>
      </c>
      <c r="E381" s="4">
        <v>5</v>
      </c>
      <c r="F381" s="4">
        <v>1</v>
      </c>
      <c r="G381" s="5">
        <v>0</v>
      </c>
      <c r="H381" s="5">
        <v>0</v>
      </c>
      <c r="I381" s="6">
        <v>99</v>
      </c>
      <c r="J381" s="5">
        <v>114</v>
      </c>
      <c r="K381" s="7">
        <v>17</v>
      </c>
      <c r="L381" s="5">
        <v>173</v>
      </c>
      <c r="M381" s="5">
        <v>246</v>
      </c>
      <c r="N381" s="7">
        <v>384</v>
      </c>
      <c r="O381" s="4">
        <v>516</v>
      </c>
    </row>
    <row r="382" spans="1:15">
      <c r="A382" s="8" t="s">
        <v>91</v>
      </c>
      <c r="B382" s="3" t="s">
        <v>63</v>
      </c>
      <c r="C382" s="3" t="s">
        <v>17</v>
      </c>
      <c r="D382" s="3" t="s">
        <v>20</v>
      </c>
      <c r="E382" s="4">
        <v>25</v>
      </c>
      <c r="F382" s="4">
        <v>1</v>
      </c>
      <c r="G382" s="5">
        <v>0</v>
      </c>
      <c r="H382" s="5">
        <v>0</v>
      </c>
      <c r="I382" s="6">
        <v>58</v>
      </c>
      <c r="J382" s="5">
        <v>58</v>
      </c>
      <c r="K382" s="7">
        <v>0</v>
      </c>
      <c r="L382" s="5">
        <v>5</v>
      </c>
      <c r="M382" s="5">
        <v>7</v>
      </c>
      <c r="N382" s="7">
        <v>7</v>
      </c>
      <c r="O382" s="4">
        <v>0</v>
      </c>
    </row>
    <row r="383" spans="1:15">
      <c r="A383" s="8" t="s">
        <v>91</v>
      </c>
      <c r="B383" s="3" t="s">
        <v>64</v>
      </c>
      <c r="C383" s="3" t="s">
        <v>17</v>
      </c>
      <c r="D383" s="3" t="s">
        <v>20</v>
      </c>
      <c r="E383" s="4">
        <v>10</v>
      </c>
      <c r="F383" s="4">
        <v>1</v>
      </c>
      <c r="G383" s="5">
        <v>0</v>
      </c>
      <c r="H383" s="5">
        <v>0</v>
      </c>
      <c r="I383" s="6">
        <v>64</v>
      </c>
      <c r="J383" s="5">
        <v>64</v>
      </c>
      <c r="K383" s="7">
        <v>1</v>
      </c>
      <c r="L383" s="5">
        <v>12</v>
      </c>
      <c r="M383" s="5">
        <v>27</v>
      </c>
      <c r="N383" s="7">
        <v>44</v>
      </c>
      <c r="O383" s="4">
        <v>4</v>
      </c>
    </row>
    <row r="384" spans="1:15">
      <c r="A384" s="8" t="s">
        <v>91</v>
      </c>
      <c r="B384" s="3" t="s">
        <v>23</v>
      </c>
      <c r="C384" s="3" t="s">
        <v>17</v>
      </c>
      <c r="D384" s="3" t="s">
        <v>20</v>
      </c>
      <c r="E384" s="4">
        <v>5</v>
      </c>
      <c r="F384" s="4">
        <v>5</v>
      </c>
      <c r="G384" s="5">
        <v>0</v>
      </c>
      <c r="H384" s="5">
        <v>0</v>
      </c>
      <c r="I384" s="6">
        <v>20</v>
      </c>
      <c r="J384" s="5">
        <v>20</v>
      </c>
      <c r="K384" s="7">
        <v>0</v>
      </c>
      <c r="L384" s="5">
        <v>2</v>
      </c>
      <c r="M384" s="5">
        <v>13</v>
      </c>
      <c r="N384" s="7">
        <v>27</v>
      </c>
      <c r="O384" s="4">
        <v>25</v>
      </c>
    </row>
    <row r="385" spans="1:15">
      <c r="A385" s="8" t="s">
        <v>91</v>
      </c>
      <c r="B385" s="3" t="s">
        <v>65</v>
      </c>
      <c r="C385" s="3" t="s">
        <v>17</v>
      </c>
      <c r="D385" s="3" t="s">
        <v>20</v>
      </c>
      <c r="E385" s="4">
        <v>2.5</v>
      </c>
      <c r="F385" s="4">
        <v>1</v>
      </c>
      <c r="G385" s="5">
        <v>0</v>
      </c>
      <c r="H385" s="5">
        <v>0</v>
      </c>
      <c r="I385" s="6">
        <v>11</v>
      </c>
      <c r="J385" s="5">
        <v>11</v>
      </c>
      <c r="K385" s="7">
        <v>3</v>
      </c>
      <c r="L385" s="5">
        <v>7</v>
      </c>
      <c r="M385" s="5">
        <v>30</v>
      </c>
      <c r="N385" s="7">
        <v>37</v>
      </c>
      <c r="O385" s="4">
        <v>139</v>
      </c>
    </row>
    <row r="386" spans="1:15">
      <c r="A386" s="8" t="s">
        <v>91</v>
      </c>
      <c r="B386" s="3" t="s">
        <v>21</v>
      </c>
      <c r="C386" s="3" t="s">
        <v>17</v>
      </c>
      <c r="D386" s="3" t="s">
        <v>20</v>
      </c>
      <c r="E386" s="4">
        <v>5</v>
      </c>
      <c r="F386" s="4">
        <v>1</v>
      </c>
      <c r="G386" s="5">
        <v>0</v>
      </c>
      <c r="H386" s="5">
        <v>0</v>
      </c>
      <c r="I386" s="6">
        <v>17</v>
      </c>
      <c r="J386" s="5">
        <v>27</v>
      </c>
      <c r="K386" s="7">
        <v>8</v>
      </c>
      <c r="L386" s="5">
        <v>45</v>
      </c>
      <c r="M386" s="5">
        <v>91</v>
      </c>
      <c r="N386" s="7">
        <v>164</v>
      </c>
      <c r="O386" s="4">
        <v>323</v>
      </c>
    </row>
    <row r="387" spans="1:15">
      <c r="A387" s="8" t="s">
        <v>91</v>
      </c>
      <c r="B387" s="3" t="s">
        <v>48</v>
      </c>
      <c r="C387" s="3" t="s">
        <v>25</v>
      </c>
      <c r="D387" s="3" t="s">
        <v>20</v>
      </c>
      <c r="E387" s="4">
        <v>10</v>
      </c>
      <c r="F387" s="4">
        <v>2</v>
      </c>
      <c r="G387" s="5">
        <v>0</v>
      </c>
      <c r="H387" s="5">
        <v>0</v>
      </c>
      <c r="I387" s="6">
        <v>4</v>
      </c>
      <c r="J387" s="5">
        <v>4</v>
      </c>
      <c r="K387" s="7">
        <v>0</v>
      </c>
      <c r="L387" s="5">
        <v>0</v>
      </c>
      <c r="M387" s="5">
        <v>2</v>
      </c>
      <c r="N387" s="7">
        <v>4</v>
      </c>
      <c r="O387" s="4">
        <v>0</v>
      </c>
    </row>
    <row r="388" spans="1:15">
      <c r="A388" s="8" t="s">
        <v>91</v>
      </c>
      <c r="B388" s="3" t="s">
        <v>56</v>
      </c>
      <c r="C388" s="3" t="s">
        <v>25</v>
      </c>
      <c r="D388" s="3" t="s">
        <v>20</v>
      </c>
      <c r="E388" s="4">
        <v>5</v>
      </c>
      <c r="F388" s="4">
        <v>4</v>
      </c>
      <c r="G388" s="5">
        <v>2</v>
      </c>
      <c r="H388" s="5">
        <v>0.98</v>
      </c>
      <c r="I388" s="6">
        <v>2</v>
      </c>
      <c r="J388" s="5">
        <v>2</v>
      </c>
      <c r="K388" s="7">
        <v>0</v>
      </c>
      <c r="L388" s="5">
        <v>0</v>
      </c>
      <c r="M388" s="5">
        <v>0</v>
      </c>
      <c r="N388" s="7">
        <v>1</v>
      </c>
      <c r="O388" s="4">
        <v>0</v>
      </c>
    </row>
    <row r="389" spans="1:15">
      <c r="A389" s="8" t="s">
        <v>91</v>
      </c>
      <c r="B389" s="3" t="s">
        <v>42</v>
      </c>
      <c r="C389" s="3" t="s">
        <v>25</v>
      </c>
      <c r="D389" s="3" t="s">
        <v>20</v>
      </c>
      <c r="E389" s="4">
        <v>5</v>
      </c>
      <c r="F389" s="4">
        <v>4</v>
      </c>
      <c r="G389" s="5">
        <v>0</v>
      </c>
      <c r="H389" s="5">
        <v>0</v>
      </c>
      <c r="I389" s="6">
        <v>0</v>
      </c>
      <c r="J389" s="5">
        <v>0</v>
      </c>
      <c r="K389" s="7">
        <v>0</v>
      </c>
      <c r="L389" s="5">
        <v>1</v>
      </c>
      <c r="M389" s="5">
        <v>1</v>
      </c>
      <c r="N389" s="7">
        <v>2</v>
      </c>
      <c r="O389" s="4">
        <v>0</v>
      </c>
    </row>
    <row r="390" spans="1:15">
      <c r="A390" s="8" t="s">
        <v>91</v>
      </c>
      <c r="B390" s="3" t="s">
        <v>53</v>
      </c>
      <c r="C390" s="3" t="s">
        <v>25</v>
      </c>
      <c r="D390" s="3" t="s">
        <v>52</v>
      </c>
      <c r="E390" s="4">
        <v>25</v>
      </c>
      <c r="F390" s="4">
        <v>1</v>
      </c>
      <c r="G390" s="5">
        <v>0</v>
      </c>
      <c r="H390" s="5">
        <v>0</v>
      </c>
      <c r="I390" s="6">
        <v>0</v>
      </c>
      <c r="J390" s="5">
        <v>0</v>
      </c>
      <c r="K390" s="7">
        <v>0</v>
      </c>
      <c r="L390" s="5">
        <v>0</v>
      </c>
      <c r="M390" s="5">
        <v>1</v>
      </c>
      <c r="N390" s="7">
        <v>2</v>
      </c>
      <c r="O390" s="4">
        <v>0</v>
      </c>
    </row>
    <row r="391" spans="1:15">
      <c r="A391" s="8" t="s">
        <v>91</v>
      </c>
      <c r="B391" s="3" t="s">
        <v>24</v>
      </c>
      <c r="C391" s="3" t="s">
        <v>25</v>
      </c>
      <c r="D391" s="3" t="s">
        <v>20</v>
      </c>
      <c r="E391" s="4">
        <v>5</v>
      </c>
      <c r="F391" s="4">
        <v>4</v>
      </c>
      <c r="G391" s="5">
        <v>0</v>
      </c>
      <c r="H391" s="5">
        <v>0</v>
      </c>
      <c r="I391" s="6">
        <v>22</v>
      </c>
      <c r="J391" s="5">
        <v>22</v>
      </c>
      <c r="K391" s="7">
        <v>0</v>
      </c>
      <c r="L391" s="5">
        <v>3</v>
      </c>
      <c r="M391" s="5">
        <v>6</v>
      </c>
      <c r="N391" s="7">
        <v>22</v>
      </c>
      <c r="O391" s="4">
        <v>0</v>
      </c>
    </row>
    <row r="392" spans="1:15">
      <c r="A392" s="8" t="s">
        <v>91</v>
      </c>
      <c r="B392" s="3" t="s">
        <v>49</v>
      </c>
      <c r="C392" s="3" t="s">
        <v>25</v>
      </c>
      <c r="D392" s="3" t="s">
        <v>20</v>
      </c>
      <c r="E392" s="4">
        <v>10</v>
      </c>
      <c r="F392" s="4">
        <v>2</v>
      </c>
      <c r="G392" s="5">
        <v>0</v>
      </c>
      <c r="H392" s="5">
        <v>0</v>
      </c>
      <c r="I392" s="6">
        <v>16</v>
      </c>
      <c r="J392" s="5">
        <v>16</v>
      </c>
      <c r="K392" s="7">
        <v>0</v>
      </c>
      <c r="L392" s="5">
        <v>1</v>
      </c>
      <c r="M392" s="5">
        <v>6</v>
      </c>
      <c r="N392" s="7">
        <v>21</v>
      </c>
      <c r="O392" s="4">
        <v>0</v>
      </c>
    </row>
    <row r="393" spans="1:15">
      <c r="A393" s="8" t="s">
        <v>91</v>
      </c>
      <c r="B393" s="3" t="s">
        <v>50</v>
      </c>
      <c r="C393" s="3" t="s">
        <v>25</v>
      </c>
      <c r="D393" s="3" t="s">
        <v>20</v>
      </c>
      <c r="E393" s="4">
        <v>10</v>
      </c>
      <c r="F393" s="4">
        <v>2</v>
      </c>
      <c r="G393" s="5">
        <v>0</v>
      </c>
      <c r="H393" s="5">
        <v>0</v>
      </c>
      <c r="I393" s="6">
        <v>1</v>
      </c>
      <c r="J393" s="5">
        <v>1</v>
      </c>
      <c r="K393" s="7">
        <v>0</v>
      </c>
      <c r="L393" s="5">
        <v>0</v>
      </c>
      <c r="M393" s="5">
        <v>0</v>
      </c>
      <c r="N393" s="7">
        <v>1</v>
      </c>
      <c r="O393" s="4">
        <v>0</v>
      </c>
    </row>
    <row r="394" spans="1:15">
      <c r="A394" s="8" t="s">
        <v>91</v>
      </c>
      <c r="B394" s="3" t="s">
        <v>43</v>
      </c>
      <c r="C394" s="3" t="s">
        <v>25</v>
      </c>
      <c r="D394" s="3" t="s">
        <v>20</v>
      </c>
      <c r="E394" s="4">
        <v>5</v>
      </c>
      <c r="F394" s="4">
        <v>4</v>
      </c>
      <c r="G394" s="5">
        <v>0</v>
      </c>
      <c r="H394" s="5">
        <v>0</v>
      </c>
      <c r="I394" s="6">
        <v>1</v>
      </c>
      <c r="J394" s="5">
        <v>1</v>
      </c>
      <c r="K394" s="7">
        <v>0</v>
      </c>
      <c r="L394" s="5">
        <v>1</v>
      </c>
      <c r="M394" s="5">
        <v>2</v>
      </c>
      <c r="N394" s="7">
        <v>3</v>
      </c>
      <c r="O394" s="4">
        <v>0</v>
      </c>
    </row>
    <row r="395" spans="1:15">
      <c r="A395" s="3" t="s">
        <v>92</v>
      </c>
      <c r="B395" s="3" t="s">
        <v>49</v>
      </c>
      <c r="C395" s="3" t="s">
        <v>25</v>
      </c>
      <c r="D395" s="3" t="s">
        <v>20</v>
      </c>
      <c r="E395" s="4">
        <v>10</v>
      </c>
      <c r="F395" s="4">
        <v>2</v>
      </c>
      <c r="G395" s="5">
        <v>0</v>
      </c>
      <c r="H395" s="5">
        <v>0</v>
      </c>
      <c r="I395" s="6">
        <v>2</v>
      </c>
      <c r="J395" s="5">
        <v>2</v>
      </c>
      <c r="K395" s="7">
        <v>0</v>
      </c>
      <c r="L395" s="5">
        <v>2</v>
      </c>
      <c r="M395" s="5">
        <v>3</v>
      </c>
      <c r="N395" s="7">
        <v>8</v>
      </c>
      <c r="O395" s="4">
        <v>0</v>
      </c>
    </row>
    <row r="396" spans="1:15">
      <c r="A396" s="3" t="s">
        <v>93</v>
      </c>
      <c r="B396" s="3" t="s">
        <v>66</v>
      </c>
      <c r="C396" s="3" t="s">
        <v>25</v>
      </c>
      <c r="D396" s="3" t="s">
        <v>20</v>
      </c>
      <c r="E396" s="4">
        <v>10</v>
      </c>
      <c r="F396" s="4">
        <v>1</v>
      </c>
      <c r="G396" s="5">
        <v>0</v>
      </c>
      <c r="H396" s="5">
        <v>0</v>
      </c>
      <c r="I396" s="6">
        <v>20</v>
      </c>
      <c r="J396" s="5">
        <v>20</v>
      </c>
      <c r="K396" s="7">
        <v>1</v>
      </c>
      <c r="L396" s="5">
        <v>3</v>
      </c>
      <c r="M396" s="5">
        <v>9</v>
      </c>
      <c r="N396" s="7">
        <v>16</v>
      </c>
      <c r="O396" s="4">
        <v>0</v>
      </c>
    </row>
    <row r="397" spans="1:15">
      <c r="A397" s="8" t="s">
        <v>93</v>
      </c>
      <c r="B397" s="3" t="s">
        <v>48</v>
      </c>
      <c r="C397" s="3" t="s">
        <v>25</v>
      </c>
      <c r="D397" s="3" t="s">
        <v>20</v>
      </c>
      <c r="E397" s="4">
        <v>10</v>
      </c>
      <c r="F397" s="4">
        <v>2</v>
      </c>
      <c r="G397" s="5">
        <v>0</v>
      </c>
      <c r="H397" s="5">
        <v>0.34</v>
      </c>
      <c r="I397" s="6">
        <v>4</v>
      </c>
      <c r="J397" s="5">
        <v>4</v>
      </c>
      <c r="K397" s="7">
        <v>0</v>
      </c>
      <c r="L397" s="5">
        <v>0</v>
      </c>
      <c r="M397" s="5">
        <v>1</v>
      </c>
      <c r="N397" s="7">
        <v>2</v>
      </c>
      <c r="O397" s="4">
        <v>0</v>
      </c>
    </row>
    <row r="398" spans="1:15">
      <c r="A398" s="8" t="s">
        <v>93</v>
      </c>
      <c r="B398" s="3" t="s">
        <v>56</v>
      </c>
      <c r="C398" s="3" t="s">
        <v>25</v>
      </c>
      <c r="D398" s="3" t="s">
        <v>20</v>
      </c>
      <c r="E398" s="4">
        <v>5</v>
      </c>
      <c r="F398" s="4">
        <v>4</v>
      </c>
      <c r="G398" s="5">
        <v>2</v>
      </c>
      <c r="H398" s="5">
        <v>1.59</v>
      </c>
      <c r="I398" s="6">
        <v>2</v>
      </c>
      <c r="J398" s="5">
        <v>2</v>
      </c>
      <c r="K398" s="7">
        <v>0</v>
      </c>
      <c r="L398" s="5">
        <v>0</v>
      </c>
      <c r="M398" s="5">
        <v>0</v>
      </c>
      <c r="N398" s="7">
        <v>0</v>
      </c>
      <c r="O398" s="4">
        <v>0</v>
      </c>
    </row>
    <row r="399" spans="1:15">
      <c r="A399" s="8" t="s">
        <v>93</v>
      </c>
      <c r="B399" s="3" t="s">
        <v>24</v>
      </c>
      <c r="C399" s="3" t="s">
        <v>25</v>
      </c>
      <c r="D399" s="3" t="s">
        <v>20</v>
      </c>
      <c r="E399" s="4">
        <v>5</v>
      </c>
      <c r="F399" s="4">
        <v>4</v>
      </c>
      <c r="G399" s="5">
        <v>0</v>
      </c>
      <c r="H399" s="5">
        <v>0</v>
      </c>
      <c r="I399" s="6">
        <v>13</v>
      </c>
      <c r="J399" s="5">
        <v>13</v>
      </c>
      <c r="K399" s="7">
        <v>0</v>
      </c>
      <c r="L399" s="5">
        <v>2</v>
      </c>
      <c r="M399" s="5">
        <v>5</v>
      </c>
      <c r="N399" s="7">
        <v>12</v>
      </c>
      <c r="O399" s="4">
        <v>0</v>
      </c>
    </row>
    <row r="400" spans="1:15">
      <c r="A400" s="8" t="s">
        <v>93</v>
      </c>
      <c r="B400" s="3" t="s">
        <v>49</v>
      </c>
      <c r="C400" s="3" t="s">
        <v>25</v>
      </c>
      <c r="D400" s="3" t="s">
        <v>20</v>
      </c>
      <c r="E400" s="4">
        <v>10</v>
      </c>
      <c r="F400" s="4">
        <v>2</v>
      </c>
      <c r="G400" s="5">
        <v>0</v>
      </c>
      <c r="H400" s="5">
        <v>0</v>
      </c>
      <c r="I400" s="6">
        <v>15</v>
      </c>
      <c r="J400" s="5">
        <v>15</v>
      </c>
      <c r="K400" s="7">
        <v>0</v>
      </c>
      <c r="L400" s="5">
        <v>2</v>
      </c>
      <c r="M400" s="5">
        <v>3</v>
      </c>
      <c r="N400" s="7">
        <v>12</v>
      </c>
      <c r="O400" s="4">
        <v>0</v>
      </c>
    </row>
    <row r="401" spans="1:15">
      <c r="A401" s="8" t="s">
        <v>93</v>
      </c>
      <c r="B401" s="3" t="s">
        <v>50</v>
      </c>
      <c r="C401" s="3" t="s">
        <v>25</v>
      </c>
      <c r="D401" s="3" t="s">
        <v>20</v>
      </c>
      <c r="E401" s="4">
        <v>10</v>
      </c>
      <c r="F401" s="4">
        <v>2</v>
      </c>
      <c r="G401" s="5">
        <v>0</v>
      </c>
      <c r="H401" s="5">
        <v>0.36</v>
      </c>
      <c r="I401" s="6">
        <v>1</v>
      </c>
      <c r="J401" s="5">
        <v>1</v>
      </c>
      <c r="K401" s="7">
        <v>0</v>
      </c>
      <c r="L401" s="5">
        <v>0</v>
      </c>
      <c r="M401" s="5">
        <v>1</v>
      </c>
      <c r="N401" s="7">
        <v>2</v>
      </c>
      <c r="O401" s="4">
        <v>0</v>
      </c>
    </row>
    <row r="402" spans="1:15">
      <c r="A402" s="8" t="s">
        <v>93</v>
      </c>
      <c r="B402" s="3" t="s">
        <v>43</v>
      </c>
      <c r="C402" s="3" t="s">
        <v>25</v>
      </c>
      <c r="D402" s="3" t="s">
        <v>20</v>
      </c>
      <c r="E402" s="4">
        <v>5</v>
      </c>
      <c r="F402" s="4">
        <v>4</v>
      </c>
      <c r="G402" s="5">
        <v>0</v>
      </c>
      <c r="H402" s="5">
        <v>3.39</v>
      </c>
      <c r="I402" s="6">
        <v>4</v>
      </c>
      <c r="J402" s="5">
        <v>4</v>
      </c>
      <c r="K402" s="7">
        <v>0</v>
      </c>
      <c r="L402" s="5">
        <v>0</v>
      </c>
      <c r="M402" s="5">
        <v>0</v>
      </c>
      <c r="N402" s="7">
        <v>0</v>
      </c>
      <c r="O402" s="4">
        <v>0</v>
      </c>
    </row>
    <row r="403" spans="1:15">
      <c r="A403" s="3" t="s">
        <v>94</v>
      </c>
      <c r="B403" s="3" t="s">
        <v>59</v>
      </c>
      <c r="C403" s="3" t="s">
        <v>17</v>
      </c>
      <c r="D403" s="3" t="s">
        <v>20</v>
      </c>
      <c r="E403" s="4">
        <v>2.5</v>
      </c>
      <c r="F403" s="4">
        <v>1</v>
      </c>
      <c r="G403" s="5">
        <v>0</v>
      </c>
      <c r="H403" s="5">
        <v>0</v>
      </c>
      <c r="I403" s="6">
        <v>161</v>
      </c>
      <c r="J403" s="5">
        <v>162</v>
      </c>
      <c r="K403" s="7">
        <v>2</v>
      </c>
      <c r="L403" s="5">
        <v>6</v>
      </c>
      <c r="M403" s="5">
        <v>16</v>
      </c>
      <c r="N403" s="7">
        <v>47</v>
      </c>
      <c r="O403" s="4">
        <v>26</v>
      </c>
    </row>
    <row r="404" spans="1:15">
      <c r="A404" s="8" t="s">
        <v>94</v>
      </c>
      <c r="B404" s="3" t="s">
        <v>60</v>
      </c>
      <c r="C404" s="3" t="s">
        <v>17</v>
      </c>
      <c r="D404" s="3" t="s">
        <v>20</v>
      </c>
      <c r="E404" s="4">
        <v>10</v>
      </c>
      <c r="F404" s="4">
        <v>1</v>
      </c>
      <c r="G404" s="5">
        <v>0</v>
      </c>
      <c r="H404" s="5">
        <v>0</v>
      </c>
      <c r="I404" s="6">
        <v>50</v>
      </c>
      <c r="J404" s="5">
        <v>51</v>
      </c>
      <c r="K404" s="7">
        <v>2</v>
      </c>
      <c r="L404" s="5">
        <v>25</v>
      </c>
      <c r="M404" s="5">
        <v>51</v>
      </c>
      <c r="N404" s="7">
        <v>72</v>
      </c>
      <c r="O404" s="4">
        <v>31</v>
      </c>
    </row>
    <row r="405" spans="1:15">
      <c r="A405" s="8" t="s">
        <v>94</v>
      </c>
      <c r="B405" s="3" t="s">
        <v>68</v>
      </c>
      <c r="C405" s="3" t="s">
        <v>25</v>
      </c>
      <c r="D405" s="3" t="s">
        <v>20</v>
      </c>
      <c r="E405" s="4">
        <v>10</v>
      </c>
      <c r="F405" s="4">
        <v>1</v>
      </c>
      <c r="G405" s="5">
        <v>0</v>
      </c>
      <c r="H405" s="5">
        <v>0</v>
      </c>
      <c r="I405" s="6">
        <v>5</v>
      </c>
      <c r="J405" s="5">
        <v>5</v>
      </c>
      <c r="K405" s="7">
        <v>0</v>
      </c>
      <c r="L405" s="5">
        <v>0</v>
      </c>
      <c r="M405" s="5">
        <v>1</v>
      </c>
      <c r="N405" s="7">
        <v>5</v>
      </c>
      <c r="O405" s="4">
        <v>0</v>
      </c>
    </row>
    <row r="406" spans="1:15">
      <c r="A406" s="8" t="s">
        <v>94</v>
      </c>
      <c r="B406" s="3" t="s">
        <v>38</v>
      </c>
      <c r="C406" s="3" t="s">
        <v>25</v>
      </c>
      <c r="D406" s="3" t="s">
        <v>20</v>
      </c>
      <c r="E406" s="4">
        <v>5</v>
      </c>
      <c r="F406" s="4">
        <v>4</v>
      </c>
      <c r="G406" s="5">
        <v>3</v>
      </c>
      <c r="H406" s="5">
        <v>0</v>
      </c>
      <c r="I406" s="6">
        <v>7</v>
      </c>
      <c r="J406" s="5">
        <v>7</v>
      </c>
      <c r="K406" s="7">
        <v>0</v>
      </c>
      <c r="L406" s="5">
        <v>0</v>
      </c>
      <c r="M406" s="5">
        <v>0</v>
      </c>
      <c r="N406" s="7">
        <v>1</v>
      </c>
      <c r="O406" s="4">
        <v>0</v>
      </c>
    </row>
    <row r="407" spans="1:15">
      <c r="A407" s="8" t="s">
        <v>94</v>
      </c>
      <c r="B407" s="3" t="s">
        <v>16</v>
      </c>
      <c r="C407" s="3" t="s">
        <v>17</v>
      </c>
      <c r="D407" s="3" t="s">
        <v>20</v>
      </c>
      <c r="E407" s="4">
        <v>5</v>
      </c>
      <c r="F407" s="4">
        <v>1</v>
      </c>
      <c r="G407" s="5">
        <v>0</v>
      </c>
      <c r="H407" s="5">
        <v>0</v>
      </c>
      <c r="I407" s="6">
        <v>93</v>
      </c>
      <c r="J407" s="5">
        <v>93</v>
      </c>
      <c r="K407" s="7">
        <v>2</v>
      </c>
      <c r="L407" s="5">
        <v>11</v>
      </c>
      <c r="M407" s="5">
        <v>30</v>
      </c>
      <c r="N407" s="7">
        <v>58</v>
      </c>
      <c r="O407" s="4">
        <v>56</v>
      </c>
    </row>
    <row r="408" spans="1:15">
      <c r="A408" s="8" t="s">
        <v>94</v>
      </c>
      <c r="B408" s="3" t="s">
        <v>61</v>
      </c>
      <c r="C408" s="3" t="s">
        <v>17</v>
      </c>
      <c r="D408" s="3" t="s">
        <v>20</v>
      </c>
      <c r="E408" s="4">
        <v>10</v>
      </c>
      <c r="F408" s="4">
        <v>1</v>
      </c>
      <c r="G408" s="5">
        <v>0</v>
      </c>
      <c r="H408" s="5">
        <v>0</v>
      </c>
      <c r="I408" s="6">
        <v>32</v>
      </c>
      <c r="J408" s="5">
        <v>32</v>
      </c>
      <c r="K408" s="7">
        <v>2</v>
      </c>
      <c r="L408" s="5">
        <v>11</v>
      </c>
      <c r="M408" s="5">
        <v>27</v>
      </c>
      <c r="N408" s="7">
        <v>47</v>
      </c>
      <c r="O408" s="4">
        <v>81</v>
      </c>
    </row>
    <row r="409" spans="1:15">
      <c r="A409" s="8" t="s">
        <v>94</v>
      </c>
      <c r="B409" s="3" t="s">
        <v>62</v>
      </c>
      <c r="C409" s="3" t="s">
        <v>17</v>
      </c>
      <c r="D409" s="3" t="s">
        <v>20</v>
      </c>
      <c r="E409" s="4">
        <v>10</v>
      </c>
      <c r="F409" s="4">
        <v>1</v>
      </c>
      <c r="G409" s="5">
        <v>0</v>
      </c>
      <c r="H409" s="5">
        <v>0</v>
      </c>
      <c r="I409" s="6">
        <v>60</v>
      </c>
      <c r="J409" s="5">
        <v>60</v>
      </c>
      <c r="K409" s="7">
        <v>3</v>
      </c>
      <c r="L409" s="5">
        <v>13</v>
      </c>
      <c r="M409" s="5">
        <v>35</v>
      </c>
      <c r="N409" s="7">
        <v>64</v>
      </c>
      <c r="O409" s="4">
        <v>52</v>
      </c>
    </row>
    <row r="410" spans="1:15">
      <c r="A410" s="8" t="s">
        <v>94</v>
      </c>
      <c r="B410" s="3" t="s">
        <v>19</v>
      </c>
      <c r="C410" s="3" t="s">
        <v>17</v>
      </c>
      <c r="D410" s="3" t="s">
        <v>20</v>
      </c>
      <c r="E410" s="4">
        <v>5</v>
      </c>
      <c r="F410" s="4">
        <v>1</v>
      </c>
      <c r="G410" s="5">
        <v>0</v>
      </c>
      <c r="H410" s="5">
        <v>0</v>
      </c>
      <c r="I410" s="6">
        <v>250</v>
      </c>
      <c r="J410" s="5">
        <v>273</v>
      </c>
      <c r="K410" s="7">
        <v>25</v>
      </c>
      <c r="L410" s="5">
        <v>314</v>
      </c>
      <c r="M410" s="5">
        <v>466</v>
      </c>
      <c r="N410" s="7">
        <v>777</v>
      </c>
      <c r="O410" s="4">
        <v>703</v>
      </c>
    </row>
    <row r="411" spans="1:15">
      <c r="A411" s="8" t="s">
        <v>94</v>
      </c>
      <c r="B411" s="3" t="s">
        <v>63</v>
      </c>
      <c r="C411" s="3" t="s">
        <v>17</v>
      </c>
      <c r="D411" s="3" t="s">
        <v>20</v>
      </c>
      <c r="E411" s="4">
        <v>25</v>
      </c>
      <c r="F411" s="4">
        <v>1</v>
      </c>
      <c r="G411" s="5">
        <v>0</v>
      </c>
      <c r="H411" s="5">
        <v>0</v>
      </c>
      <c r="I411" s="6">
        <v>74</v>
      </c>
      <c r="J411" s="5">
        <v>75</v>
      </c>
      <c r="K411" s="7">
        <v>4</v>
      </c>
      <c r="L411" s="5">
        <v>35</v>
      </c>
      <c r="M411" s="5">
        <v>55</v>
      </c>
      <c r="N411" s="7">
        <v>84</v>
      </c>
      <c r="O411" s="4">
        <v>219</v>
      </c>
    </row>
    <row r="412" spans="1:15">
      <c r="A412" s="8" t="s">
        <v>94</v>
      </c>
      <c r="B412" s="3" t="s">
        <v>64</v>
      </c>
      <c r="C412" s="3" t="s">
        <v>17</v>
      </c>
      <c r="D412" s="3" t="s">
        <v>20</v>
      </c>
      <c r="E412" s="4">
        <v>10</v>
      </c>
      <c r="F412" s="4">
        <v>1</v>
      </c>
      <c r="G412" s="5">
        <v>0</v>
      </c>
      <c r="H412" s="5">
        <v>0</v>
      </c>
      <c r="I412" s="6">
        <v>66</v>
      </c>
      <c r="J412" s="5">
        <v>66</v>
      </c>
      <c r="K412" s="7">
        <v>4</v>
      </c>
      <c r="L412" s="5">
        <v>29</v>
      </c>
      <c r="M412" s="5">
        <v>45</v>
      </c>
      <c r="N412" s="7">
        <v>95</v>
      </c>
      <c r="O412" s="4">
        <v>88</v>
      </c>
    </row>
    <row r="413" spans="1:15">
      <c r="A413" s="8" t="s">
        <v>94</v>
      </c>
      <c r="B413" s="3" t="s">
        <v>23</v>
      </c>
      <c r="C413" s="3" t="s">
        <v>17</v>
      </c>
      <c r="D413" s="3" t="s">
        <v>20</v>
      </c>
      <c r="E413" s="4">
        <v>5</v>
      </c>
      <c r="F413" s="4">
        <v>5</v>
      </c>
      <c r="G413" s="5">
        <v>6</v>
      </c>
      <c r="H413" s="5">
        <v>21.12</v>
      </c>
      <c r="I413" s="6">
        <v>51</v>
      </c>
      <c r="J413" s="5">
        <v>51</v>
      </c>
      <c r="K413" s="7">
        <v>0</v>
      </c>
      <c r="L413" s="5">
        <v>0</v>
      </c>
      <c r="M413" s="5">
        <v>5</v>
      </c>
      <c r="N413" s="7">
        <v>15</v>
      </c>
      <c r="O413" s="4">
        <v>0</v>
      </c>
    </row>
    <row r="414" spans="1:15">
      <c r="A414" s="8" t="s">
        <v>94</v>
      </c>
      <c r="B414" s="3" t="s">
        <v>65</v>
      </c>
      <c r="C414" s="3" t="s">
        <v>17</v>
      </c>
      <c r="D414" s="3" t="s">
        <v>20</v>
      </c>
      <c r="E414" s="4">
        <v>2.5</v>
      </c>
      <c r="F414" s="4">
        <v>1</v>
      </c>
      <c r="G414" s="5">
        <v>0</v>
      </c>
      <c r="H414" s="5">
        <v>0</v>
      </c>
      <c r="I414" s="6">
        <v>61</v>
      </c>
      <c r="J414" s="5">
        <v>61</v>
      </c>
      <c r="K414" s="7">
        <v>0</v>
      </c>
      <c r="L414" s="5">
        <v>2</v>
      </c>
      <c r="M414" s="5">
        <v>11</v>
      </c>
      <c r="N414" s="7">
        <v>32</v>
      </c>
      <c r="O414" s="4">
        <v>0</v>
      </c>
    </row>
    <row r="415" spans="1:15">
      <c r="A415" s="8" t="s">
        <v>94</v>
      </c>
      <c r="B415" s="3" t="s">
        <v>21</v>
      </c>
      <c r="C415" s="3" t="s">
        <v>17</v>
      </c>
      <c r="D415" s="3" t="s">
        <v>20</v>
      </c>
      <c r="E415" s="4">
        <v>5</v>
      </c>
      <c r="F415" s="4">
        <v>1</v>
      </c>
      <c r="G415" s="5">
        <v>0</v>
      </c>
      <c r="H415" s="5">
        <v>0</v>
      </c>
      <c r="I415" s="6">
        <v>110</v>
      </c>
      <c r="J415" s="5">
        <v>112</v>
      </c>
      <c r="K415" s="7">
        <v>3</v>
      </c>
      <c r="L415" s="5">
        <v>16</v>
      </c>
      <c r="M415" s="5">
        <v>35</v>
      </c>
      <c r="N415" s="7">
        <v>70</v>
      </c>
      <c r="O415" s="4">
        <v>13</v>
      </c>
    </row>
    <row r="416" spans="1:15">
      <c r="A416" s="8" t="s">
        <v>94</v>
      </c>
      <c r="B416" s="3" t="s">
        <v>66</v>
      </c>
      <c r="C416" s="3" t="s">
        <v>25</v>
      </c>
      <c r="D416" s="3" t="s">
        <v>20</v>
      </c>
      <c r="E416" s="4">
        <v>10</v>
      </c>
      <c r="F416" s="4">
        <v>1</v>
      </c>
      <c r="G416" s="5">
        <v>0</v>
      </c>
      <c r="H416" s="5">
        <v>0</v>
      </c>
      <c r="I416" s="6">
        <v>101</v>
      </c>
      <c r="J416" s="5">
        <v>101</v>
      </c>
      <c r="K416" s="7">
        <v>0</v>
      </c>
      <c r="L416" s="5">
        <v>13</v>
      </c>
      <c r="M416" s="5">
        <v>20</v>
      </c>
      <c r="N416" s="7">
        <v>35</v>
      </c>
      <c r="O416" s="4">
        <v>0</v>
      </c>
    </row>
    <row r="417" spans="1:15">
      <c r="A417" s="8" t="s">
        <v>94</v>
      </c>
      <c r="B417" s="3" t="s">
        <v>39</v>
      </c>
      <c r="C417" s="3" t="s">
        <v>25</v>
      </c>
      <c r="D417" s="3" t="s">
        <v>20</v>
      </c>
      <c r="E417" s="4">
        <v>2.5</v>
      </c>
      <c r="F417" s="4">
        <v>1</v>
      </c>
      <c r="G417" s="5">
        <v>0</v>
      </c>
      <c r="H417" s="5">
        <v>0</v>
      </c>
      <c r="I417" s="6">
        <v>6</v>
      </c>
      <c r="J417" s="5">
        <v>6</v>
      </c>
      <c r="K417" s="7">
        <v>0</v>
      </c>
      <c r="L417" s="5">
        <v>1</v>
      </c>
      <c r="M417" s="5">
        <v>5</v>
      </c>
      <c r="N417" s="7">
        <v>6</v>
      </c>
      <c r="O417" s="4">
        <v>0</v>
      </c>
    </row>
    <row r="418" spans="1:15">
      <c r="A418" s="8" t="s">
        <v>94</v>
      </c>
      <c r="B418" s="3" t="s">
        <v>40</v>
      </c>
      <c r="C418" s="3" t="s">
        <v>25</v>
      </c>
      <c r="D418" s="3" t="s">
        <v>20</v>
      </c>
      <c r="E418" s="4">
        <v>5</v>
      </c>
      <c r="F418" s="4">
        <v>4</v>
      </c>
      <c r="G418" s="5">
        <v>0</v>
      </c>
      <c r="H418" s="5">
        <v>4.54</v>
      </c>
      <c r="I418" s="6">
        <v>8</v>
      </c>
      <c r="J418" s="5">
        <v>8</v>
      </c>
      <c r="K418" s="7">
        <v>0</v>
      </c>
      <c r="L418" s="5">
        <v>0</v>
      </c>
      <c r="M418" s="5">
        <v>0</v>
      </c>
      <c r="N418" s="7">
        <v>0</v>
      </c>
      <c r="O418" s="4">
        <v>0</v>
      </c>
    </row>
    <row r="419" spans="1:15">
      <c r="A419" s="8" t="s">
        <v>94</v>
      </c>
      <c r="B419" s="3" t="s">
        <v>48</v>
      </c>
      <c r="C419" s="3" t="s">
        <v>25</v>
      </c>
      <c r="D419" s="3" t="s">
        <v>20</v>
      </c>
      <c r="E419" s="4">
        <v>10</v>
      </c>
      <c r="F419" s="4">
        <v>2</v>
      </c>
      <c r="G419" s="5">
        <v>0</v>
      </c>
      <c r="H419" s="5">
        <v>3.09</v>
      </c>
      <c r="I419" s="6">
        <v>10</v>
      </c>
      <c r="J419" s="5">
        <v>10</v>
      </c>
      <c r="K419" s="7">
        <v>0</v>
      </c>
      <c r="L419" s="5">
        <v>1</v>
      </c>
      <c r="M419" s="5">
        <v>2</v>
      </c>
      <c r="N419" s="7">
        <v>4</v>
      </c>
      <c r="O419" s="4">
        <v>0</v>
      </c>
    </row>
    <row r="420" spans="1:15">
      <c r="A420" s="8" t="s">
        <v>94</v>
      </c>
      <c r="B420" s="3" t="s">
        <v>56</v>
      </c>
      <c r="C420" s="3" t="s">
        <v>25</v>
      </c>
      <c r="D420" s="3" t="s">
        <v>20</v>
      </c>
      <c r="E420" s="4">
        <v>5</v>
      </c>
      <c r="F420" s="4">
        <v>4</v>
      </c>
      <c r="G420" s="5">
        <v>0</v>
      </c>
      <c r="H420" s="5">
        <v>1.75</v>
      </c>
      <c r="I420" s="6">
        <v>5</v>
      </c>
      <c r="J420" s="5">
        <v>5</v>
      </c>
      <c r="K420" s="7">
        <v>0</v>
      </c>
      <c r="L420" s="5">
        <v>2</v>
      </c>
      <c r="M420" s="5">
        <v>2</v>
      </c>
      <c r="N420" s="7">
        <v>3</v>
      </c>
      <c r="O420" s="4">
        <v>0</v>
      </c>
    </row>
    <row r="421" spans="1:15">
      <c r="A421" s="8" t="s">
        <v>94</v>
      </c>
      <c r="B421" s="3" t="s">
        <v>42</v>
      </c>
      <c r="C421" s="3" t="s">
        <v>25</v>
      </c>
      <c r="D421" s="3" t="s">
        <v>20</v>
      </c>
      <c r="E421" s="4">
        <v>5</v>
      </c>
      <c r="F421" s="4">
        <v>4</v>
      </c>
      <c r="G421" s="5">
        <v>0</v>
      </c>
      <c r="H421" s="5">
        <v>0</v>
      </c>
      <c r="I421" s="6">
        <v>2</v>
      </c>
      <c r="J421" s="5">
        <v>2</v>
      </c>
      <c r="K421" s="7">
        <v>0</v>
      </c>
      <c r="L421" s="5">
        <v>1</v>
      </c>
      <c r="M421" s="5">
        <v>1</v>
      </c>
      <c r="N421" s="7">
        <v>4</v>
      </c>
      <c r="O421" s="4">
        <v>0</v>
      </c>
    </row>
    <row r="422" spans="1:15">
      <c r="A422" s="8" t="s">
        <v>94</v>
      </c>
      <c r="B422" s="3" t="s">
        <v>53</v>
      </c>
      <c r="C422" s="3" t="s">
        <v>25</v>
      </c>
      <c r="D422" s="3" t="s">
        <v>20</v>
      </c>
      <c r="E422" s="4">
        <v>25</v>
      </c>
      <c r="F422" s="4">
        <v>1</v>
      </c>
      <c r="G422" s="5">
        <v>0</v>
      </c>
      <c r="H422" s="5">
        <v>0</v>
      </c>
      <c r="I422" s="6">
        <v>4</v>
      </c>
      <c r="J422" s="5">
        <v>2</v>
      </c>
      <c r="K422" s="7">
        <v>0</v>
      </c>
      <c r="L422" s="5">
        <v>3</v>
      </c>
      <c r="M422" s="5">
        <v>4</v>
      </c>
      <c r="N422" s="7">
        <v>5</v>
      </c>
      <c r="O422" s="4">
        <v>0</v>
      </c>
    </row>
    <row r="423" spans="1:15">
      <c r="A423" s="8" t="s">
        <v>94</v>
      </c>
      <c r="B423" s="3" t="s">
        <v>24</v>
      </c>
      <c r="C423" s="3" t="s">
        <v>25</v>
      </c>
      <c r="D423" s="3" t="s">
        <v>20</v>
      </c>
      <c r="E423" s="4">
        <v>5</v>
      </c>
      <c r="F423" s="4">
        <v>4</v>
      </c>
      <c r="G423" s="5">
        <v>0</v>
      </c>
      <c r="H423" s="5">
        <v>0</v>
      </c>
      <c r="I423" s="6">
        <v>52</v>
      </c>
      <c r="J423" s="5">
        <v>52</v>
      </c>
      <c r="K423" s="7">
        <v>3</v>
      </c>
      <c r="L423" s="5">
        <v>11</v>
      </c>
      <c r="M423" s="5">
        <v>25</v>
      </c>
      <c r="N423" s="7">
        <v>51</v>
      </c>
      <c r="O423" s="4">
        <v>0</v>
      </c>
    </row>
    <row r="424" spans="1:15">
      <c r="A424" s="8" t="s">
        <v>94</v>
      </c>
      <c r="B424" s="3" t="s">
        <v>49</v>
      </c>
      <c r="C424" s="3" t="s">
        <v>25</v>
      </c>
      <c r="D424" s="3" t="s">
        <v>20</v>
      </c>
      <c r="E424" s="4">
        <v>10</v>
      </c>
      <c r="F424" s="4">
        <v>2</v>
      </c>
      <c r="G424" s="5">
        <v>0</v>
      </c>
      <c r="H424" s="5">
        <v>0</v>
      </c>
      <c r="I424" s="6">
        <v>45</v>
      </c>
      <c r="J424" s="5">
        <v>45</v>
      </c>
      <c r="K424" s="7">
        <v>0</v>
      </c>
      <c r="L424" s="5">
        <v>8</v>
      </c>
      <c r="M424" s="5">
        <v>16</v>
      </c>
      <c r="N424" s="7">
        <v>54</v>
      </c>
      <c r="O424" s="4">
        <v>0</v>
      </c>
    </row>
    <row r="425" spans="1:15">
      <c r="A425" s="8" t="s">
        <v>94</v>
      </c>
      <c r="B425" s="3" t="s">
        <v>50</v>
      </c>
      <c r="C425" s="3" t="s">
        <v>25</v>
      </c>
      <c r="D425" s="3" t="s">
        <v>20</v>
      </c>
      <c r="E425" s="4">
        <v>10</v>
      </c>
      <c r="F425" s="4">
        <v>2</v>
      </c>
      <c r="G425" s="5">
        <v>0</v>
      </c>
      <c r="H425" s="5">
        <v>0</v>
      </c>
      <c r="I425" s="6">
        <v>5</v>
      </c>
      <c r="J425" s="5">
        <v>5</v>
      </c>
      <c r="K425" s="7">
        <v>0</v>
      </c>
      <c r="L425" s="5">
        <v>1</v>
      </c>
      <c r="M425" s="5">
        <v>1</v>
      </c>
      <c r="N425" s="7">
        <v>3</v>
      </c>
      <c r="O425" s="4">
        <v>0</v>
      </c>
    </row>
    <row r="426" spans="1:15">
      <c r="A426" s="8" t="s">
        <v>94</v>
      </c>
      <c r="B426" s="3" t="s">
        <v>43</v>
      </c>
      <c r="C426" s="3" t="s">
        <v>25</v>
      </c>
      <c r="D426" s="3" t="s">
        <v>20</v>
      </c>
      <c r="E426" s="4">
        <v>5</v>
      </c>
      <c r="F426" s="4">
        <v>4</v>
      </c>
      <c r="G426" s="5">
        <v>0</v>
      </c>
      <c r="H426" s="5">
        <v>2.12</v>
      </c>
      <c r="I426" s="6">
        <v>7</v>
      </c>
      <c r="J426" s="5">
        <v>7</v>
      </c>
      <c r="K426" s="7">
        <v>0</v>
      </c>
      <c r="L426" s="5">
        <v>0</v>
      </c>
      <c r="M426" s="5">
        <v>0</v>
      </c>
      <c r="N426" s="7">
        <v>2</v>
      </c>
      <c r="O426" s="4">
        <v>0</v>
      </c>
    </row>
    <row r="427" spans="1:15">
      <c r="A427" s="3" t="s">
        <v>95</v>
      </c>
      <c r="B427" s="3" t="s">
        <v>40</v>
      </c>
      <c r="C427" s="3" t="s">
        <v>25</v>
      </c>
      <c r="D427" s="3" t="s">
        <v>82</v>
      </c>
      <c r="E427" s="4">
        <v>5</v>
      </c>
      <c r="F427" s="4">
        <v>4</v>
      </c>
      <c r="G427" s="5">
        <v>0</v>
      </c>
      <c r="H427" s="5">
        <v>0</v>
      </c>
      <c r="I427" s="6">
        <v>0</v>
      </c>
      <c r="J427" s="5">
        <v>0</v>
      </c>
      <c r="K427" s="7">
        <v>0</v>
      </c>
      <c r="L427" s="5">
        <v>0</v>
      </c>
      <c r="M427" s="5">
        <v>0</v>
      </c>
      <c r="N427" s="7">
        <v>0</v>
      </c>
      <c r="O427" s="4">
        <v>0</v>
      </c>
    </row>
    <row r="428" spans="1:15">
      <c r="A428" s="3" t="s">
        <v>96</v>
      </c>
      <c r="B428" s="3" t="s">
        <v>68</v>
      </c>
      <c r="C428" s="3" t="s">
        <v>25</v>
      </c>
      <c r="D428" s="3" t="s">
        <v>82</v>
      </c>
      <c r="E428" s="4">
        <v>10</v>
      </c>
      <c r="F428" s="4">
        <v>1</v>
      </c>
      <c r="G428" s="5">
        <v>0</v>
      </c>
      <c r="H428" s="5">
        <v>0</v>
      </c>
      <c r="I428" s="6">
        <v>11</v>
      </c>
      <c r="J428" s="5">
        <v>123</v>
      </c>
      <c r="K428" s="7">
        <v>0</v>
      </c>
      <c r="L428" s="5">
        <v>0</v>
      </c>
      <c r="M428" s="5">
        <v>0</v>
      </c>
      <c r="N428" s="7">
        <v>0</v>
      </c>
      <c r="O428" s="4">
        <v>0</v>
      </c>
    </row>
    <row r="429" spans="1:15">
      <c r="A429" s="8" t="s">
        <v>96</v>
      </c>
      <c r="B429" s="3" t="s">
        <v>38</v>
      </c>
      <c r="C429" s="3" t="s">
        <v>25</v>
      </c>
      <c r="D429" s="3" t="s">
        <v>82</v>
      </c>
      <c r="E429" s="4">
        <v>5</v>
      </c>
      <c r="F429" s="4">
        <v>4</v>
      </c>
      <c r="G429" s="5">
        <v>0</v>
      </c>
      <c r="H429" s="5">
        <v>0</v>
      </c>
      <c r="I429" s="6">
        <v>0</v>
      </c>
      <c r="J429" s="5">
        <v>0</v>
      </c>
      <c r="K429" s="7">
        <v>0</v>
      </c>
      <c r="L429" s="5">
        <v>0</v>
      </c>
      <c r="M429" s="5">
        <v>0</v>
      </c>
      <c r="N429" s="7">
        <v>0</v>
      </c>
      <c r="O429" s="4">
        <v>180</v>
      </c>
    </row>
    <row r="430" spans="1:15">
      <c r="A430" s="8" t="s">
        <v>96</v>
      </c>
      <c r="B430" s="3" t="s">
        <v>66</v>
      </c>
      <c r="C430" s="3" t="s">
        <v>25</v>
      </c>
      <c r="D430" s="3" t="s">
        <v>82</v>
      </c>
      <c r="E430" s="4">
        <v>10</v>
      </c>
      <c r="F430" s="4">
        <v>1</v>
      </c>
      <c r="G430" s="5">
        <v>0</v>
      </c>
      <c r="H430" s="5">
        <v>0</v>
      </c>
      <c r="I430" s="6">
        <v>0</v>
      </c>
      <c r="J430" s="5">
        <v>0</v>
      </c>
      <c r="K430" s="7">
        <v>0</v>
      </c>
      <c r="L430" s="5">
        <v>0</v>
      </c>
      <c r="M430" s="5">
        <v>0</v>
      </c>
      <c r="N430" s="7">
        <v>0</v>
      </c>
      <c r="O430" s="4">
        <v>2320</v>
      </c>
    </row>
    <row r="431" spans="1:15">
      <c r="A431" s="8" t="s">
        <v>96</v>
      </c>
      <c r="B431" s="3" t="s">
        <v>39</v>
      </c>
      <c r="C431" s="3" t="s">
        <v>25</v>
      </c>
      <c r="D431" s="3" t="s">
        <v>82</v>
      </c>
      <c r="E431" s="4">
        <v>2.5</v>
      </c>
      <c r="F431" s="4">
        <v>1</v>
      </c>
      <c r="G431" s="5">
        <v>0</v>
      </c>
      <c r="H431" s="5">
        <v>0</v>
      </c>
      <c r="I431" s="6">
        <v>114</v>
      </c>
      <c r="J431" s="5">
        <v>114</v>
      </c>
      <c r="K431" s="7">
        <v>0</v>
      </c>
      <c r="L431" s="5">
        <v>0</v>
      </c>
      <c r="M431" s="5">
        <v>0</v>
      </c>
      <c r="N431" s="7">
        <v>0</v>
      </c>
      <c r="O431" s="4">
        <v>0</v>
      </c>
    </row>
    <row r="432" spans="1:15">
      <c r="A432" s="8" t="s">
        <v>96</v>
      </c>
      <c r="B432" s="3" t="s">
        <v>77</v>
      </c>
      <c r="C432" s="3" t="s">
        <v>25</v>
      </c>
      <c r="D432" s="3" t="s">
        <v>82</v>
      </c>
      <c r="E432" s="4">
        <v>25</v>
      </c>
      <c r="F432" s="4">
        <v>1</v>
      </c>
      <c r="G432" s="5">
        <v>0</v>
      </c>
      <c r="H432" s="5">
        <v>0</v>
      </c>
      <c r="I432" s="6">
        <v>0</v>
      </c>
      <c r="J432" s="5">
        <v>0</v>
      </c>
      <c r="K432" s="7">
        <v>0</v>
      </c>
      <c r="L432" s="5">
        <v>0</v>
      </c>
      <c r="M432" s="5">
        <v>0</v>
      </c>
      <c r="N432" s="7">
        <v>0</v>
      </c>
      <c r="O432" s="4">
        <v>22</v>
      </c>
    </row>
    <row r="433" spans="1:15">
      <c r="A433" s="8" t="s">
        <v>96</v>
      </c>
      <c r="B433" s="3" t="s">
        <v>40</v>
      </c>
      <c r="C433" s="3" t="s">
        <v>25</v>
      </c>
      <c r="D433" s="3" t="s">
        <v>82</v>
      </c>
      <c r="E433" s="4">
        <v>5</v>
      </c>
      <c r="F433" s="4">
        <v>4</v>
      </c>
      <c r="G433" s="5">
        <v>0</v>
      </c>
      <c r="H433" s="5">
        <v>0</v>
      </c>
      <c r="I433" s="6">
        <v>40</v>
      </c>
      <c r="J433" s="5">
        <v>56</v>
      </c>
      <c r="K433" s="7">
        <v>0</v>
      </c>
      <c r="L433" s="5">
        <v>0</v>
      </c>
      <c r="M433" s="5">
        <v>0</v>
      </c>
      <c r="N433" s="7">
        <v>0</v>
      </c>
      <c r="O433" s="4">
        <v>416</v>
      </c>
    </row>
    <row r="434" spans="1:15">
      <c r="A434" s="8" t="s">
        <v>96</v>
      </c>
      <c r="B434" s="3" t="s">
        <v>48</v>
      </c>
      <c r="C434" s="3" t="s">
        <v>25</v>
      </c>
      <c r="D434" s="3" t="s">
        <v>82</v>
      </c>
      <c r="E434" s="4">
        <v>10</v>
      </c>
      <c r="F434" s="4">
        <v>2</v>
      </c>
      <c r="G434" s="5">
        <v>0</v>
      </c>
      <c r="H434" s="5">
        <v>0</v>
      </c>
      <c r="I434" s="6">
        <v>38</v>
      </c>
      <c r="J434" s="5">
        <v>40</v>
      </c>
      <c r="K434" s="7">
        <v>0</v>
      </c>
      <c r="L434" s="5">
        <v>0</v>
      </c>
      <c r="M434" s="5">
        <v>0</v>
      </c>
      <c r="N434" s="7">
        <v>0</v>
      </c>
      <c r="O434" s="4">
        <v>126</v>
      </c>
    </row>
    <row r="435" spans="1:15">
      <c r="A435" s="8" t="s">
        <v>96</v>
      </c>
      <c r="B435" s="3" t="s">
        <v>56</v>
      </c>
      <c r="C435" s="3" t="s">
        <v>25</v>
      </c>
      <c r="D435" s="3" t="s">
        <v>82</v>
      </c>
      <c r="E435" s="4">
        <v>5</v>
      </c>
      <c r="F435" s="4">
        <v>4</v>
      </c>
      <c r="G435" s="5">
        <v>0</v>
      </c>
      <c r="H435" s="5">
        <v>0</v>
      </c>
      <c r="I435" s="6">
        <v>4</v>
      </c>
      <c r="J435" s="5">
        <v>8</v>
      </c>
      <c r="K435" s="7">
        <v>0</v>
      </c>
      <c r="L435" s="5">
        <v>0</v>
      </c>
      <c r="M435" s="5">
        <v>0</v>
      </c>
      <c r="N435" s="7">
        <v>0</v>
      </c>
      <c r="O435" s="4">
        <v>56</v>
      </c>
    </row>
    <row r="436" spans="1:15">
      <c r="A436" s="8" t="s">
        <v>96</v>
      </c>
      <c r="B436" s="3" t="s">
        <v>42</v>
      </c>
      <c r="C436" s="3" t="s">
        <v>25</v>
      </c>
      <c r="D436" s="3" t="s">
        <v>82</v>
      </c>
      <c r="E436" s="4">
        <v>5</v>
      </c>
      <c r="F436" s="4">
        <v>4</v>
      </c>
      <c r="G436" s="5">
        <v>0</v>
      </c>
      <c r="H436" s="5">
        <v>0</v>
      </c>
      <c r="I436" s="6">
        <v>0</v>
      </c>
      <c r="J436" s="5">
        <v>0</v>
      </c>
      <c r="K436" s="7">
        <v>0</v>
      </c>
      <c r="L436" s="5">
        <v>0</v>
      </c>
      <c r="M436" s="5">
        <v>0</v>
      </c>
      <c r="N436" s="7">
        <v>0</v>
      </c>
      <c r="O436" s="4">
        <v>104</v>
      </c>
    </row>
    <row r="437" spans="1:15">
      <c r="A437" s="8" t="s">
        <v>96</v>
      </c>
      <c r="B437" s="3" t="s">
        <v>53</v>
      </c>
      <c r="C437" s="3" t="s">
        <v>25</v>
      </c>
      <c r="D437" s="3" t="s">
        <v>82</v>
      </c>
      <c r="E437" s="4">
        <v>25</v>
      </c>
      <c r="F437" s="4">
        <v>1</v>
      </c>
      <c r="G437" s="5">
        <v>0</v>
      </c>
      <c r="H437" s="5">
        <v>0</v>
      </c>
      <c r="I437" s="6">
        <v>14</v>
      </c>
      <c r="J437" s="5">
        <v>16</v>
      </c>
      <c r="K437" s="7">
        <v>0</v>
      </c>
      <c r="L437" s="5">
        <v>0</v>
      </c>
      <c r="M437" s="5">
        <v>0</v>
      </c>
      <c r="N437" s="7">
        <v>0</v>
      </c>
      <c r="O437" s="4">
        <v>42</v>
      </c>
    </row>
    <row r="438" spans="1:15">
      <c r="A438" s="8" t="s">
        <v>96</v>
      </c>
      <c r="B438" s="3" t="s">
        <v>24</v>
      </c>
      <c r="C438" s="3" t="s">
        <v>25</v>
      </c>
      <c r="D438" s="3" t="s">
        <v>82</v>
      </c>
      <c r="E438" s="4">
        <v>5</v>
      </c>
      <c r="F438" s="4">
        <v>4</v>
      </c>
      <c r="G438" s="5">
        <v>0</v>
      </c>
      <c r="H438" s="5">
        <v>0</v>
      </c>
      <c r="I438" s="6">
        <v>0</v>
      </c>
      <c r="J438" s="5">
        <v>0</v>
      </c>
      <c r="K438" s="7">
        <v>0</v>
      </c>
      <c r="L438" s="5">
        <v>0</v>
      </c>
      <c r="M438" s="5">
        <v>0</v>
      </c>
      <c r="N438" s="7">
        <v>0</v>
      </c>
      <c r="O438" s="4">
        <v>1168</v>
      </c>
    </row>
    <row r="439" spans="1:15">
      <c r="A439" s="8" t="s">
        <v>96</v>
      </c>
      <c r="B439" s="3" t="s">
        <v>49</v>
      </c>
      <c r="C439" s="3" t="s">
        <v>25</v>
      </c>
      <c r="D439" s="3" t="s">
        <v>82</v>
      </c>
      <c r="E439" s="4">
        <v>10</v>
      </c>
      <c r="F439" s="4">
        <v>2</v>
      </c>
      <c r="G439" s="5">
        <v>0</v>
      </c>
      <c r="H439" s="5">
        <v>0</v>
      </c>
      <c r="I439" s="6">
        <v>118</v>
      </c>
      <c r="J439" s="5">
        <v>146</v>
      </c>
      <c r="K439" s="7">
        <v>0</v>
      </c>
      <c r="L439" s="5">
        <v>0</v>
      </c>
      <c r="M439" s="5">
        <v>0</v>
      </c>
      <c r="N439" s="7">
        <v>0</v>
      </c>
      <c r="O439" s="4">
        <v>610</v>
      </c>
    </row>
    <row r="440" spans="1:15">
      <c r="A440" s="8" t="s">
        <v>96</v>
      </c>
      <c r="B440" s="3" t="s">
        <v>50</v>
      </c>
      <c r="C440" s="3" t="s">
        <v>25</v>
      </c>
      <c r="D440" s="3" t="s">
        <v>82</v>
      </c>
      <c r="E440" s="4">
        <v>10</v>
      </c>
      <c r="F440" s="4">
        <v>2</v>
      </c>
      <c r="G440" s="5">
        <v>0</v>
      </c>
      <c r="H440" s="5">
        <v>0</v>
      </c>
      <c r="I440" s="6">
        <v>4</v>
      </c>
      <c r="J440" s="5">
        <v>6</v>
      </c>
      <c r="K440" s="7">
        <v>0</v>
      </c>
      <c r="L440" s="5">
        <v>0</v>
      </c>
      <c r="M440" s="5">
        <v>0</v>
      </c>
      <c r="N440" s="7">
        <v>0</v>
      </c>
      <c r="O440" s="4">
        <v>86</v>
      </c>
    </row>
    <row r="441" spans="1:15">
      <c r="A441" s="8" t="s">
        <v>96</v>
      </c>
      <c r="B441" s="3" t="s">
        <v>43</v>
      </c>
      <c r="C441" s="3" t="s">
        <v>25</v>
      </c>
      <c r="D441" s="3" t="s">
        <v>82</v>
      </c>
      <c r="E441" s="4">
        <v>5</v>
      </c>
      <c r="F441" s="4">
        <v>4</v>
      </c>
      <c r="G441" s="5">
        <v>0</v>
      </c>
      <c r="H441" s="5">
        <v>0</v>
      </c>
      <c r="I441" s="6">
        <v>0</v>
      </c>
      <c r="J441" s="5">
        <v>0</v>
      </c>
      <c r="K441" s="7">
        <v>0</v>
      </c>
      <c r="L441" s="5">
        <v>0</v>
      </c>
      <c r="M441" s="5">
        <v>0</v>
      </c>
      <c r="N441" s="7">
        <v>0</v>
      </c>
      <c r="O441" s="4">
        <v>76</v>
      </c>
    </row>
    <row r="442" spans="1:15">
      <c r="A442" s="3" t="s">
        <v>97</v>
      </c>
      <c r="B442" s="3" t="s">
        <v>59</v>
      </c>
      <c r="C442" s="3" t="s">
        <v>17</v>
      </c>
      <c r="D442" s="3" t="s">
        <v>20</v>
      </c>
      <c r="E442" s="4">
        <v>2.5</v>
      </c>
      <c r="F442" s="4">
        <v>1</v>
      </c>
      <c r="G442" s="5">
        <v>0</v>
      </c>
      <c r="H442" s="5">
        <v>0</v>
      </c>
      <c r="I442" s="6">
        <v>241</v>
      </c>
      <c r="J442" s="5">
        <v>241</v>
      </c>
      <c r="K442" s="7">
        <v>1</v>
      </c>
      <c r="L442" s="5">
        <v>2</v>
      </c>
      <c r="M442" s="5">
        <v>38</v>
      </c>
      <c r="N442" s="7">
        <v>51</v>
      </c>
      <c r="O442" s="4">
        <v>0</v>
      </c>
    </row>
    <row r="443" spans="1:15">
      <c r="A443" s="8" t="s">
        <v>97</v>
      </c>
      <c r="B443" s="3" t="s">
        <v>60</v>
      </c>
      <c r="C443" s="3" t="s">
        <v>17</v>
      </c>
      <c r="D443" s="3" t="s">
        <v>20</v>
      </c>
      <c r="E443" s="4">
        <v>10</v>
      </c>
      <c r="F443" s="4">
        <v>1</v>
      </c>
      <c r="G443" s="5">
        <v>0</v>
      </c>
      <c r="H443" s="5">
        <v>0</v>
      </c>
      <c r="I443" s="6">
        <v>5</v>
      </c>
      <c r="J443" s="5">
        <v>6</v>
      </c>
      <c r="K443" s="7">
        <v>5</v>
      </c>
      <c r="L443" s="5">
        <v>48</v>
      </c>
      <c r="M443" s="5">
        <v>64</v>
      </c>
      <c r="N443" s="7">
        <v>94</v>
      </c>
      <c r="O443" s="4">
        <v>80</v>
      </c>
    </row>
    <row r="444" spans="1:15">
      <c r="A444" s="8" t="s">
        <v>97</v>
      </c>
      <c r="B444" s="3" t="s">
        <v>68</v>
      </c>
      <c r="C444" s="3" t="s">
        <v>25</v>
      </c>
      <c r="D444" s="3" t="s">
        <v>20</v>
      </c>
      <c r="E444" s="4">
        <v>10</v>
      </c>
      <c r="F444" s="4">
        <v>1</v>
      </c>
      <c r="G444" s="5">
        <v>0</v>
      </c>
      <c r="H444" s="5">
        <v>0</v>
      </c>
      <c r="I444" s="6">
        <v>50</v>
      </c>
      <c r="J444" s="5">
        <v>54</v>
      </c>
      <c r="K444" s="7">
        <v>18</v>
      </c>
      <c r="L444" s="5">
        <v>141</v>
      </c>
      <c r="M444" s="5">
        <v>185</v>
      </c>
      <c r="N444" s="7">
        <v>335</v>
      </c>
      <c r="O444" s="4">
        <v>213</v>
      </c>
    </row>
    <row r="445" spans="1:15">
      <c r="A445" s="8" t="s">
        <v>97</v>
      </c>
      <c r="B445" s="3" t="s">
        <v>38</v>
      </c>
      <c r="C445" s="3" t="s">
        <v>25</v>
      </c>
      <c r="D445" s="3" t="s">
        <v>20</v>
      </c>
      <c r="E445" s="4">
        <v>5</v>
      </c>
      <c r="F445" s="4">
        <v>4</v>
      </c>
      <c r="G445" s="5">
        <v>0</v>
      </c>
      <c r="H445" s="5">
        <v>0</v>
      </c>
      <c r="I445" s="6">
        <v>65</v>
      </c>
      <c r="J445" s="5">
        <v>65</v>
      </c>
      <c r="K445" s="7">
        <v>0</v>
      </c>
      <c r="L445" s="5">
        <v>18</v>
      </c>
      <c r="M445" s="5">
        <v>34</v>
      </c>
      <c r="N445" s="7">
        <v>79</v>
      </c>
      <c r="O445" s="4">
        <v>108</v>
      </c>
    </row>
    <row r="446" spans="1:15">
      <c r="A446" s="8" t="s">
        <v>97</v>
      </c>
      <c r="B446" s="3" t="s">
        <v>16</v>
      </c>
      <c r="C446" s="3" t="s">
        <v>17</v>
      </c>
      <c r="D446" s="3" t="s">
        <v>20</v>
      </c>
      <c r="E446" s="4">
        <v>5</v>
      </c>
      <c r="F446" s="4">
        <v>1</v>
      </c>
      <c r="G446" s="5">
        <v>0</v>
      </c>
      <c r="H446" s="5">
        <v>0</v>
      </c>
      <c r="I446" s="6">
        <v>34</v>
      </c>
      <c r="J446" s="5">
        <v>34</v>
      </c>
      <c r="K446" s="7">
        <v>6</v>
      </c>
      <c r="L446" s="5">
        <v>26</v>
      </c>
      <c r="M446" s="5">
        <v>45</v>
      </c>
      <c r="N446" s="7">
        <v>74</v>
      </c>
      <c r="O446" s="4">
        <v>60</v>
      </c>
    </row>
    <row r="447" spans="1:15">
      <c r="A447" s="8" t="s">
        <v>97</v>
      </c>
      <c r="B447" s="3" t="s">
        <v>61</v>
      </c>
      <c r="C447" s="3" t="s">
        <v>17</v>
      </c>
      <c r="D447" s="3" t="s">
        <v>20</v>
      </c>
      <c r="E447" s="4">
        <v>10</v>
      </c>
      <c r="F447" s="4">
        <v>1</v>
      </c>
      <c r="G447" s="5">
        <v>0</v>
      </c>
      <c r="H447" s="5">
        <v>0</v>
      </c>
      <c r="I447" s="6">
        <v>56</v>
      </c>
      <c r="J447" s="5">
        <v>56</v>
      </c>
      <c r="K447" s="7">
        <v>0</v>
      </c>
      <c r="L447" s="5">
        <v>18</v>
      </c>
      <c r="M447" s="5">
        <v>25</v>
      </c>
      <c r="N447" s="7">
        <v>65</v>
      </c>
      <c r="O447" s="4">
        <v>33</v>
      </c>
    </row>
    <row r="448" spans="1:15">
      <c r="A448" s="8" t="s">
        <v>97</v>
      </c>
      <c r="B448" s="3" t="s">
        <v>62</v>
      </c>
      <c r="C448" s="3" t="s">
        <v>17</v>
      </c>
      <c r="D448" s="3" t="s">
        <v>20</v>
      </c>
      <c r="E448" s="4">
        <v>10</v>
      </c>
      <c r="F448" s="4">
        <v>1</v>
      </c>
      <c r="G448" s="5">
        <v>0</v>
      </c>
      <c r="H448" s="5">
        <v>0</v>
      </c>
      <c r="I448" s="6">
        <v>71</v>
      </c>
      <c r="J448" s="5">
        <v>73</v>
      </c>
      <c r="K448" s="7">
        <v>8</v>
      </c>
      <c r="L448" s="5">
        <v>35</v>
      </c>
      <c r="M448" s="5">
        <v>64</v>
      </c>
      <c r="N448" s="7">
        <v>116</v>
      </c>
      <c r="O448" s="4">
        <v>29</v>
      </c>
    </row>
    <row r="449" spans="1:15">
      <c r="A449" s="8" t="s">
        <v>97</v>
      </c>
      <c r="B449" s="3" t="s">
        <v>19</v>
      </c>
      <c r="C449" s="3" t="s">
        <v>17</v>
      </c>
      <c r="D449" s="3" t="s">
        <v>20</v>
      </c>
      <c r="E449" s="4">
        <v>5</v>
      </c>
      <c r="F449" s="4">
        <v>1</v>
      </c>
      <c r="G449" s="5">
        <v>0</v>
      </c>
      <c r="H449" s="5">
        <v>0</v>
      </c>
      <c r="I449" s="6">
        <v>147</v>
      </c>
      <c r="J449" s="5">
        <v>164</v>
      </c>
      <c r="K449" s="7">
        <v>58</v>
      </c>
      <c r="L449" s="5">
        <v>522</v>
      </c>
      <c r="M449" s="5">
        <v>705</v>
      </c>
      <c r="N449" s="7">
        <v>1242</v>
      </c>
      <c r="O449" s="4">
        <v>1432</v>
      </c>
    </row>
    <row r="450" spans="1:15">
      <c r="A450" s="8" t="s">
        <v>97</v>
      </c>
      <c r="B450" s="3" t="s">
        <v>63</v>
      </c>
      <c r="C450" s="3" t="s">
        <v>17</v>
      </c>
      <c r="D450" s="3" t="s">
        <v>20</v>
      </c>
      <c r="E450" s="4">
        <v>25</v>
      </c>
      <c r="F450" s="4">
        <v>1</v>
      </c>
      <c r="G450" s="5">
        <v>0</v>
      </c>
      <c r="H450" s="5">
        <v>0</v>
      </c>
      <c r="I450" s="6">
        <v>77</v>
      </c>
      <c r="J450" s="5">
        <v>80</v>
      </c>
      <c r="K450" s="7">
        <v>4</v>
      </c>
      <c r="L450" s="5">
        <v>35</v>
      </c>
      <c r="M450" s="5">
        <v>44</v>
      </c>
      <c r="N450" s="7">
        <v>74</v>
      </c>
      <c r="O450" s="4">
        <v>128</v>
      </c>
    </row>
    <row r="451" spans="1:15">
      <c r="A451" s="8" t="s">
        <v>97</v>
      </c>
      <c r="B451" s="3" t="s">
        <v>64</v>
      </c>
      <c r="C451" s="3" t="s">
        <v>17</v>
      </c>
      <c r="D451" s="3" t="s">
        <v>20</v>
      </c>
      <c r="E451" s="4">
        <v>10</v>
      </c>
      <c r="F451" s="4">
        <v>1</v>
      </c>
      <c r="G451" s="5">
        <v>0</v>
      </c>
      <c r="H451" s="5">
        <v>0</v>
      </c>
      <c r="I451" s="6">
        <v>122</v>
      </c>
      <c r="J451" s="5">
        <v>123</v>
      </c>
      <c r="K451" s="7">
        <v>5</v>
      </c>
      <c r="L451" s="5">
        <v>35</v>
      </c>
      <c r="M451" s="5">
        <v>64</v>
      </c>
      <c r="N451" s="7">
        <v>130</v>
      </c>
      <c r="O451" s="4">
        <v>23</v>
      </c>
    </row>
    <row r="452" spans="1:15">
      <c r="A452" s="8" t="s">
        <v>97</v>
      </c>
      <c r="B452" s="3" t="s">
        <v>23</v>
      </c>
      <c r="C452" s="3" t="s">
        <v>17</v>
      </c>
      <c r="D452" s="3" t="s">
        <v>20</v>
      </c>
      <c r="E452" s="4">
        <v>5</v>
      </c>
      <c r="F452" s="4">
        <v>5</v>
      </c>
      <c r="G452" s="5">
        <v>0</v>
      </c>
      <c r="H452" s="5">
        <v>0</v>
      </c>
      <c r="I452" s="6">
        <v>39</v>
      </c>
      <c r="J452" s="5">
        <v>39</v>
      </c>
      <c r="K452" s="7">
        <v>2</v>
      </c>
      <c r="L452" s="5">
        <v>9</v>
      </c>
      <c r="M452" s="5">
        <v>18</v>
      </c>
      <c r="N452" s="7">
        <v>42</v>
      </c>
      <c r="O452" s="4">
        <v>35</v>
      </c>
    </row>
    <row r="453" spans="1:15">
      <c r="A453" s="8" t="s">
        <v>97</v>
      </c>
      <c r="B453" s="3" t="s">
        <v>65</v>
      </c>
      <c r="C453" s="3" t="s">
        <v>17</v>
      </c>
      <c r="D453" s="3" t="s">
        <v>20</v>
      </c>
      <c r="E453" s="4">
        <v>2.5</v>
      </c>
      <c r="F453" s="4">
        <v>1</v>
      </c>
      <c r="G453" s="5">
        <v>0</v>
      </c>
      <c r="H453" s="5">
        <v>0</v>
      </c>
      <c r="I453" s="6">
        <v>175</v>
      </c>
      <c r="J453" s="5">
        <v>175</v>
      </c>
      <c r="K453" s="7">
        <v>1</v>
      </c>
      <c r="L453" s="5">
        <v>3</v>
      </c>
      <c r="M453" s="5">
        <v>12</v>
      </c>
      <c r="N453" s="7">
        <v>23</v>
      </c>
      <c r="O453" s="4">
        <v>0</v>
      </c>
    </row>
    <row r="454" spans="1:15">
      <c r="A454" s="8" t="s">
        <v>97</v>
      </c>
      <c r="B454" s="3" t="s">
        <v>21</v>
      </c>
      <c r="C454" s="3" t="s">
        <v>17</v>
      </c>
      <c r="D454" s="3" t="s">
        <v>20</v>
      </c>
      <c r="E454" s="4">
        <v>5</v>
      </c>
      <c r="F454" s="4">
        <v>1</v>
      </c>
      <c r="G454" s="5">
        <v>0</v>
      </c>
      <c r="H454" s="5">
        <v>0</v>
      </c>
      <c r="I454" s="6">
        <v>75</v>
      </c>
      <c r="J454" s="5">
        <v>75</v>
      </c>
      <c r="K454" s="7">
        <v>9</v>
      </c>
      <c r="L454" s="5">
        <v>28</v>
      </c>
      <c r="M454" s="5">
        <v>46</v>
      </c>
      <c r="N454" s="7">
        <v>108</v>
      </c>
      <c r="O454" s="4">
        <v>12</v>
      </c>
    </row>
    <row r="455" spans="1:15">
      <c r="A455" s="8" t="s">
        <v>97</v>
      </c>
      <c r="B455" s="3" t="s">
        <v>66</v>
      </c>
      <c r="C455" s="3" t="s">
        <v>25</v>
      </c>
      <c r="D455" s="3" t="s">
        <v>20</v>
      </c>
      <c r="E455" s="4">
        <v>10</v>
      </c>
      <c r="F455" s="4">
        <v>1</v>
      </c>
      <c r="G455" s="5">
        <v>0</v>
      </c>
      <c r="H455" s="5">
        <v>0</v>
      </c>
      <c r="I455" s="6">
        <v>1404</v>
      </c>
      <c r="J455" s="5">
        <v>1419</v>
      </c>
      <c r="K455" s="7">
        <v>141</v>
      </c>
      <c r="L455" s="5">
        <v>1109</v>
      </c>
      <c r="M455" s="5">
        <v>1547</v>
      </c>
      <c r="N455" s="7">
        <v>4209</v>
      </c>
      <c r="O455" s="4">
        <v>2600</v>
      </c>
    </row>
    <row r="456" spans="1:15">
      <c r="A456" s="8" t="s">
        <v>97</v>
      </c>
      <c r="B456" s="3" t="s">
        <v>85</v>
      </c>
      <c r="C456" s="3" t="s">
        <v>25</v>
      </c>
      <c r="D456" s="3" t="s">
        <v>18</v>
      </c>
      <c r="E456" s="4">
        <v>10</v>
      </c>
      <c r="F456" s="4">
        <v>2</v>
      </c>
      <c r="G456" s="5">
        <v>0</v>
      </c>
      <c r="H456" s="5">
        <v>0</v>
      </c>
      <c r="I456" s="6">
        <v>0</v>
      </c>
      <c r="J456" s="5">
        <v>0</v>
      </c>
      <c r="K456" s="7">
        <v>0</v>
      </c>
      <c r="L456" s="5">
        <v>0</v>
      </c>
      <c r="M456" s="5">
        <v>0</v>
      </c>
      <c r="N456" s="7">
        <v>0</v>
      </c>
      <c r="O456" s="4">
        <v>0</v>
      </c>
    </row>
    <row r="457" spans="1:15">
      <c r="A457" s="8" t="s">
        <v>97</v>
      </c>
      <c r="B457" s="3" t="s">
        <v>39</v>
      </c>
      <c r="C457" s="3" t="s">
        <v>25</v>
      </c>
      <c r="D457" s="3" t="s">
        <v>20</v>
      </c>
      <c r="E457" s="4">
        <v>2.5</v>
      </c>
      <c r="F457" s="4">
        <v>1</v>
      </c>
      <c r="G457" s="5">
        <v>0</v>
      </c>
      <c r="H457" s="5">
        <v>0</v>
      </c>
      <c r="I457" s="6">
        <v>442</v>
      </c>
      <c r="J457" s="5">
        <v>442</v>
      </c>
      <c r="K457" s="7">
        <v>1</v>
      </c>
      <c r="L457" s="5">
        <v>6</v>
      </c>
      <c r="M457" s="5">
        <v>36</v>
      </c>
      <c r="N457" s="7">
        <v>38</v>
      </c>
      <c r="O457" s="4">
        <v>0</v>
      </c>
    </row>
    <row r="458" spans="1:15">
      <c r="A458" s="8" t="s">
        <v>97</v>
      </c>
      <c r="B458" s="3" t="s">
        <v>77</v>
      </c>
      <c r="C458" s="3" t="s">
        <v>25</v>
      </c>
      <c r="D458" s="3" t="s">
        <v>20</v>
      </c>
      <c r="E458" s="4">
        <v>25</v>
      </c>
      <c r="F458" s="4">
        <v>1</v>
      </c>
      <c r="G458" s="5">
        <v>0</v>
      </c>
      <c r="H458" s="5">
        <v>0</v>
      </c>
      <c r="I458" s="6">
        <v>38</v>
      </c>
      <c r="J458" s="5">
        <v>38</v>
      </c>
      <c r="K458" s="7">
        <v>2</v>
      </c>
      <c r="L458" s="5">
        <v>12</v>
      </c>
      <c r="M458" s="5">
        <v>21</v>
      </c>
      <c r="N458" s="7">
        <v>50</v>
      </c>
      <c r="O458" s="4">
        <v>31</v>
      </c>
    </row>
    <row r="459" spans="1:15">
      <c r="A459" s="8" t="s">
        <v>97</v>
      </c>
      <c r="B459" s="3" t="s">
        <v>40</v>
      </c>
      <c r="C459" s="3" t="s">
        <v>25</v>
      </c>
      <c r="D459" s="3" t="s">
        <v>20</v>
      </c>
      <c r="E459" s="4">
        <v>5</v>
      </c>
      <c r="F459" s="4">
        <v>4</v>
      </c>
      <c r="G459" s="5">
        <v>0</v>
      </c>
      <c r="H459" s="5">
        <v>0</v>
      </c>
      <c r="I459" s="6">
        <v>1</v>
      </c>
      <c r="J459" s="5">
        <v>1</v>
      </c>
      <c r="K459" s="7">
        <v>3</v>
      </c>
      <c r="L459" s="5">
        <v>75</v>
      </c>
      <c r="M459" s="5">
        <v>149</v>
      </c>
      <c r="N459" s="7">
        <v>297</v>
      </c>
      <c r="O459" s="4">
        <v>484</v>
      </c>
    </row>
    <row r="460" spans="1:15">
      <c r="A460" s="8" t="s">
        <v>97</v>
      </c>
      <c r="B460" s="3" t="s">
        <v>48</v>
      </c>
      <c r="C460" s="3" t="s">
        <v>25</v>
      </c>
      <c r="D460" s="3" t="s">
        <v>20</v>
      </c>
      <c r="E460" s="4">
        <v>10</v>
      </c>
      <c r="F460" s="4">
        <v>2</v>
      </c>
      <c r="G460" s="5">
        <v>0</v>
      </c>
      <c r="H460" s="5">
        <v>0</v>
      </c>
      <c r="I460" s="6">
        <v>87</v>
      </c>
      <c r="J460" s="5">
        <v>89</v>
      </c>
      <c r="K460" s="7">
        <v>2</v>
      </c>
      <c r="L460" s="5">
        <v>42</v>
      </c>
      <c r="M460" s="5">
        <v>75</v>
      </c>
      <c r="N460" s="7">
        <v>158</v>
      </c>
      <c r="O460" s="4">
        <v>100</v>
      </c>
    </row>
    <row r="461" spans="1:15">
      <c r="A461" s="8" t="s">
        <v>97</v>
      </c>
      <c r="B461" s="3" t="s">
        <v>56</v>
      </c>
      <c r="C461" s="3" t="s">
        <v>25</v>
      </c>
      <c r="D461" s="3" t="s">
        <v>20</v>
      </c>
      <c r="E461" s="4">
        <v>5</v>
      </c>
      <c r="F461" s="4">
        <v>4</v>
      </c>
      <c r="G461" s="5">
        <v>0</v>
      </c>
      <c r="H461" s="5">
        <v>0</v>
      </c>
      <c r="I461" s="6">
        <v>18</v>
      </c>
      <c r="J461" s="5">
        <v>18</v>
      </c>
      <c r="K461" s="7">
        <v>2</v>
      </c>
      <c r="L461" s="5">
        <v>11</v>
      </c>
      <c r="M461" s="5">
        <v>20</v>
      </c>
      <c r="N461" s="7">
        <v>30</v>
      </c>
      <c r="O461" s="4">
        <v>20</v>
      </c>
    </row>
    <row r="462" spans="1:15">
      <c r="A462" s="8" t="s">
        <v>97</v>
      </c>
      <c r="B462" s="3" t="s">
        <v>42</v>
      </c>
      <c r="C462" s="3" t="s">
        <v>25</v>
      </c>
      <c r="D462" s="3" t="s">
        <v>20</v>
      </c>
      <c r="E462" s="4">
        <v>5</v>
      </c>
      <c r="F462" s="4">
        <v>4</v>
      </c>
      <c r="G462" s="5">
        <v>0</v>
      </c>
      <c r="H462" s="5">
        <v>0</v>
      </c>
      <c r="I462" s="6">
        <v>30</v>
      </c>
      <c r="J462" s="5">
        <v>30</v>
      </c>
      <c r="K462" s="7">
        <v>2</v>
      </c>
      <c r="L462" s="5">
        <v>10</v>
      </c>
      <c r="M462" s="5">
        <v>11</v>
      </c>
      <c r="N462" s="7">
        <v>23</v>
      </c>
      <c r="O462" s="4">
        <v>40</v>
      </c>
    </row>
    <row r="463" spans="1:15">
      <c r="A463" s="8" t="s">
        <v>97</v>
      </c>
      <c r="B463" s="3" t="s">
        <v>53</v>
      </c>
      <c r="C463" s="3" t="s">
        <v>25</v>
      </c>
      <c r="D463" s="3" t="s">
        <v>20</v>
      </c>
      <c r="E463" s="4">
        <v>25</v>
      </c>
      <c r="F463" s="4">
        <v>1</v>
      </c>
      <c r="G463" s="5">
        <v>0</v>
      </c>
      <c r="H463" s="5">
        <v>0</v>
      </c>
      <c r="I463" s="6">
        <v>71</v>
      </c>
      <c r="J463" s="5">
        <v>73</v>
      </c>
      <c r="K463" s="7">
        <v>3</v>
      </c>
      <c r="L463" s="5">
        <v>4</v>
      </c>
      <c r="M463" s="5">
        <v>10</v>
      </c>
      <c r="N463" s="7">
        <v>33</v>
      </c>
      <c r="O463" s="4">
        <v>4</v>
      </c>
    </row>
    <row r="464" spans="1:15">
      <c r="A464" s="8" t="s">
        <v>97</v>
      </c>
      <c r="B464" s="3" t="s">
        <v>24</v>
      </c>
      <c r="C464" s="3" t="s">
        <v>25</v>
      </c>
      <c r="D464" s="3" t="s">
        <v>20</v>
      </c>
      <c r="E464" s="4">
        <v>5</v>
      </c>
      <c r="F464" s="4">
        <v>4</v>
      </c>
      <c r="G464" s="5">
        <v>0</v>
      </c>
      <c r="H464" s="5">
        <v>0</v>
      </c>
      <c r="I464" s="6">
        <v>88</v>
      </c>
      <c r="J464" s="5">
        <v>92</v>
      </c>
      <c r="K464" s="7">
        <v>13</v>
      </c>
      <c r="L464" s="5">
        <v>56</v>
      </c>
      <c r="M464" s="5">
        <v>140</v>
      </c>
      <c r="N464" s="7">
        <v>307</v>
      </c>
      <c r="O464" s="4">
        <v>364</v>
      </c>
    </row>
    <row r="465" spans="1:15">
      <c r="A465" s="8" t="s">
        <v>97</v>
      </c>
      <c r="B465" s="3" t="s">
        <v>49</v>
      </c>
      <c r="C465" s="3" t="s">
        <v>25</v>
      </c>
      <c r="D465" s="3" t="s">
        <v>20</v>
      </c>
      <c r="E465" s="4">
        <v>10</v>
      </c>
      <c r="F465" s="4">
        <v>2</v>
      </c>
      <c r="G465" s="5">
        <v>0</v>
      </c>
      <c r="H465" s="5">
        <v>0</v>
      </c>
      <c r="I465" s="6">
        <v>104</v>
      </c>
      <c r="J465" s="5">
        <v>106</v>
      </c>
      <c r="K465" s="7">
        <v>12</v>
      </c>
      <c r="L465" s="5">
        <v>51</v>
      </c>
      <c r="M465" s="5">
        <v>90</v>
      </c>
      <c r="N465" s="7">
        <v>236</v>
      </c>
      <c r="O465" s="4">
        <v>140</v>
      </c>
    </row>
    <row r="466" spans="1:15">
      <c r="A466" s="8" t="s">
        <v>97</v>
      </c>
      <c r="B466" s="3" t="s">
        <v>50</v>
      </c>
      <c r="C466" s="3" t="s">
        <v>25</v>
      </c>
      <c r="D466" s="3" t="s">
        <v>20</v>
      </c>
      <c r="E466" s="4">
        <v>10</v>
      </c>
      <c r="F466" s="4">
        <v>2</v>
      </c>
      <c r="G466" s="5">
        <v>0</v>
      </c>
      <c r="H466" s="5">
        <v>0</v>
      </c>
      <c r="I466" s="6">
        <v>68</v>
      </c>
      <c r="J466" s="5">
        <v>68</v>
      </c>
      <c r="K466" s="7">
        <v>2</v>
      </c>
      <c r="L466" s="5">
        <v>15</v>
      </c>
      <c r="M466" s="5">
        <v>22</v>
      </c>
      <c r="N466" s="7">
        <v>65</v>
      </c>
      <c r="O466" s="4">
        <v>20</v>
      </c>
    </row>
    <row r="467" spans="1:15">
      <c r="A467" s="8" t="s">
        <v>97</v>
      </c>
      <c r="B467" s="3" t="s">
        <v>43</v>
      </c>
      <c r="C467" s="3" t="s">
        <v>25</v>
      </c>
      <c r="D467" s="3" t="s">
        <v>20</v>
      </c>
      <c r="E467" s="4">
        <v>5</v>
      </c>
      <c r="F467" s="4">
        <v>4</v>
      </c>
      <c r="G467" s="5">
        <v>0</v>
      </c>
      <c r="H467" s="5">
        <v>5.3</v>
      </c>
      <c r="I467" s="6">
        <v>74</v>
      </c>
      <c r="J467" s="5">
        <v>74</v>
      </c>
      <c r="K467" s="7">
        <v>0</v>
      </c>
      <c r="L467" s="5">
        <v>8</v>
      </c>
      <c r="M467" s="5">
        <v>10</v>
      </c>
      <c r="N467" s="7">
        <v>23</v>
      </c>
      <c r="O467" s="4">
        <v>0</v>
      </c>
    </row>
    <row r="468" spans="1:15">
      <c r="A468" s="3" t="s">
        <v>98</v>
      </c>
      <c r="B468" s="3" t="s">
        <v>59</v>
      </c>
      <c r="C468" s="3" t="s">
        <v>17</v>
      </c>
      <c r="D468" s="3" t="s">
        <v>20</v>
      </c>
      <c r="E468" s="4">
        <v>2.5</v>
      </c>
      <c r="F468" s="4">
        <v>1</v>
      </c>
      <c r="G468" s="5">
        <v>0</v>
      </c>
      <c r="H468" s="5">
        <v>0</v>
      </c>
      <c r="I468" s="6">
        <v>110</v>
      </c>
      <c r="J468" s="5">
        <v>110</v>
      </c>
      <c r="K468" s="7">
        <v>7</v>
      </c>
      <c r="L468" s="5">
        <v>34</v>
      </c>
      <c r="M468" s="5">
        <v>42</v>
      </c>
      <c r="N468" s="7">
        <v>84</v>
      </c>
      <c r="O468" s="4">
        <v>60</v>
      </c>
    </row>
    <row r="469" spans="1:15">
      <c r="A469" s="8" t="s">
        <v>98</v>
      </c>
      <c r="B469" s="3" t="s">
        <v>60</v>
      </c>
      <c r="C469" s="3" t="s">
        <v>17</v>
      </c>
      <c r="D469" s="3" t="s">
        <v>20</v>
      </c>
      <c r="E469" s="4">
        <v>10</v>
      </c>
      <c r="F469" s="4">
        <v>1</v>
      </c>
      <c r="G469" s="5">
        <v>0</v>
      </c>
      <c r="H469" s="5">
        <v>0</v>
      </c>
      <c r="I469" s="6">
        <v>14</v>
      </c>
      <c r="J469" s="5">
        <v>15</v>
      </c>
      <c r="K469" s="7">
        <v>4</v>
      </c>
      <c r="L469" s="5">
        <v>40</v>
      </c>
      <c r="M469" s="5">
        <v>57</v>
      </c>
      <c r="N469" s="7">
        <v>97</v>
      </c>
      <c r="O469" s="4">
        <v>93</v>
      </c>
    </row>
    <row r="470" spans="1:15">
      <c r="A470" s="8" t="s">
        <v>98</v>
      </c>
      <c r="B470" s="3" t="s">
        <v>38</v>
      </c>
      <c r="C470" s="3" t="s">
        <v>25</v>
      </c>
      <c r="D470" s="3" t="s">
        <v>20</v>
      </c>
      <c r="E470" s="4">
        <v>5</v>
      </c>
      <c r="F470" s="4">
        <v>4</v>
      </c>
      <c r="G470" s="5">
        <v>0</v>
      </c>
      <c r="H470" s="5">
        <v>1.46</v>
      </c>
      <c r="I470" s="6">
        <v>10</v>
      </c>
      <c r="J470" s="5">
        <v>10</v>
      </c>
      <c r="K470" s="7">
        <v>0</v>
      </c>
      <c r="L470" s="5">
        <v>1</v>
      </c>
      <c r="M470" s="5">
        <v>2</v>
      </c>
      <c r="N470" s="7">
        <v>2</v>
      </c>
      <c r="O470" s="4">
        <v>0</v>
      </c>
    </row>
    <row r="471" spans="1:15">
      <c r="A471" s="8" t="s">
        <v>98</v>
      </c>
      <c r="B471" s="3" t="s">
        <v>16</v>
      </c>
      <c r="C471" s="3" t="s">
        <v>17</v>
      </c>
      <c r="D471" s="3" t="s">
        <v>20</v>
      </c>
      <c r="E471" s="4">
        <v>5</v>
      </c>
      <c r="F471" s="4">
        <v>1</v>
      </c>
      <c r="G471" s="5">
        <v>0</v>
      </c>
      <c r="H471" s="5">
        <v>0</v>
      </c>
      <c r="I471" s="6">
        <v>36</v>
      </c>
      <c r="J471" s="5">
        <v>37</v>
      </c>
      <c r="K471" s="7">
        <v>3</v>
      </c>
      <c r="L471" s="5">
        <v>34</v>
      </c>
      <c r="M471" s="5">
        <v>60</v>
      </c>
      <c r="N471" s="7">
        <v>107</v>
      </c>
      <c r="O471" s="4">
        <v>189</v>
      </c>
    </row>
    <row r="472" spans="1:15">
      <c r="A472" s="8" t="s">
        <v>98</v>
      </c>
      <c r="B472" s="3" t="s">
        <v>61</v>
      </c>
      <c r="C472" s="3" t="s">
        <v>17</v>
      </c>
      <c r="D472" s="3" t="s">
        <v>20</v>
      </c>
      <c r="E472" s="4">
        <v>10</v>
      </c>
      <c r="F472" s="4">
        <v>1</v>
      </c>
      <c r="G472" s="5">
        <v>0</v>
      </c>
      <c r="H472" s="5">
        <v>0</v>
      </c>
      <c r="I472" s="6">
        <v>46</v>
      </c>
      <c r="J472" s="5">
        <v>46</v>
      </c>
      <c r="K472" s="7">
        <v>0</v>
      </c>
      <c r="L472" s="5">
        <v>5</v>
      </c>
      <c r="M472" s="5">
        <v>8</v>
      </c>
      <c r="N472" s="7">
        <v>34</v>
      </c>
      <c r="O472" s="4">
        <v>35</v>
      </c>
    </row>
    <row r="473" spans="1:15">
      <c r="A473" s="8" t="s">
        <v>98</v>
      </c>
      <c r="B473" s="3" t="s">
        <v>62</v>
      </c>
      <c r="C473" s="3" t="s">
        <v>17</v>
      </c>
      <c r="D473" s="3" t="s">
        <v>20</v>
      </c>
      <c r="E473" s="4">
        <v>10</v>
      </c>
      <c r="F473" s="4">
        <v>1</v>
      </c>
      <c r="G473" s="5">
        <v>0</v>
      </c>
      <c r="H473" s="5">
        <v>0</v>
      </c>
      <c r="I473" s="6">
        <v>79</v>
      </c>
      <c r="J473" s="5">
        <v>79</v>
      </c>
      <c r="K473" s="7">
        <v>1</v>
      </c>
      <c r="L473" s="5">
        <v>17</v>
      </c>
      <c r="M473" s="5">
        <v>34</v>
      </c>
      <c r="N473" s="7">
        <v>82</v>
      </c>
      <c r="O473" s="4">
        <v>75</v>
      </c>
    </row>
    <row r="474" spans="1:15">
      <c r="A474" s="8" t="s">
        <v>98</v>
      </c>
      <c r="B474" s="3" t="s">
        <v>19</v>
      </c>
      <c r="C474" s="3" t="s">
        <v>17</v>
      </c>
      <c r="D474" s="3" t="s">
        <v>20</v>
      </c>
      <c r="E474" s="4">
        <v>5</v>
      </c>
      <c r="F474" s="4">
        <v>1</v>
      </c>
      <c r="G474" s="5">
        <v>0</v>
      </c>
      <c r="H474" s="5">
        <v>0</v>
      </c>
      <c r="I474" s="6">
        <v>175</v>
      </c>
      <c r="J474" s="5">
        <v>221</v>
      </c>
      <c r="K474" s="7">
        <v>41</v>
      </c>
      <c r="L474" s="5">
        <v>465</v>
      </c>
      <c r="M474" s="5">
        <v>623</v>
      </c>
      <c r="N474" s="7">
        <v>980</v>
      </c>
      <c r="O474" s="4">
        <v>1349</v>
      </c>
    </row>
    <row r="475" spans="1:15">
      <c r="A475" s="8" t="s">
        <v>98</v>
      </c>
      <c r="B475" s="3" t="s">
        <v>63</v>
      </c>
      <c r="C475" s="3" t="s">
        <v>17</v>
      </c>
      <c r="D475" s="3" t="s">
        <v>20</v>
      </c>
      <c r="E475" s="4">
        <v>25</v>
      </c>
      <c r="F475" s="4">
        <v>1</v>
      </c>
      <c r="G475" s="5">
        <v>0</v>
      </c>
      <c r="H475" s="5">
        <v>0</v>
      </c>
      <c r="I475" s="6">
        <v>132</v>
      </c>
      <c r="J475" s="5">
        <v>133</v>
      </c>
      <c r="K475" s="7">
        <v>12</v>
      </c>
      <c r="L475" s="5">
        <v>32</v>
      </c>
      <c r="M475" s="5">
        <v>59</v>
      </c>
      <c r="N475" s="7">
        <v>94</v>
      </c>
      <c r="O475" s="4">
        <v>199</v>
      </c>
    </row>
    <row r="476" spans="1:15">
      <c r="A476" s="8" t="s">
        <v>98</v>
      </c>
      <c r="B476" s="3" t="s">
        <v>64</v>
      </c>
      <c r="C476" s="3" t="s">
        <v>17</v>
      </c>
      <c r="D476" s="3" t="s">
        <v>20</v>
      </c>
      <c r="E476" s="4">
        <v>10</v>
      </c>
      <c r="F476" s="4">
        <v>1</v>
      </c>
      <c r="G476" s="5">
        <v>0</v>
      </c>
      <c r="H476" s="5">
        <v>0</v>
      </c>
      <c r="I476" s="6">
        <v>72</v>
      </c>
      <c r="J476" s="5">
        <v>72</v>
      </c>
      <c r="K476" s="7">
        <v>3</v>
      </c>
      <c r="L476" s="5">
        <v>30</v>
      </c>
      <c r="M476" s="5">
        <v>46</v>
      </c>
      <c r="N476" s="7">
        <v>103</v>
      </c>
      <c r="O476" s="4">
        <v>80</v>
      </c>
    </row>
    <row r="477" spans="1:15">
      <c r="A477" s="8" t="s">
        <v>98</v>
      </c>
      <c r="B477" s="3" t="s">
        <v>23</v>
      </c>
      <c r="C477" s="3" t="s">
        <v>17</v>
      </c>
      <c r="D477" s="3" t="s">
        <v>20</v>
      </c>
      <c r="E477" s="4">
        <v>5</v>
      </c>
      <c r="F477" s="4">
        <v>5</v>
      </c>
      <c r="G477" s="5">
        <v>0</v>
      </c>
      <c r="H477" s="5">
        <v>0</v>
      </c>
      <c r="I477" s="6">
        <v>30</v>
      </c>
      <c r="J477" s="5">
        <v>30</v>
      </c>
      <c r="K477" s="7">
        <v>1</v>
      </c>
      <c r="L477" s="5">
        <v>11</v>
      </c>
      <c r="M477" s="5">
        <v>24</v>
      </c>
      <c r="N477" s="7">
        <v>49</v>
      </c>
      <c r="O477" s="4">
        <v>75</v>
      </c>
    </row>
    <row r="478" spans="1:15">
      <c r="A478" s="8" t="s">
        <v>98</v>
      </c>
      <c r="B478" s="3" t="s">
        <v>65</v>
      </c>
      <c r="C478" s="3" t="s">
        <v>17</v>
      </c>
      <c r="D478" s="3" t="s">
        <v>20</v>
      </c>
      <c r="E478" s="4">
        <v>2.5</v>
      </c>
      <c r="F478" s="4">
        <v>1</v>
      </c>
      <c r="G478" s="5">
        <v>0</v>
      </c>
      <c r="H478" s="5">
        <v>0</v>
      </c>
      <c r="I478" s="6">
        <v>45</v>
      </c>
      <c r="J478" s="5">
        <v>45</v>
      </c>
      <c r="K478" s="7">
        <v>0</v>
      </c>
      <c r="L478" s="5">
        <v>3</v>
      </c>
      <c r="M478" s="5">
        <v>36</v>
      </c>
      <c r="N478" s="7">
        <v>48</v>
      </c>
      <c r="O478" s="4">
        <v>133</v>
      </c>
    </row>
    <row r="479" spans="1:15">
      <c r="A479" s="8" t="s">
        <v>98</v>
      </c>
      <c r="B479" s="3" t="s">
        <v>21</v>
      </c>
      <c r="C479" s="3" t="s">
        <v>17</v>
      </c>
      <c r="D479" s="3" t="s">
        <v>20</v>
      </c>
      <c r="E479" s="4">
        <v>5</v>
      </c>
      <c r="F479" s="4">
        <v>1</v>
      </c>
      <c r="G479" s="5">
        <v>0</v>
      </c>
      <c r="H479" s="5">
        <v>0</v>
      </c>
      <c r="I479" s="6">
        <v>59</v>
      </c>
      <c r="J479" s="5">
        <v>59</v>
      </c>
      <c r="K479" s="7">
        <v>2</v>
      </c>
      <c r="L479" s="5">
        <v>17</v>
      </c>
      <c r="M479" s="5">
        <v>36</v>
      </c>
      <c r="N479" s="7">
        <v>65</v>
      </c>
      <c r="O479" s="4">
        <v>44</v>
      </c>
    </row>
    <row r="480" spans="1:15">
      <c r="A480" s="8" t="s">
        <v>98</v>
      </c>
      <c r="B480" s="3" t="s">
        <v>66</v>
      </c>
      <c r="C480" s="3" t="s">
        <v>25</v>
      </c>
      <c r="D480" s="3" t="s">
        <v>20</v>
      </c>
      <c r="E480" s="4">
        <v>10</v>
      </c>
      <c r="F480" s="4">
        <v>1</v>
      </c>
      <c r="G480" s="5">
        <v>0</v>
      </c>
      <c r="H480" s="5">
        <v>0</v>
      </c>
      <c r="I480" s="6">
        <v>83</v>
      </c>
      <c r="J480" s="5">
        <v>83</v>
      </c>
      <c r="K480" s="7">
        <v>3</v>
      </c>
      <c r="L480" s="5">
        <v>15</v>
      </c>
      <c r="M480" s="5">
        <v>22</v>
      </c>
      <c r="N480" s="7">
        <v>37</v>
      </c>
      <c r="O480" s="4">
        <v>0</v>
      </c>
    </row>
    <row r="481" spans="1:15">
      <c r="A481" s="8" t="s">
        <v>98</v>
      </c>
      <c r="B481" s="3" t="s">
        <v>39</v>
      </c>
      <c r="C481" s="3" t="s">
        <v>25</v>
      </c>
      <c r="D481" s="3" t="s">
        <v>20</v>
      </c>
      <c r="E481" s="4">
        <v>2.5</v>
      </c>
      <c r="F481" s="4">
        <v>1</v>
      </c>
      <c r="G481" s="5">
        <v>0</v>
      </c>
      <c r="H481" s="5">
        <v>0</v>
      </c>
      <c r="I481" s="6">
        <v>17</v>
      </c>
      <c r="J481" s="5">
        <v>17</v>
      </c>
      <c r="K481" s="7">
        <v>0</v>
      </c>
      <c r="L481" s="5">
        <v>1</v>
      </c>
      <c r="M481" s="5">
        <v>7</v>
      </c>
      <c r="N481" s="7">
        <v>7</v>
      </c>
      <c r="O481" s="4">
        <v>0</v>
      </c>
    </row>
    <row r="482" spans="1:15">
      <c r="A482" s="8" t="s">
        <v>98</v>
      </c>
      <c r="B482" s="3" t="s">
        <v>40</v>
      </c>
      <c r="C482" s="3" t="s">
        <v>25</v>
      </c>
      <c r="D482" s="3" t="s">
        <v>20</v>
      </c>
      <c r="E482" s="4">
        <v>5</v>
      </c>
      <c r="F482" s="4">
        <v>4</v>
      </c>
      <c r="G482" s="5">
        <v>0</v>
      </c>
      <c r="H482" s="5">
        <v>0</v>
      </c>
      <c r="I482" s="6">
        <v>15</v>
      </c>
      <c r="J482" s="5">
        <v>15</v>
      </c>
      <c r="K482" s="7">
        <v>1</v>
      </c>
      <c r="L482" s="5">
        <v>3</v>
      </c>
      <c r="M482" s="5">
        <v>10</v>
      </c>
      <c r="N482" s="7">
        <v>15</v>
      </c>
      <c r="O482" s="4">
        <v>0</v>
      </c>
    </row>
    <row r="483" spans="1:15">
      <c r="A483" s="8" t="s">
        <v>98</v>
      </c>
      <c r="B483" s="3" t="s">
        <v>48</v>
      </c>
      <c r="C483" s="3" t="s">
        <v>25</v>
      </c>
      <c r="D483" s="3" t="s">
        <v>20</v>
      </c>
      <c r="E483" s="4">
        <v>10</v>
      </c>
      <c r="F483" s="4">
        <v>2</v>
      </c>
      <c r="G483" s="5">
        <v>0</v>
      </c>
      <c r="H483" s="5">
        <v>0</v>
      </c>
      <c r="I483" s="6">
        <v>8</v>
      </c>
      <c r="J483" s="5">
        <v>8</v>
      </c>
      <c r="K483" s="7">
        <v>0</v>
      </c>
      <c r="L483" s="5">
        <v>3</v>
      </c>
      <c r="M483" s="5">
        <v>6</v>
      </c>
      <c r="N483" s="7">
        <v>14</v>
      </c>
      <c r="O483" s="4">
        <v>0</v>
      </c>
    </row>
    <row r="484" spans="1:15">
      <c r="A484" s="8" t="s">
        <v>98</v>
      </c>
      <c r="B484" s="3" t="s">
        <v>56</v>
      </c>
      <c r="C484" s="3" t="s">
        <v>25</v>
      </c>
      <c r="D484" s="3" t="s">
        <v>20</v>
      </c>
      <c r="E484" s="4">
        <v>5</v>
      </c>
      <c r="F484" s="4">
        <v>4</v>
      </c>
      <c r="G484" s="5">
        <v>0</v>
      </c>
      <c r="H484" s="5">
        <v>0.15</v>
      </c>
      <c r="I484" s="6">
        <v>3</v>
      </c>
      <c r="J484" s="5">
        <v>3</v>
      </c>
      <c r="K484" s="7">
        <v>0</v>
      </c>
      <c r="L484" s="5">
        <v>0</v>
      </c>
      <c r="M484" s="5">
        <v>0</v>
      </c>
      <c r="N484" s="7">
        <v>1</v>
      </c>
      <c r="O484" s="4">
        <v>0</v>
      </c>
    </row>
    <row r="485" spans="1:15">
      <c r="A485" s="8" t="s">
        <v>98</v>
      </c>
      <c r="B485" s="3" t="s">
        <v>42</v>
      </c>
      <c r="C485" s="3" t="s">
        <v>25</v>
      </c>
      <c r="D485" s="3" t="s">
        <v>20</v>
      </c>
      <c r="E485" s="4">
        <v>5</v>
      </c>
      <c r="F485" s="4">
        <v>4</v>
      </c>
      <c r="G485" s="5">
        <v>0</v>
      </c>
      <c r="H485" s="5">
        <v>1.12</v>
      </c>
      <c r="I485" s="6">
        <v>6</v>
      </c>
      <c r="J485" s="5">
        <v>6</v>
      </c>
      <c r="K485" s="7">
        <v>0</v>
      </c>
      <c r="L485" s="5">
        <v>0</v>
      </c>
      <c r="M485" s="5">
        <v>0</v>
      </c>
      <c r="N485" s="7">
        <v>2</v>
      </c>
      <c r="O485" s="4">
        <v>0</v>
      </c>
    </row>
    <row r="486" spans="1:15">
      <c r="A486" s="8" t="s">
        <v>98</v>
      </c>
      <c r="B486" s="3" t="s">
        <v>53</v>
      </c>
      <c r="C486" s="3" t="s">
        <v>25</v>
      </c>
      <c r="D486" s="3" t="s">
        <v>20</v>
      </c>
      <c r="E486" s="4">
        <v>25</v>
      </c>
      <c r="F486" s="4">
        <v>1</v>
      </c>
      <c r="G486" s="5">
        <v>0</v>
      </c>
      <c r="H486" s="5">
        <v>0</v>
      </c>
      <c r="I486" s="6">
        <v>4</v>
      </c>
      <c r="J486" s="5">
        <v>4</v>
      </c>
      <c r="K486" s="7">
        <v>0</v>
      </c>
      <c r="L486" s="5">
        <v>0</v>
      </c>
      <c r="M486" s="5">
        <v>0</v>
      </c>
      <c r="N486" s="7">
        <v>7</v>
      </c>
      <c r="O486" s="4">
        <v>0</v>
      </c>
    </row>
    <row r="487" spans="1:15">
      <c r="A487" s="8" t="s">
        <v>98</v>
      </c>
      <c r="B487" s="3" t="s">
        <v>24</v>
      </c>
      <c r="C487" s="3" t="s">
        <v>25</v>
      </c>
      <c r="D487" s="3" t="s">
        <v>20</v>
      </c>
      <c r="E487" s="4">
        <v>5</v>
      </c>
      <c r="F487" s="4">
        <v>4</v>
      </c>
      <c r="G487" s="5">
        <v>0</v>
      </c>
      <c r="H487" s="5">
        <v>0</v>
      </c>
      <c r="I487" s="6">
        <v>78</v>
      </c>
      <c r="J487" s="5">
        <v>78</v>
      </c>
      <c r="K487" s="7">
        <v>0</v>
      </c>
      <c r="L487" s="5">
        <v>18</v>
      </c>
      <c r="M487" s="5">
        <v>32</v>
      </c>
      <c r="N487" s="7">
        <v>79</v>
      </c>
      <c r="O487" s="4">
        <v>0</v>
      </c>
    </row>
    <row r="488" spans="1:15">
      <c r="A488" s="8" t="s">
        <v>98</v>
      </c>
      <c r="B488" s="3" t="s">
        <v>49</v>
      </c>
      <c r="C488" s="3" t="s">
        <v>25</v>
      </c>
      <c r="D488" s="3" t="s">
        <v>20</v>
      </c>
      <c r="E488" s="4">
        <v>10</v>
      </c>
      <c r="F488" s="4">
        <v>2</v>
      </c>
      <c r="G488" s="5">
        <v>0</v>
      </c>
      <c r="H488" s="5">
        <v>0</v>
      </c>
      <c r="I488" s="6">
        <v>58</v>
      </c>
      <c r="J488" s="5">
        <v>58</v>
      </c>
      <c r="K488" s="7">
        <v>1</v>
      </c>
      <c r="L488" s="5">
        <v>13</v>
      </c>
      <c r="M488" s="5">
        <v>20</v>
      </c>
      <c r="N488" s="7">
        <v>68</v>
      </c>
      <c r="O488" s="4">
        <v>0</v>
      </c>
    </row>
    <row r="489" spans="1:15">
      <c r="A489" s="8" t="s">
        <v>98</v>
      </c>
      <c r="B489" s="3" t="s">
        <v>50</v>
      </c>
      <c r="C489" s="3" t="s">
        <v>25</v>
      </c>
      <c r="D489" s="3" t="s">
        <v>20</v>
      </c>
      <c r="E489" s="4">
        <v>10</v>
      </c>
      <c r="F489" s="4">
        <v>2</v>
      </c>
      <c r="G489" s="5">
        <v>0</v>
      </c>
      <c r="H489" s="5">
        <v>0</v>
      </c>
      <c r="I489" s="6">
        <v>7</v>
      </c>
      <c r="J489" s="5">
        <v>7</v>
      </c>
      <c r="K489" s="7">
        <v>0</v>
      </c>
      <c r="L489" s="5">
        <v>0</v>
      </c>
      <c r="M489" s="5">
        <v>0</v>
      </c>
      <c r="N489" s="7">
        <v>5</v>
      </c>
      <c r="O489" s="4">
        <v>0</v>
      </c>
    </row>
    <row r="490" spans="1:15">
      <c r="A490" s="8" t="s">
        <v>98</v>
      </c>
      <c r="B490" s="3" t="s">
        <v>43</v>
      </c>
      <c r="C490" s="3" t="s">
        <v>25</v>
      </c>
      <c r="D490" s="3" t="s">
        <v>20</v>
      </c>
      <c r="E490" s="4">
        <v>5</v>
      </c>
      <c r="F490" s="4">
        <v>4</v>
      </c>
      <c r="G490" s="5">
        <v>0</v>
      </c>
      <c r="H490" s="5">
        <v>1.11</v>
      </c>
      <c r="I490" s="6">
        <v>3</v>
      </c>
      <c r="J490" s="5">
        <v>3</v>
      </c>
      <c r="K490" s="7">
        <v>0</v>
      </c>
      <c r="L490" s="5">
        <v>1</v>
      </c>
      <c r="M490" s="5">
        <v>1</v>
      </c>
      <c r="N490" s="7">
        <v>4</v>
      </c>
      <c r="O490" s="4">
        <v>0</v>
      </c>
    </row>
    <row r="491" spans="1:15">
      <c r="A491" s="3" t="s">
        <v>99</v>
      </c>
      <c r="B491" s="3" t="s">
        <v>68</v>
      </c>
      <c r="C491" s="3" t="s">
        <v>25</v>
      </c>
      <c r="D491" s="3" t="s">
        <v>20</v>
      </c>
      <c r="E491" s="4">
        <v>10</v>
      </c>
      <c r="F491" s="4">
        <v>1</v>
      </c>
      <c r="G491" s="5">
        <v>0</v>
      </c>
      <c r="H491" s="5">
        <v>0</v>
      </c>
      <c r="I491" s="6">
        <v>3</v>
      </c>
      <c r="J491" s="5">
        <v>3</v>
      </c>
      <c r="K491" s="7">
        <v>0</v>
      </c>
      <c r="L491" s="5">
        <v>0</v>
      </c>
      <c r="M491" s="5">
        <v>0</v>
      </c>
      <c r="N491" s="7">
        <v>1</v>
      </c>
      <c r="O491" s="4">
        <v>0</v>
      </c>
    </row>
    <row r="492" spans="1:15">
      <c r="A492" s="8" t="s">
        <v>99</v>
      </c>
      <c r="B492" s="3" t="s">
        <v>38</v>
      </c>
      <c r="C492" s="3" t="s">
        <v>25</v>
      </c>
      <c r="D492" s="3" t="s">
        <v>52</v>
      </c>
      <c r="E492" s="4">
        <v>5</v>
      </c>
      <c r="F492" s="4">
        <v>4</v>
      </c>
      <c r="G492" s="5">
        <v>0</v>
      </c>
      <c r="H492" s="5">
        <v>0</v>
      </c>
      <c r="I492" s="6">
        <v>4</v>
      </c>
      <c r="J492" s="5">
        <v>4</v>
      </c>
      <c r="K492" s="7">
        <v>0</v>
      </c>
      <c r="L492" s="5">
        <v>4</v>
      </c>
      <c r="M492" s="5">
        <v>4</v>
      </c>
      <c r="N492" s="7">
        <v>4</v>
      </c>
      <c r="O492" s="4">
        <v>0</v>
      </c>
    </row>
    <row r="493" spans="1:15">
      <c r="A493" s="8" t="s">
        <v>99</v>
      </c>
      <c r="B493" s="3" t="s">
        <v>66</v>
      </c>
      <c r="C493" s="3" t="s">
        <v>25</v>
      </c>
      <c r="D493" s="3" t="s">
        <v>20</v>
      </c>
      <c r="E493" s="4">
        <v>10</v>
      </c>
      <c r="F493" s="4">
        <v>1</v>
      </c>
      <c r="G493" s="5">
        <v>0</v>
      </c>
      <c r="H493" s="5">
        <v>0</v>
      </c>
      <c r="I493" s="6">
        <v>43</v>
      </c>
      <c r="J493" s="5">
        <v>43</v>
      </c>
      <c r="K493" s="7">
        <v>0</v>
      </c>
      <c r="L493" s="5">
        <v>4</v>
      </c>
      <c r="M493" s="5">
        <v>4</v>
      </c>
      <c r="N493" s="7">
        <v>15</v>
      </c>
      <c r="O493" s="4">
        <v>0</v>
      </c>
    </row>
    <row r="494" spans="1:15">
      <c r="A494" s="8" t="s">
        <v>99</v>
      </c>
      <c r="B494" s="3" t="s">
        <v>39</v>
      </c>
      <c r="C494" s="3" t="s">
        <v>25</v>
      </c>
      <c r="D494" s="3" t="s">
        <v>20</v>
      </c>
      <c r="E494" s="4">
        <v>2.5</v>
      </c>
      <c r="F494" s="4">
        <v>1</v>
      </c>
      <c r="G494" s="5">
        <v>0</v>
      </c>
      <c r="H494" s="5">
        <v>0</v>
      </c>
      <c r="I494" s="6">
        <v>6</v>
      </c>
      <c r="J494" s="5">
        <v>6</v>
      </c>
      <c r="K494" s="7">
        <v>0</v>
      </c>
      <c r="L494" s="5">
        <v>0</v>
      </c>
      <c r="M494" s="5">
        <v>0</v>
      </c>
      <c r="N494" s="7">
        <v>0</v>
      </c>
      <c r="O494" s="4">
        <v>0</v>
      </c>
    </row>
    <row r="495" spans="1:15">
      <c r="A495" s="8" t="s">
        <v>99</v>
      </c>
      <c r="B495" s="3" t="s">
        <v>40</v>
      </c>
      <c r="C495" s="3" t="s">
        <v>25</v>
      </c>
      <c r="D495" s="3" t="s">
        <v>20</v>
      </c>
      <c r="E495" s="4">
        <v>5</v>
      </c>
      <c r="F495" s="4">
        <v>4</v>
      </c>
      <c r="G495" s="5">
        <v>0</v>
      </c>
      <c r="H495" s="5">
        <v>1.46</v>
      </c>
      <c r="I495" s="6">
        <v>10</v>
      </c>
      <c r="J495" s="5">
        <v>10</v>
      </c>
      <c r="K495" s="7">
        <v>0</v>
      </c>
      <c r="L495" s="5">
        <v>0</v>
      </c>
      <c r="M495" s="5">
        <v>2</v>
      </c>
      <c r="N495" s="7">
        <v>5</v>
      </c>
      <c r="O495" s="4">
        <v>0</v>
      </c>
    </row>
    <row r="496" spans="1:15">
      <c r="A496" s="8" t="s">
        <v>99</v>
      </c>
      <c r="B496" s="3" t="s">
        <v>48</v>
      </c>
      <c r="C496" s="3" t="s">
        <v>25</v>
      </c>
      <c r="D496" s="3" t="s">
        <v>20</v>
      </c>
      <c r="E496" s="4">
        <v>10</v>
      </c>
      <c r="F496" s="4">
        <v>2</v>
      </c>
      <c r="G496" s="5">
        <v>0</v>
      </c>
      <c r="H496" s="5">
        <v>0</v>
      </c>
      <c r="I496" s="6">
        <v>3</v>
      </c>
      <c r="J496" s="5">
        <v>3</v>
      </c>
      <c r="K496" s="7">
        <v>0</v>
      </c>
      <c r="L496" s="5">
        <v>0</v>
      </c>
      <c r="M496" s="5">
        <v>0</v>
      </c>
      <c r="N496" s="7">
        <v>1</v>
      </c>
      <c r="O496" s="4">
        <v>0</v>
      </c>
    </row>
    <row r="497" spans="1:15">
      <c r="A497" s="8" t="s">
        <v>99</v>
      </c>
      <c r="B497" s="3" t="s">
        <v>56</v>
      </c>
      <c r="C497" s="3" t="s">
        <v>25</v>
      </c>
      <c r="D497" s="3" t="s">
        <v>20</v>
      </c>
      <c r="E497" s="4">
        <v>5</v>
      </c>
      <c r="F497" s="4">
        <v>4</v>
      </c>
      <c r="G497" s="5">
        <v>2</v>
      </c>
      <c r="H497" s="5">
        <v>1.59</v>
      </c>
      <c r="I497" s="6">
        <v>2</v>
      </c>
      <c r="J497" s="5">
        <v>2</v>
      </c>
      <c r="K497" s="7">
        <v>0</v>
      </c>
      <c r="L497" s="5">
        <v>0</v>
      </c>
      <c r="M497" s="5">
        <v>0</v>
      </c>
      <c r="N497" s="7">
        <v>0</v>
      </c>
      <c r="O497" s="4">
        <v>0</v>
      </c>
    </row>
    <row r="498" spans="1:15">
      <c r="A498" s="8" t="s">
        <v>99</v>
      </c>
      <c r="B498" s="3" t="s">
        <v>42</v>
      </c>
      <c r="C498" s="3" t="s">
        <v>25</v>
      </c>
      <c r="D498" s="3" t="s">
        <v>20</v>
      </c>
      <c r="E498" s="4">
        <v>5</v>
      </c>
      <c r="F498" s="4">
        <v>4</v>
      </c>
      <c r="G498" s="5">
        <v>0</v>
      </c>
      <c r="H498" s="5">
        <v>1.17</v>
      </c>
      <c r="I498" s="6">
        <v>3</v>
      </c>
      <c r="J498" s="5">
        <v>3</v>
      </c>
      <c r="K498" s="7">
        <v>0</v>
      </c>
      <c r="L498" s="5">
        <v>1</v>
      </c>
      <c r="M498" s="5">
        <v>1</v>
      </c>
      <c r="N498" s="7">
        <v>1</v>
      </c>
      <c r="O498" s="4">
        <v>0</v>
      </c>
    </row>
    <row r="499" spans="1:15">
      <c r="A499" s="8" t="s">
        <v>99</v>
      </c>
      <c r="B499" s="3" t="s">
        <v>24</v>
      </c>
      <c r="C499" s="3" t="s">
        <v>25</v>
      </c>
      <c r="D499" s="3" t="s">
        <v>20</v>
      </c>
      <c r="E499" s="4">
        <v>5</v>
      </c>
      <c r="F499" s="4">
        <v>4</v>
      </c>
      <c r="G499" s="5">
        <v>0</v>
      </c>
      <c r="H499" s="5">
        <v>0</v>
      </c>
      <c r="I499" s="6">
        <v>15</v>
      </c>
      <c r="J499" s="5">
        <v>15</v>
      </c>
      <c r="K499" s="7">
        <v>0</v>
      </c>
      <c r="L499" s="5">
        <v>2</v>
      </c>
      <c r="M499" s="5">
        <v>4</v>
      </c>
      <c r="N499" s="7">
        <v>9</v>
      </c>
      <c r="O499" s="4">
        <v>0</v>
      </c>
    </row>
    <row r="500" spans="1:15">
      <c r="A500" s="8" t="s">
        <v>99</v>
      </c>
      <c r="B500" s="3" t="s">
        <v>49</v>
      </c>
      <c r="C500" s="3" t="s">
        <v>25</v>
      </c>
      <c r="D500" s="3" t="s">
        <v>20</v>
      </c>
      <c r="E500" s="4">
        <v>10</v>
      </c>
      <c r="F500" s="4">
        <v>2</v>
      </c>
      <c r="G500" s="5">
        <v>0</v>
      </c>
      <c r="H500" s="5">
        <v>0</v>
      </c>
      <c r="I500" s="6">
        <v>12</v>
      </c>
      <c r="J500" s="5">
        <v>12</v>
      </c>
      <c r="K500" s="7">
        <v>0</v>
      </c>
      <c r="L500" s="5">
        <v>4</v>
      </c>
      <c r="M500" s="5">
        <v>5</v>
      </c>
      <c r="N500" s="7">
        <v>16</v>
      </c>
      <c r="O500" s="4">
        <v>0</v>
      </c>
    </row>
    <row r="501" spans="1:15">
      <c r="A501" s="8" t="s">
        <v>99</v>
      </c>
      <c r="B501" s="3" t="s">
        <v>50</v>
      </c>
      <c r="C501" s="3" t="s">
        <v>25</v>
      </c>
      <c r="D501" s="3" t="s">
        <v>20</v>
      </c>
      <c r="E501" s="4">
        <v>10</v>
      </c>
      <c r="F501" s="4">
        <v>2</v>
      </c>
      <c r="G501" s="5">
        <v>0</v>
      </c>
      <c r="H501" s="5">
        <v>0</v>
      </c>
      <c r="I501" s="6">
        <v>2</v>
      </c>
      <c r="J501" s="5">
        <v>2</v>
      </c>
      <c r="K501" s="7">
        <v>0</v>
      </c>
      <c r="L501" s="5">
        <v>1</v>
      </c>
      <c r="M501" s="5">
        <v>1</v>
      </c>
      <c r="N501" s="7">
        <v>2</v>
      </c>
      <c r="O501" s="4">
        <v>0</v>
      </c>
    </row>
    <row r="502" spans="1:15">
      <c r="A502" s="8" t="s">
        <v>99</v>
      </c>
      <c r="B502" s="3" t="s">
        <v>43</v>
      </c>
      <c r="C502" s="3" t="s">
        <v>25</v>
      </c>
      <c r="D502" s="3" t="s">
        <v>20</v>
      </c>
      <c r="E502" s="4">
        <v>5</v>
      </c>
      <c r="F502" s="4">
        <v>4</v>
      </c>
      <c r="G502" s="5">
        <v>0</v>
      </c>
      <c r="H502" s="5">
        <v>0.17</v>
      </c>
      <c r="I502" s="6">
        <v>2</v>
      </c>
      <c r="J502" s="5">
        <v>2</v>
      </c>
      <c r="K502" s="7">
        <v>0</v>
      </c>
      <c r="L502" s="5">
        <v>0</v>
      </c>
      <c r="M502" s="5">
        <v>1</v>
      </c>
      <c r="N502" s="7">
        <v>1</v>
      </c>
      <c r="O502" s="4">
        <v>0</v>
      </c>
    </row>
    <row r="503" spans="1:15">
      <c r="A503" s="3" t="s">
        <v>100</v>
      </c>
      <c r="B503" s="3" t="s">
        <v>19</v>
      </c>
      <c r="C503" s="3" t="s">
        <v>17</v>
      </c>
      <c r="D503" s="3" t="s">
        <v>20</v>
      </c>
      <c r="E503" s="4">
        <v>5</v>
      </c>
      <c r="F503" s="4">
        <v>1</v>
      </c>
      <c r="G503" s="5">
        <v>0</v>
      </c>
      <c r="H503" s="5">
        <v>0</v>
      </c>
      <c r="I503" s="6">
        <v>37</v>
      </c>
      <c r="J503" s="5">
        <v>39</v>
      </c>
      <c r="K503" s="7">
        <v>9</v>
      </c>
      <c r="L503" s="5">
        <v>57</v>
      </c>
      <c r="M503" s="5">
        <v>80</v>
      </c>
      <c r="N503" s="7">
        <v>103</v>
      </c>
      <c r="O503" s="4">
        <v>0</v>
      </c>
    </row>
    <row r="504" spans="1:15">
      <c r="A504" s="8" t="s">
        <v>100</v>
      </c>
      <c r="B504" s="3" t="s">
        <v>21</v>
      </c>
      <c r="C504" s="3" t="s">
        <v>17</v>
      </c>
      <c r="D504" s="3" t="s">
        <v>20</v>
      </c>
      <c r="E504" s="4">
        <v>5</v>
      </c>
      <c r="F504" s="4">
        <v>1</v>
      </c>
      <c r="G504" s="5">
        <v>0</v>
      </c>
      <c r="H504" s="5">
        <v>0</v>
      </c>
      <c r="I504" s="6">
        <v>5</v>
      </c>
      <c r="J504" s="5">
        <v>6</v>
      </c>
      <c r="K504" s="7">
        <v>2</v>
      </c>
      <c r="L504" s="5">
        <v>26</v>
      </c>
      <c r="M504" s="5">
        <v>47</v>
      </c>
      <c r="N504" s="7">
        <v>67</v>
      </c>
      <c r="O504" s="4">
        <v>0</v>
      </c>
    </row>
    <row r="505" spans="1:15">
      <c r="A505" s="3" t="s">
        <v>101</v>
      </c>
      <c r="B505" s="3"/>
      <c r="C505" s="3"/>
      <c r="D505" s="3"/>
      <c r="E505" s="4" t="e">
        <v>#N/A</v>
      </c>
      <c r="F505" s="4" t="e">
        <v>#N/A</v>
      </c>
      <c r="G505" s="5">
        <v>36</v>
      </c>
      <c r="H505" s="5">
        <v>491.85</v>
      </c>
      <c r="I505" s="6">
        <v>0</v>
      </c>
      <c r="J505" s="5">
        <v>22191</v>
      </c>
      <c r="K505" s="7">
        <v>1438</v>
      </c>
      <c r="L505" s="5">
        <v>10728</v>
      </c>
      <c r="M505" s="5">
        <v>18516</v>
      </c>
      <c r="N505" s="7">
        <v>34268</v>
      </c>
      <c r="O505" s="4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04"/>
  <sheetViews>
    <sheetView topLeftCell="K1" workbookViewId="0">
      <selection activeCell="Q1" sqref="Q$1:Q$1048576"/>
    </sheetView>
  </sheetViews>
  <sheetFormatPr defaultColWidth="21" defaultRowHeight="14"/>
  <cols>
    <col min="17" max="17" width="21" style="17"/>
    <col min="27" max="30" width="21" style="2"/>
  </cols>
  <sheetData>
    <row r="1" spans="1:40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</v>
      </c>
      <c r="G1" t="s">
        <v>107</v>
      </c>
      <c r="H1" t="s">
        <v>108</v>
      </c>
      <c r="I1" t="s">
        <v>109</v>
      </c>
      <c r="J1" t="s">
        <v>110</v>
      </c>
      <c r="K1" t="s">
        <v>0</v>
      </c>
      <c r="L1" t="s">
        <v>111</v>
      </c>
      <c r="M1" t="s">
        <v>2</v>
      </c>
      <c r="N1" t="s">
        <v>112</v>
      </c>
      <c r="O1" t="s">
        <v>3</v>
      </c>
      <c r="P1" t="s">
        <v>113</v>
      </c>
      <c r="Q1" s="17" t="s">
        <v>114</v>
      </c>
      <c r="R1" t="s">
        <v>9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s="2" t="s">
        <v>10</v>
      </c>
      <c r="AB1" s="2" t="s">
        <v>11</v>
      </c>
      <c r="AC1" s="2" t="s">
        <v>12</v>
      </c>
      <c r="AD1" s="2" t="s">
        <v>13</v>
      </c>
      <c r="AE1" t="s">
        <v>123</v>
      </c>
      <c r="AF1" t="s">
        <v>124</v>
      </c>
      <c r="AG1" t="s">
        <v>6</v>
      </c>
      <c r="AH1" t="s">
        <v>125</v>
      </c>
      <c r="AI1" t="s">
        <v>7</v>
      </c>
      <c r="AJ1" t="s">
        <v>126</v>
      </c>
      <c r="AK1" t="s">
        <v>127</v>
      </c>
      <c r="AL1" t="s">
        <v>128</v>
      </c>
      <c r="AM1" t="s">
        <v>129</v>
      </c>
      <c r="AN1" t="s">
        <v>130</v>
      </c>
    </row>
    <row r="2" spans="1:40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66</v>
      </c>
      <c r="G2" t="s">
        <v>136</v>
      </c>
      <c r="H2" t="s">
        <v>137</v>
      </c>
      <c r="I2" t="s">
        <v>138</v>
      </c>
      <c r="J2" t="s">
        <v>139</v>
      </c>
      <c r="K2" t="s">
        <v>97</v>
      </c>
      <c r="L2" t="s">
        <v>140</v>
      </c>
      <c r="M2" t="s">
        <v>25</v>
      </c>
      <c r="N2" t="s">
        <v>141</v>
      </c>
      <c r="O2" t="s">
        <v>20</v>
      </c>
      <c r="P2">
        <v>1438</v>
      </c>
      <c r="Q2" s="17">
        <v>1438</v>
      </c>
      <c r="R2">
        <v>1419</v>
      </c>
      <c r="S2">
        <v>0</v>
      </c>
      <c r="T2">
        <v>0</v>
      </c>
      <c r="U2">
        <v>15.60387597</v>
      </c>
      <c r="V2">
        <v>-0.18894233</v>
      </c>
      <c r="W2">
        <v>1419</v>
      </c>
      <c r="X2">
        <v>13.26761636</v>
      </c>
      <c r="Y2">
        <v>133.03571429</v>
      </c>
      <c r="Z2">
        <v>106.95214286</v>
      </c>
      <c r="AA2" s="2">
        <v>141</v>
      </c>
      <c r="AB2" s="2">
        <v>1109</v>
      </c>
      <c r="AC2" s="2">
        <v>1547</v>
      </c>
      <c r="AD2" s="2">
        <v>4209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2600</v>
      </c>
      <c r="AN2">
        <v>0</v>
      </c>
    </row>
    <row r="3" spans="1:40">
      <c r="A3" t="s">
        <v>131</v>
      </c>
      <c r="B3" t="s">
        <v>142</v>
      </c>
      <c r="C3" t="s">
        <v>143</v>
      </c>
      <c r="D3" t="s">
        <v>144</v>
      </c>
      <c r="E3" t="s">
        <v>135</v>
      </c>
      <c r="F3" t="s">
        <v>19</v>
      </c>
      <c r="G3" t="s">
        <v>145</v>
      </c>
      <c r="H3" t="s">
        <v>146</v>
      </c>
      <c r="I3" t="s">
        <v>147</v>
      </c>
      <c r="J3" t="s">
        <v>148</v>
      </c>
      <c r="K3" t="s">
        <v>58</v>
      </c>
      <c r="L3" t="s">
        <v>149</v>
      </c>
      <c r="M3" t="s">
        <v>17</v>
      </c>
      <c r="N3" t="s">
        <v>141</v>
      </c>
      <c r="O3" t="s">
        <v>20</v>
      </c>
      <c r="P3">
        <v>594</v>
      </c>
      <c r="Q3" s="17">
        <v>591</v>
      </c>
      <c r="R3">
        <v>587</v>
      </c>
      <c r="S3">
        <v>0.00505051</v>
      </c>
      <c r="T3">
        <v>3</v>
      </c>
      <c r="U3">
        <v>15.09181141</v>
      </c>
      <c r="V3">
        <v>-0.03518305</v>
      </c>
      <c r="W3">
        <v>587</v>
      </c>
      <c r="X3">
        <v>24.61658279</v>
      </c>
      <c r="Y3">
        <v>19</v>
      </c>
      <c r="Z3">
        <v>23.84571429</v>
      </c>
      <c r="AA3" s="2">
        <v>14</v>
      </c>
      <c r="AB3" s="2">
        <v>189</v>
      </c>
      <c r="AC3" s="2">
        <v>335</v>
      </c>
      <c r="AD3" s="2">
        <v>532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347</v>
      </c>
      <c r="AN3">
        <v>0</v>
      </c>
    </row>
    <row r="4" spans="1:40">
      <c r="A4" t="s">
        <v>131</v>
      </c>
      <c r="B4" t="s">
        <v>142</v>
      </c>
      <c r="C4" t="s">
        <v>143</v>
      </c>
      <c r="D4" t="s">
        <v>144</v>
      </c>
      <c r="E4" t="s">
        <v>135</v>
      </c>
      <c r="F4" t="s">
        <v>19</v>
      </c>
      <c r="G4" t="s">
        <v>145</v>
      </c>
      <c r="H4" t="s">
        <v>146</v>
      </c>
      <c r="I4" t="s">
        <v>150</v>
      </c>
      <c r="J4" t="s">
        <v>148</v>
      </c>
      <c r="K4" t="s">
        <v>83</v>
      </c>
      <c r="L4" t="s">
        <v>151</v>
      </c>
      <c r="M4" t="s">
        <v>17</v>
      </c>
      <c r="N4" t="s">
        <v>141</v>
      </c>
      <c r="O4" t="s">
        <v>20</v>
      </c>
      <c r="P4">
        <v>545</v>
      </c>
      <c r="Q4" s="17">
        <v>533</v>
      </c>
      <c r="R4">
        <v>482</v>
      </c>
      <c r="S4">
        <v>0.02201835</v>
      </c>
      <c r="T4">
        <v>12</v>
      </c>
      <c r="U4">
        <v>16.41297468</v>
      </c>
      <c r="V4">
        <v>-0.02206326</v>
      </c>
      <c r="W4">
        <v>527</v>
      </c>
      <c r="X4">
        <v>10.16288019</v>
      </c>
      <c r="Y4">
        <v>30.71428571</v>
      </c>
      <c r="Z4">
        <v>47.4275</v>
      </c>
      <c r="AA4" s="2">
        <v>38</v>
      </c>
      <c r="AB4" s="2">
        <v>312</v>
      </c>
      <c r="AC4" s="2">
        <v>499</v>
      </c>
      <c r="AD4" s="2">
        <v>899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</v>
      </c>
      <c r="AM4">
        <v>2329</v>
      </c>
      <c r="AN4">
        <v>0</v>
      </c>
    </row>
    <row r="5" spans="1:40">
      <c r="A5" t="s">
        <v>131</v>
      </c>
      <c r="B5" t="s">
        <v>142</v>
      </c>
      <c r="C5" t="s">
        <v>143</v>
      </c>
      <c r="D5" t="s">
        <v>144</v>
      </c>
      <c r="E5" t="s">
        <v>135</v>
      </c>
      <c r="F5" t="s">
        <v>19</v>
      </c>
      <c r="G5" t="s">
        <v>145</v>
      </c>
      <c r="H5" t="s">
        <v>146</v>
      </c>
      <c r="I5" t="s">
        <v>152</v>
      </c>
      <c r="J5" t="s">
        <v>148</v>
      </c>
      <c r="K5" t="s">
        <v>79</v>
      </c>
      <c r="L5" t="s">
        <v>153</v>
      </c>
      <c r="M5" t="s">
        <v>17</v>
      </c>
      <c r="N5" t="s">
        <v>141</v>
      </c>
      <c r="O5" t="s">
        <v>20</v>
      </c>
      <c r="P5">
        <v>462</v>
      </c>
      <c r="Q5" s="17">
        <v>454</v>
      </c>
      <c r="R5">
        <v>429</v>
      </c>
      <c r="S5">
        <v>0.01731602</v>
      </c>
      <c r="T5">
        <v>8</v>
      </c>
      <c r="U5">
        <v>50.84313725</v>
      </c>
      <c r="V5">
        <v>0.33946564</v>
      </c>
      <c r="W5">
        <v>451</v>
      </c>
      <c r="X5">
        <v>20.91808303</v>
      </c>
      <c r="Y5">
        <v>13.03571429</v>
      </c>
      <c r="Z5">
        <v>20.50857143</v>
      </c>
      <c r="AA5" s="2">
        <v>12</v>
      </c>
      <c r="AB5" s="2">
        <v>119</v>
      </c>
      <c r="AC5" s="2">
        <v>199</v>
      </c>
      <c r="AD5" s="2">
        <v>389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723</v>
      </c>
      <c r="AN5">
        <v>0</v>
      </c>
    </row>
    <row r="6" spans="1:40">
      <c r="A6" t="s">
        <v>131</v>
      </c>
      <c r="B6" t="s">
        <v>154</v>
      </c>
      <c r="C6" t="s">
        <v>155</v>
      </c>
      <c r="D6" t="s">
        <v>156</v>
      </c>
      <c r="E6" t="s">
        <v>135</v>
      </c>
      <c r="F6" t="s">
        <v>39</v>
      </c>
      <c r="G6" t="s">
        <v>157</v>
      </c>
      <c r="H6" t="s">
        <v>158</v>
      </c>
      <c r="I6" t="s">
        <v>138</v>
      </c>
      <c r="J6" t="s">
        <v>139</v>
      </c>
      <c r="K6" t="s">
        <v>97</v>
      </c>
      <c r="L6" t="s">
        <v>140</v>
      </c>
      <c r="M6" t="s">
        <v>25</v>
      </c>
      <c r="N6" t="s">
        <v>141</v>
      </c>
      <c r="O6" t="s">
        <v>20</v>
      </c>
      <c r="P6">
        <v>448</v>
      </c>
      <c r="Q6" s="17">
        <v>448</v>
      </c>
      <c r="R6">
        <v>442</v>
      </c>
      <c r="S6">
        <v>0</v>
      </c>
      <c r="T6">
        <v>0</v>
      </c>
      <c r="U6">
        <v>276.34210526</v>
      </c>
      <c r="V6">
        <v>0.38713127</v>
      </c>
      <c r="W6">
        <v>448</v>
      </c>
      <c r="X6">
        <v>109.88191423</v>
      </c>
      <c r="Y6">
        <v>1.35714286</v>
      </c>
      <c r="Z6">
        <v>4.0225</v>
      </c>
      <c r="AA6" s="2">
        <v>1</v>
      </c>
      <c r="AB6" s="2">
        <v>6</v>
      </c>
      <c r="AC6" s="2">
        <v>36</v>
      </c>
      <c r="AD6" s="2">
        <v>38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t="s">
        <v>131</v>
      </c>
      <c r="B7" t="s">
        <v>159</v>
      </c>
      <c r="C7" t="s">
        <v>160</v>
      </c>
      <c r="D7" t="s">
        <v>161</v>
      </c>
      <c r="E7" t="s">
        <v>135</v>
      </c>
      <c r="F7" t="s">
        <v>59</v>
      </c>
      <c r="G7" t="s">
        <v>162</v>
      </c>
      <c r="H7" t="s">
        <v>163</v>
      </c>
      <c r="I7" t="s">
        <v>150</v>
      </c>
      <c r="J7" t="s">
        <v>148</v>
      </c>
      <c r="K7" t="s">
        <v>83</v>
      </c>
      <c r="L7" t="s">
        <v>151</v>
      </c>
      <c r="M7" t="s">
        <v>17</v>
      </c>
      <c r="N7" t="s">
        <v>141</v>
      </c>
      <c r="O7" t="s">
        <v>20</v>
      </c>
      <c r="P7">
        <v>338</v>
      </c>
      <c r="Q7" s="17">
        <v>338</v>
      </c>
      <c r="R7">
        <v>338</v>
      </c>
      <c r="S7">
        <v>0</v>
      </c>
      <c r="T7">
        <v>0</v>
      </c>
      <c r="U7">
        <v>16.87951807</v>
      </c>
      <c r="V7">
        <v>-0.00130939</v>
      </c>
      <c r="W7">
        <v>338</v>
      </c>
      <c r="X7">
        <v>25.19232305</v>
      </c>
      <c r="Y7">
        <v>3.21428571</v>
      </c>
      <c r="Z7">
        <v>13.41678571</v>
      </c>
      <c r="AA7" s="2">
        <v>6</v>
      </c>
      <c r="AB7" s="2">
        <v>11</v>
      </c>
      <c r="AC7" s="2">
        <v>45</v>
      </c>
      <c r="AD7" s="2">
        <v>90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188</v>
      </c>
      <c r="AN7">
        <v>0</v>
      </c>
    </row>
    <row r="8" spans="1:40">
      <c r="A8" t="s">
        <v>131</v>
      </c>
      <c r="B8" t="s">
        <v>142</v>
      </c>
      <c r="C8" t="s">
        <v>143</v>
      </c>
      <c r="D8" t="s">
        <v>144</v>
      </c>
      <c r="E8" t="s">
        <v>135</v>
      </c>
      <c r="F8" t="s">
        <v>19</v>
      </c>
      <c r="G8" t="s">
        <v>145</v>
      </c>
      <c r="H8" t="s">
        <v>146</v>
      </c>
      <c r="I8" t="s">
        <v>164</v>
      </c>
      <c r="J8" t="s">
        <v>148</v>
      </c>
      <c r="K8" t="s">
        <v>94</v>
      </c>
      <c r="L8" t="s">
        <v>165</v>
      </c>
      <c r="M8" t="s">
        <v>17</v>
      </c>
      <c r="N8" t="s">
        <v>141</v>
      </c>
      <c r="O8" t="s">
        <v>20</v>
      </c>
      <c r="P8">
        <v>277</v>
      </c>
      <c r="Q8" s="17">
        <v>274</v>
      </c>
      <c r="R8">
        <v>273</v>
      </c>
      <c r="S8">
        <v>0.01083032</v>
      </c>
      <c r="T8">
        <v>3</v>
      </c>
      <c r="U8">
        <v>16.08483755</v>
      </c>
      <c r="V8">
        <v>-0.02657663</v>
      </c>
      <c r="W8">
        <v>273</v>
      </c>
      <c r="X8">
        <v>10.01585451</v>
      </c>
      <c r="Y8">
        <v>27.67857143</v>
      </c>
      <c r="Z8">
        <v>27.25678571</v>
      </c>
      <c r="AA8" s="2">
        <v>25</v>
      </c>
      <c r="AB8" s="2">
        <v>314</v>
      </c>
      <c r="AC8" s="2">
        <v>466</v>
      </c>
      <c r="AD8" s="2">
        <v>777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703</v>
      </c>
      <c r="AN8">
        <v>0</v>
      </c>
    </row>
    <row r="9" spans="1:40">
      <c r="A9" t="s">
        <v>131</v>
      </c>
      <c r="B9" t="s">
        <v>166</v>
      </c>
      <c r="C9" t="s">
        <v>167</v>
      </c>
      <c r="D9" t="s">
        <v>168</v>
      </c>
      <c r="E9" t="s">
        <v>135</v>
      </c>
      <c r="F9" t="s">
        <v>65</v>
      </c>
      <c r="G9" t="s">
        <v>169</v>
      </c>
      <c r="H9" t="s">
        <v>170</v>
      </c>
      <c r="I9" t="s">
        <v>147</v>
      </c>
      <c r="J9" t="s">
        <v>148</v>
      </c>
      <c r="K9" t="s">
        <v>58</v>
      </c>
      <c r="L9" t="s">
        <v>149</v>
      </c>
      <c r="M9" t="s">
        <v>17</v>
      </c>
      <c r="N9" t="s">
        <v>141</v>
      </c>
      <c r="O9" t="s">
        <v>20</v>
      </c>
      <c r="P9">
        <v>250</v>
      </c>
      <c r="Q9" s="17">
        <v>250</v>
      </c>
      <c r="R9">
        <v>250</v>
      </c>
      <c r="S9">
        <v>0</v>
      </c>
      <c r="T9">
        <v>0</v>
      </c>
      <c r="U9">
        <v>15.67346939</v>
      </c>
      <c r="V9">
        <v>-0.00309696</v>
      </c>
      <c r="W9">
        <v>250</v>
      </c>
      <c r="X9">
        <v>56.77670533</v>
      </c>
      <c r="Y9">
        <v>1.78571429</v>
      </c>
      <c r="Z9">
        <v>4.40321429</v>
      </c>
      <c r="AA9" s="2">
        <v>0</v>
      </c>
      <c r="AB9" s="2">
        <v>9</v>
      </c>
      <c r="AC9" s="2">
        <v>39</v>
      </c>
      <c r="AD9" s="2">
        <v>50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t="s">
        <v>131</v>
      </c>
      <c r="B10" t="s">
        <v>166</v>
      </c>
      <c r="C10" t="s">
        <v>167</v>
      </c>
      <c r="D10" t="s">
        <v>168</v>
      </c>
      <c r="E10" t="s">
        <v>135</v>
      </c>
      <c r="F10" t="s">
        <v>65</v>
      </c>
      <c r="G10" t="s">
        <v>169</v>
      </c>
      <c r="H10" t="s">
        <v>170</v>
      </c>
      <c r="I10" t="s">
        <v>150</v>
      </c>
      <c r="J10" t="s">
        <v>148</v>
      </c>
      <c r="K10" t="s">
        <v>83</v>
      </c>
      <c r="L10" t="s">
        <v>151</v>
      </c>
      <c r="M10" t="s">
        <v>17</v>
      </c>
      <c r="N10" t="s">
        <v>141</v>
      </c>
      <c r="O10" t="s">
        <v>20</v>
      </c>
      <c r="P10">
        <v>244</v>
      </c>
      <c r="Q10" s="17">
        <v>244</v>
      </c>
      <c r="R10">
        <v>244</v>
      </c>
      <c r="S10">
        <v>0</v>
      </c>
      <c r="T10">
        <v>0</v>
      </c>
      <c r="U10">
        <v>18.45977011</v>
      </c>
      <c r="V10">
        <v>0.00404423</v>
      </c>
      <c r="W10">
        <v>244</v>
      </c>
      <c r="X10">
        <v>31.31215913</v>
      </c>
      <c r="Y10">
        <v>3.32142857</v>
      </c>
      <c r="Z10">
        <v>7.7925</v>
      </c>
      <c r="AA10" s="2">
        <v>4</v>
      </c>
      <c r="AB10" s="2">
        <v>22</v>
      </c>
      <c r="AC10" s="2">
        <v>51</v>
      </c>
      <c r="AD10" s="2">
        <v>93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129</v>
      </c>
      <c r="AN10">
        <v>0</v>
      </c>
    </row>
    <row r="11" spans="1:40">
      <c r="A11" t="s">
        <v>131</v>
      </c>
      <c r="B11" t="s">
        <v>159</v>
      </c>
      <c r="C11" t="s">
        <v>160</v>
      </c>
      <c r="D11" t="s">
        <v>161</v>
      </c>
      <c r="E11" t="s">
        <v>135</v>
      </c>
      <c r="F11" t="s">
        <v>59</v>
      </c>
      <c r="G11" t="s">
        <v>162</v>
      </c>
      <c r="H11" t="s">
        <v>163</v>
      </c>
      <c r="I11" t="s">
        <v>138</v>
      </c>
      <c r="J11" t="s">
        <v>139</v>
      </c>
      <c r="K11" t="s">
        <v>97</v>
      </c>
      <c r="L11" t="s">
        <v>140</v>
      </c>
      <c r="M11" t="s">
        <v>17</v>
      </c>
      <c r="N11" t="s">
        <v>141</v>
      </c>
      <c r="O11" t="s">
        <v>20</v>
      </c>
      <c r="P11">
        <v>242</v>
      </c>
      <c r="Q11" s="17">
        <v>242</v>
      </c>
      <c r="R11">
        <v>241</v>
      </c>
      <c r="S11">
        <v>0</v>
      </c>
      <c r="T11">
        <v>0</v>
      </c>
      <c r="U11">
        <v>17.17647059</v>
      </c>
      <c r="V11">
        <v>-0.00020768</v>
      </c>
      <c r="W11">
        <v>241</v>
      </c>
      <c r="X11">
        <v>51.09798576</v>
      </c>
      <c r="Y11">
        <v>1.82142857</v>
      </c>
      <c r="Z11">
        <v>4.71642857</v>
      </c>
      <c r="AA11" s="2">
        <v>1</v>
      </c>
      <c r="AB11" s="2">
        <v>2</v>
      </c>
      <c r="AC11" s="2">
        <v>38</v>
      </c>
      <c r="AD11" s="2">
        <v>51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 t="s">
        <v>131</v>
      </c>
      <c r="B12" t="s">
        <v>142</v>
      </c>
      <c r="C12" t="s">
        <v>143</v>
      </c>
      <c r="D12" t="s">
        <v>144</v>
      </c>
      <c r="E12" t="s">
        <v>135</v>
      </c>
      <c r="F12" t="s">
        <v>19</v>
      </c>
      <c r="G12" t="s">
        <v>145</v>
      </c>
      <c r="H12" t="s">
        <v>146</v>
      </c>
      <c r="I12" t="s">
        <v>171</v>
      </c>
      <c r="J12" t="s">
        <v>148</v>
      </c>
      <c r="K12" t="s">
        <v>75</v>
      </c>
      <c r="L12" t="s">
        <v>172</v>
      </c>
      <c r="M12" t="s">
        <v>17</v>
      </c>
      <c r="N12" t="s">
        <v>141</v>
      </c>
      <c r="O12" t="s">
        <v>20</v>
      </c>
      <c r="P12">
        <v>238</v>
      </c>
      <c r="Q12" s="17">
        <v>237</v>
      </c>
      <c r="R12">
        <v>234</v>
      </c>
      <c r="S12">
        <v>0.00420168</v>
      </c>
      <c r="T12">
        <v>1</v>
      </c>
      <c r="U12">
        <v>7.71747212</v>
      </c>
      <c r="V12">
        <v>-0.10208397</v>
      </c>
      <c r="W12">
        <v>234</v>
      </c>
      <c r="X12">
        <v>15.77806675</v>
      </c>
      <c r="Y12">
        <v>9.60714286</v>
      </c>
      <c r="Z12">
        <v>14.83071429</v>
      </c>
      <c r="AA12" s="2">
        <v>35</v>
      </c>
      <c r="AB12" s="2">
        <v>150</v>
      </c>
      <c r="AC12" s="2">
        <v>256</v>
      </c>
      <c r="AD12" s="2">
        <v>269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304</v>
      </c>
      <c r="AN12">
        <v>0</v>
      </c>
    </row>
    <row r="13" spans="1:40">
      <c r="A13" t="s">
        <v>131</v>
      </c>
      <c r="B13" t="s">
        <v>142</v>
      </c>
      <c r="C13" t="s">
        <v>143</v>
      </c>
      <c r="D13" t="s">
        <v>144</v>
      </c>
      <c r="E13" t="s">
        <v>135</v>
      </c>
      <c r="F13" t="s">
        <v>19</v>
      </c>
      <c r="G13" t="s">
        <v>145</v>
      </c>
      <c r="H13" t="s">
        <v>146</v>
      </c>
      <c r="I13" t="s">
        <v>173</v>
      </c>
      <c r="J13" t="s">
        <v>148</v>
      </c>
      <c r="K13" t="s">
        <v>98</v>
      </c>
      <c r="L13" t="s">
        <v>174</v>
      </c>
      <c r="M13" t="s">
        <v>17</v>
      </c>
      <c r="N13" t="s">
        <v>141</v>
      </c>
      <c r="O13" t="s">
        <v>20</v>
      </c>
      <c r="P13">
        <v>227</v>
      </c>
      <c r="Q13" s="17">
        <v>222</v>
      </c>
      <c r="R13">
        <v>221</v>
      </c>
      <c r="S13">
        <v>0.02202643</v>
      </c>
      <c r="T13">
        <v>5</v>
      </c>
      <c r="U13">
        <v>15.6454892</v>
      </c>
      <c r="V13">
        <v>-0.0521206</v>
      </c>
      <c r="W13">
        <v>221</v>
      </c>
      <c r="X13">
        <v>6.46009939</v>
      </c>
      <c r="Y13">
        <v>34.21428571</v>
      </c>
      <c r="Z13">
        <v>34.21</v>
      </c>
      <c r="AA13" s="2">
        <v>41</v>
      </c>
      <c r="AB13" s="2">
        <v>465</v>
      </c>
      <c r="AC13" s="2">
        <v>623</v>
      </c>
      <c r="AD13" s="2">
        <v>980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1349</v>
      </c>
      <c r="AN13">
        <v>0</v>
      </c>
    </row>
    <row r="14" spans="1:40">
      <c r="A14" t="s">
        <v>131</v>
      </c>
      <c r="B14" t="s">
        <v>142</v>
      </c>
      <c r="C14" t="s">
        <v>143</v>
      </c>
      <c r="D14" t="s">
        <v>144</v>
      </c>
      <c r="E14" t="s">
        <v>135</v>
      </c>
      <c r="F14" t="s">
        <v>19</v>
      </c>
      <c r="G14" t="s">
        <v>145</v>
      </c>
      <c r="H14" t="s">
        <v>146</v>
      </c>
      <c r="I14" t="s">
        <v>175</v>
      </c>
      <c r="J14" t="s">
        <v>139</v>
      </c>
      <c r="K14" t="s">
        <v>74</v>
      </c>
      <c r="L14" t="s">
        <v>176</v>
      </c>
      <c r="M14" t="s">
        <v>17</v>
      </c>
      <c r="N14" t="s">
        <v>141</v>
      </c>
      <c r="O14" t="s">
        <v>20</v>
      </c>
      <c r="P14">
        <v>208</v>
      </c>
      <c r="Q14" s="17">
        <v>206</v>
      </c>
      <c r="R14">
        <v>197</v>
      </c>
      <c r="S14">
        <v>0.00961538</v>
      </c>
      <c r="T14">
        <v>2</v>
      </c>
      <c r="U14">
        <v>16.02850877</v>
      </c>
      <c r="V14">
        <v>-0.02281662</v>
      </c>
      <c r="W14">
        <v>197</v>
      </c>
      <c r="X14">
        <v>13.66767431</v>
      </c>
      <c r="Y14">
        <v>20.96428571</v>
      </c>
      <c r="Z14">
        <v>14.41357143</v>
      </c>
      <c r="AA14" s="2">
        <v>31</v>
      </c>
      <c r="AB14" s="2">
        <v>290</v>
      </c>
      <c r="AC14" s="2">
        <v>360</v>
      </c>
      <c r="AD14" s="2">
        <v>587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245</v>
      </c>
      <c r="AN14">
        <v>0</v>
      </c>
    </row>
    <row r="15" spans="1:40">
      <c r="A15" t="s">
        <v>131</v>
      </c>
      <c r="B15" t="s">
        <v>142</v>
      </c>
      <c r="C15" t="s">
        <v>143</v>
      </c>
      <c r="D15" t="s">
        <v>144</v>
      </c>
      <c r="E15" t="s">
        <v>135</v>
      </c>
      <c r="F15" t="s">
        <v>19</v>
      </c>
      <c r="G15" t="s">
        <v>145</v>
      </c>
      <c r="H15" t="s">
        <v>146</v>
      </c>
      <c r="I15" t="s">
        <v>177</v>
      </c>
      <c r="J15" t="s">
        <v>148</v>
      </c>
      <c r="K15" t="s">
        <v>69</v>
      </c>
      <c r="L15" t="s">
        <v>178</v>
      </c>
      <c r="M15" t="s">
        <v>17</v>
      </c>
      <c r="N15" t="s">
        <v>141</v>
      </c>
      <c r="O15" t="s">
        <v>20</v>
      </c>
      <c r="P15">
        <v>201</v>
      </c>
      <c r="Q15" s="17">
        <v>193</v>
      </c>
      <c r="R15">
        <v>191</v>
      </c>
      <c r="S15">
        <v>0.039801</v>
      </c>
      <c r="T15">
        <v>8</v>
      </c>
      <c r="U15">
        <v>13.83709273</v>
      </c>
      <c r="V15">
        <v>-0.05479927</v>
      </c>
      <c r="W15">
        <v>191</v>
      </c>
      <c r="X15">
        <v>9.07040247</v>
      </c>
      <c r="Y15">
        <v>17.03571429</v>
      </c>
      <c r="Z15">
        <v>21.0575</v>
      </c>
      <c r="AA15" s="2">
        <v>45</v>
      </c>
      <c r="AB15" s="2">
        <v>189</v>
      </c>
      <c r="AC15" s="2">
        <v>326</v>
      </c>
      <c r="AD15" s="2">
        <v>477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564</v>
      </c>
      <c r="AN15">
        <v>0</v>
      </c>
    </row>
    <row r="16" spans="1:40">
      <c r="A16" t="s">
        <v>131</v>
      </c>
      <c r="B16" t="s">
        <v>179</v>
      </c>
      <c r="C16" t="s">
        <v>180</v>
      </c>
      <c r="D16" t="s">
        <v>181</v>
      </c>
      <c r="E16" t="s">
        <v>135</v>
      </c>
      <c r="F16" t="s">
        <v>21</v>
      </c>
      <c r="G16" t="s">
        <v>182</v>
      </c>
      <c r="H16" t="s">
        <v>183</v>
      </c>
      <c r="I16" t="s">
        <v>184</v>
      </c>
      <c r="J16" t="s">
        <v>139</v>
      </c>
      <c r="K16" t="s">
        <v>80</v>
      </c>
      <c r="L16" t="s">
        <v>185</v>
      </c>
      <c r="M16" t="s">
        <v>17</v>
      </c>
      <c r="N16" t="s">
        <v>141</v>
      </c>
      <c r="O16" t="s">
        <v>20</v>
      </c>
      <c r="P16">
        <v>199</v>
      </c>
      <c r="Q16" s="17">
        <v>198</v>
      </c>
      <c r="R16">
        <v>192</v>
      </c>
      <c r="S16">
        <v>0.00502513</v>
      </c>
      <c r="T16">
        <v>1</v>
      </c>
      <c r="U16">
        <v>22.53424658</v>
      </c>
      <c r="V16">
        <v>0.03029597</v>
      </c>
      <c r="W16">
        <v>198</v>
      </c>
      <c r="X16">
        <v>24.10329986</v>
      </c>
      <c r="Y16">
        <v>7</v>
      </c>
      <c r="Z16">
        <v>7.96571429</v>
      </c>
      <c r="AA16" s="2">
        <v>8</v>
      </c>
      <c r="AB16" s="2">
        <v>43</v>
      </c>
      <c r="AC16" s="2">
        <v>68</v>
      </c>
      <c r="AD16" s="2">
        <v>207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72</v>
      </c>
      <c r="AN16">
        <v>1</v>
      </c>
    </row>
    <row r="17" spans="1:40">
      <c r="A17" t="s">
        <v>131</v>
      </c>
      <c r="B17" t="s">
        <v>186</v>
      </c>
      <c r="C17" t="s">
        <v>187</v>
      </c>
      <c r="D17" t="s">
        <v>188</v>
      </c>
      <c r="E17" t="s">
        <v>135</v>
      </c>
      <c r="F17" t="s">
        <v>64</v>
      </c>
      <c r="G17" t="s">
        <v>189</v>
      </c>
      <c r="H17" t="s">
        <v>190</v>
      </c>
      <c r="I17" t="s">
        <v>150</v>
      </c>
      <c r="J17" t="s">
        <v>148</v>
      </c>
      <c r="K17" t="s">
        <v>83</v>
      </c>
      <c r="L17" t="s">
        <v>151</v>
      </c>
      <c r="M17" t="s">
        <v>17</v>
      </c>
      <c r="N17" t="s">
        <v>141</v>
      </c>
      <c r="O17" t="s">
        <v>20</v>
      </c>
      <c r="P17">
        <v>195</v>
      </c>
      <c r="Q17" s="17">
        <v>189</v>
      </c>
      <c r="R17">
        <v>186</v>
      </c>
      <c r="S17">
        <v>0.03076923</v>
      </c>
      <c r="T17">
        <v>6</v>
      </c>
      <c r="U17">
        <v>23.56989247</v>
      </c>
      <c r="V17">
        <v>0.02305363</v>
      </c>
      <c r="W17">
        <v>186</v>
      </c>
      <c r="X17">
        <v>25.10242445</v>
      </c>
      <c r="Y17">
        <v>5.17857143</v>
      </c>
      <c r="Z17">
        <v>7.40964286</v>
      </c>
      <c r="AA17" s="2">
        <v>2</v>
      </c>
      <c r="AB17" s="2">
        <v>33</v>
      </c>
      <c r="AC17" s="2">
        <v>58</v>
      </c>
      <c r="AD17" s="2">
        <v>151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181</v>
      </c>
      <c r="AN17">
        <v>0</v>
      </c>
    </row>
    <row r="18" spans="1:40">
      <c r="A18" t="s">
        <v>131</v>
      </c>
      <c r="B18" t="s">
        <v>191</v>
      </c>
      <c r="C18" t="s">
        <v>192</v>
      </c>
      <c r="D18" t="s">
        <v>193</v>
      </c>
      <c r="E18" t="s">
        <v>135</v>
      </c>
      <c r="F18" t="s">
        <v>49</v>
      </c>
      <c r="G18" t="s">
        <v>194</v>
      </c>
      <c r="H18" t="s">
        <v>195</v>
      </c>
      <c r="I18" t="s">
        <v>196</v>
      </c>
      <c r="J18" t="s">
        <v>197</v>
      </c>
      <c r="K18" t="s">
        <v>96</v>
      </c>
      <c r="L18" t="s">
        <v>198</v>
      </c>
      <c r="M18" t="s">
        <v>25</v>
      </c>
      <c r="N18" t="s">
        <v>141</v>
      </c>
      <c r="P18">
        <v>188</v>
      </c>
      <c r="Q18" s="17">
        <v>188</v>
      </c>
      <c r="R18">
        <v>146</v>
      </c>
      <c r="S18">
        <v>0</v>
      </c>
      <c r="T18">
        <v>0</v>
      </c>
      <c r="U18">
        <v>-99</v>
      </c>
      <c r="W18">
        <v>188</v>
      </c>
      <c r="X18">
        <v>-99</v>
      </c>
      <c r="Y18">
        <v>0</v>
      </c>
      <c r="AA18" s="2">
        <v>0</v>
      </c>
      <c r="AB18" s="2">
        <v>0</v>
      </c>
      <c r="AC18" s="2">
        <v>0</v>
      </c>
      <c r="AD18" s="2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610</v>
      </c>
      <c r="AN18">
        <v>0</v>
      </c>
    </row>
    <row r="19" spans="1:40">
      <c r="A19" t="s">
        <v>131</v>
      </c>
      <c r="B19" t="s">
        <v>142</v>
      </c>
      <c r="C19" t="s">
        <v>143</v>
      </c>
      <c r="D19" t="s">
        <v>144</v>
      </c>
      <c r="E19" t="s">
        <v>135</v>
      </c>
      <c r="F19" t="s">
        <v>19</v>
      </c>
      <c r="G19" t="s">
        <v>145</v>
      </c>
      <c r="H19" t="s">
        <v>146</v>
      </c>
      <c r="I19" t="s">
        <v>199</v>
      </c>
      <c r="J19" t="s">
        <v>148</v>
      </c>
      <c r="K19" t="s">
        <v>78</v>
      </c>
      <c r="L19" t="s">
        <v>200</v>
      </c>
      <c r="M19" t="s">
        <v>17</v>
      </c>
      <c r="N19" t="s">
        <v>141</v>
      </c>
      <c r="O19" t="s">
        <v>20</v>
      </c>
      <c r="P19">
        <v>181</v>
      </c>
      <c r="Q19" s="17">
        <v>174</v>
      </c>
      <c r="R19">
        <v>172</v>
      </c>
      <c r="S19">
        <v>0.03867403</v>
      </c>
      <c r="T19">
        <v>7</v>
      </c>
      <c r="U19">
        <v>20.68016194</v>
      </c>
      <c r="V19">
        <v>0.03330085</v>
      </c>
      <c r="W19">
        <v>172</v>
      </c>
      <c r="X19">
        <v>12.72122141</v>
      </c>
      <c r="Y19">
        <v>11.07142857</v>
      </c>
      <c r="Z19">
        <v>13.52071429</v>
      </c>
      <c r="AA19" s="2">
        <v>14</v>
      </c>
      <c r="AB19" s="2">
        <v>134</v>
      </c>
      <c r="AC19" s="2">
        <v>210</v>
      </c>
      <c r="AD19" s="2">
        <v>310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394</v>
      </c>
      <c r="AN19">
        <v>0</v>
      </c>
    </row>
    <row r="20" spans="1:40">
      <c r="A20" t="s">
        <v>131</v>
      </c>
      <c r="B20" t="s">
        <v>142</v>
      </c>
      <c r="C20" t="s">
        <v>143</v>
      </c>
      <c r="D20" t="s">
        <v>144</v>
      </c>
      <c r="E20" t="s">
        <v>135</v>
      </c>
      <c r="F20" t="s">
        <v>19</v>
      </c>
      <c r="G20" t="s">
        <v>145</v>
      </c>
      <c r="H20" t="s">
        <v>146</v>
      </c>
      <c r="I20" t="s">
        <v>138</v>
      </c>
      <c r="J20" t="s">
        <v>139</v>
      </c>
      <c r="K20" t="s">
        <v>97</v>
      </c>
      <c r="L20" t="s">
        <v>140</v>
      </c>
      <c r="M20" t="s">
        <v>17</v>
      </c>
      <c r="N20" t="s">
        <v>141</v>
      </c>
      <c r="O20" t="s">
        <v>20</v>
      </c>
      <c r="P20">
        <v>178</v>
      </c>
      <c r="Q20" s="17">
        <v>175</v>
      </c>
      <c r="R20">
        <v>164</v>
      </c>
      <c r="S20">
        <v>0.01685393</v>
      </c>
      <c r="T20">
        <v>3</v>
      </c>
      <c r="U20">
        <v>10.80045872</v>
      </c>
      <c r="V20">
        <v>-0.22972694</v>
      </c>
      <c r="W20">
        <v>164</v>
      </c>
      <c r="X20">
        <v>4.01908013</v>
      </c>
      <c r="Y20">
        <v>43.85714286</v>
      </c>
      <c r="Z20">
        <v>40.80535714</v>
      </c>
      <c r="AA20" s="2">
        <v>58</v>
      </c>
      <c r="AB20" s="2">
        <v>522</v>
      </c>
      <c r="AC20" s="2">
        <v>705</v>
      </c>
      <c r="AD20" s="2">
        <v>1242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1432</v>
      </c>
      <c r="AN20">
        <v>0</v>
      </c>
    </row>
    <row r="21" spans="1:40">
      <c r="A21" t="s">
        <v>131</v>
      </c>
      <c r="B21" t="s">
        <v>166</v>
      </c>
      <c r="C21" t="s">
        <v>167</v>
      </c>
      <c r="D21" t="s">
        <v>168</v>
      </c>
      <c r="E21" t="s">
        <v>135</v>
      </c>
      <c r="F21" t="s">
        <v>65</v>
      </c>
      <c r="G21" t="s">
        <v>169</v>
      </c>
      <c r="H21" t="s">
        <v>170</v>
      </c>
      <c r="I21" t="s">
        <v>138</v>
      </c>
      <c r="J21" t="s">
        <v>139</v>
      </c>
      <c r="K21" t="s">
        <v>97</v>
      </c>
      <c r="L21" t="s">
        <v>140</v>
      </c>
      <c r="M21" t="s">
        <v>17</v>
      </c>
      <c r="N21" t="s">
        <v>141</v>
      </c>
      <c r="O21" t="s">
        <v>20</v>
      </c>
      <c r="P21">
        <v>175</v>
      </c>
      <c r="Q21" s="17">
        <v>175</v>
      </c>
      <c r="R21">
        <v>175</v>
      </c>
      <c r="S21">
        <v>0</v>
      </c>
      <c r="T21">
        <v>0</v>
      </c>
      <c r="U21">
        <v>58.27777778</v>
      </c>
      <c r="V21">
        <v>0.02899762</v>
      </c>
      <c r="W21">
        <v>175</v>
      </c>
      <c r="X21">
        <v>86.11599297</v>
      </c>
      <c r="Y21">
        <v>0.82142857</v>
      </c>
      <c r="Z21">
        <v>2.03214286</v>
      </c>
      <c r="AA21" s="2">
        <v>1</v>
      </c>
      <c r="AB21" s="2">
        <v>3</v>
      </c>
      <c r="AC21" s="2">
        <v>12</v>
      </c>
      <c r="AD21" s="2">
        <v>23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>
      <c r="A22" t="s">
        <v>131</v>
      </c>
      <c r="B22" t="s">
        <v>142</v>
      </c>
      <c r="C22" t="s">
        <v>143</v>
      </c>
      <c r="D22" t="s">
        <v>144</v>
      </c>
      <c r="E22" t="s">
        <v>135</v>
      </c>
      <c r="F22" t="s">
        <v>19</v>
      </c>
      <c r="G22" t="s">
        <v>145</v>
      </c>
      <c r="H22" t="s">
        <v>146</v>
      </c>
      <c r="I22" t="s">
        <v>201</v>
      </c>
      <c r="J22" t="s">
        <v>148</v>
      </c>
      <c r="K22" t="s">
        <v>67</v>
      </c>
      <c r="L22" t="s">
        <v>202</v>
      </c>
      <c r="M22" t="s">
        <v>17</v>
      </c>
      <c r="N22" t="s">
        <v>141</v>
      </c>
      <c r="O22" t="s">
        <v>20</v>
      </c>
      <c r="P22">
        <v>170</v>
      </c>
      <c r="Q22" s="17">
        <v>168</v>
      </c>
      <c r="R22">
        <v>168</v>
      </c>
      <c r="S22">
        <v>0.01176471</v>
      </c>
      <c r="T22">
        <v>2</v>
      </c>
      <c r="U22">
        <v>11.64227642</v>
      </c>
      <c r="V22">
        <v>-0.08288744</v>
      </c>
      <c r="W22">
        <v>168</v>
      </c>
      <c r="X22">
        <v>10.70477664</v>
      </c>
      <c r="Y22">
        <v>14.78571429</v>
      </c>
      <c r="Z22">
        <v>15.69392857</v>
      </c>
      <c r="AA22" s="2">
        <v>41</v>
      </c>
      <c r="AB22" s="2">
        <v>225</v>
      </c>
      <c r="AC22" s="2">
        <v>308</v>
      </c>
      <c r="AD22" s="2">
        <v>414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381</v>
      </c>
      <c r="AN22">
        <v>0</v>
      </c>
    </row>
    <row r="23" spans="1:40">
      <c r="A23" t="s">
        <v>131</v>
      </c>
      <c r="B23" t="s">
        <v>159</v>
      </c>
      <c r="C23" t="s">
        <v>160</v>
      </c>
      <c r="D23" t="s">
        <v>161</v>
      </c>
      <c r="E23" t="s">
        <v>135</v>
      </c>
      <c r="F23" t="s">
        <v>59</v>
      </c>
      <c r="G23" t="s">
        <v>162</v>
      </c>
      <c r="H23" t="s">
        <v>163</v>
      </c>
      <c r="I23" t="s">
        <v>184</v>
      </c>
      <c r="J23" t="s">
        <v>139</v>
      </c>
      <c r="K23" t="s">
        <v>80</v>
      </c>
      <c r="L23" t="s">
        <v>185</v>
      </c>
      <c r="M23" t="s">
        <v>17</v>
      </c>
      <c r="N23" t="s">
        <v>141</v>
      </c>
      <c r="O23" t="s">
        <v>20</v>
      </c>
      <c r="P23">
        <v>166</v>
      </c>
      <c r="Q23" s="17">
        <v>166</v>
      </c>
      <c r="R23">
        <v>166</v>
      </c>
      <c r="S23">
        <v>0</v>
      </c>
      <c r="T23">
        <v>0</v>
      </c>
      <c r="U23">
        <v>13.14285714</v>
      </c>
      <c r="V23">
        <v>-0.02057047</v>
      </c>
      <c r="W23">
        <v>166</v>
      </c>
      <c r="X23">
        <v>18.76236225</v>
      </c>
      <c r="Y23">
        <v>4.64285714</v>
      </c>
      <c r="Z23">
        <v>8.8475</v>
      </c>
      <c r="AA23" s="2">
        <v>13</v>
      </c>
      <c r="AB23" s="2">
        <v>31</v>
      </c>
      <c r="AC23" s="2">
        <v>90</v>
      </c>
      <c r="AD23" s="2">
        <v>130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50</v>
      </c>
      <c r="AN23">
        <v>0</v>
      </c>
    </row>
    <row r="24" spans="1:40">
      <c r="A24" t="s">
        <v>131</v>
      </c>
      <c r="B24" t="s">
        <v>186</v>
      </c>
      <c r="C24" t="s">
        <v>187</v>
      </c>
      <c r="D24" t="s">
        <v>188</v>
      </c>
      <c r="E24" t="s">
        <v>135</v>
      </c>
      <c r="F24" t="s">
        <v>64</v>
      </c>
      <c r="G24" t="s">
        <v>189</v>
      </c>
      <c r="H24" t="s">
        <v>190</v>
      </c>
      <c r="I24" t="s">
        <v>203</v>
      </c>
      <c r="J24" t="s">
        <v>139</v>
      </c>
      <c r="K24" t="s">
        <v>88</v>
      </c>
      <c r="L24" t="s">
        <v>204</v>
      </c>
      <c r="M24" t="s">
        <v>17</v>
      </c>
      <c r="N24" t="s">
        <v>141</v>
      </c>
      <c r="O24" t="s">
        <v>20</v>
      </c>
      <c r="P24">
        <v>164</v>
      </c>
      <c r="Q24" s="17">
        <v>95</v>
      </c>
      <c r="R24">
        <v>95</v>
      </c>
      <c r="S24">
        <v>0.42073171</v>
      </c>
      <c r="T24">
        <v>69</v>
      </c>
      <c r="U24">
        <v>23.47727273</v>
      </c>
      <c r="V24">
        <v>0.01072577</v>
      </c>
      <c r="W24">
        <v>95</v>
      </c>
      <c r="X24">
        <v>33.66662448</v>
      </c>
      <c r="Y24">
        <v>1.96428571</v>
      </c>
      <c r="Z24">
        <v>2.82178571</v>
      </c>
      <c r="AA24" s="2">
        <v>4</v>
      </c>
      <c r="AB24" s="2">
        <v>23</v>
      </c>
      <c r="AC24" s="2">
        <v>40</v>
      </c>
      <c r="AD24" s="2">
        <v>67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>
      <c r="A25" t="s">
        <v>131</v>
      </c>
      <c r="B25" t="s">
        <v>159</v>
      </c>
      <c r="C25" t="s">
        <v>160</v>
      </c>
      <c r="D25" t="s">
        <v>161</v>
      </c>
      <c r="E25" t="s">
        <v>135</v>
      </c>
      <c r="F25" t="s">
        <v>59</v>
      </c>
      <c r="G25" t="s">
        <v>162</v>
      </c>
      <c r="H25" t="s">
        <v>163</v>
      </c>
      <c r="I25" t="s">
        <v>164</v>
      </c>
      <c r="J25" t="s">
        <v>148</v>
      </c>
      <c r="K25" t="s">
        <v>94</v>
      </c>
      <c r="L25" t="s">
        <v>165</v>
      </c>
      <c r="M25" t="s">
        <v>17</v>
      </c>
      <c r="N25" t="s">
        <v>141</v>
      </c>
      <c r="O25" t="s">
        <v>20</v>
      </c>
      <c r="P25">
        <v>162</v>
      </c>
      <c r="Q25" s="17">
        <v>162</v>
      </c>
      <c r="R25">
        <v>162</v>
      </c>
      <c r="S25">
        <v>0</v>
      </c>
      <c r="T25">
        <v>0</v>
      </c>
      <c r="U25">
        <v>20.5106383</v>
      </c>
      <c r="V25">
        <v>0.0059733</v>
      </c>
      <c r="W25">
        <v>162</v>
      </c>
      <c r="X25">
        <v>32.33994011</v>
      </c>
      <c r="Y25">
        <v>1.67857143</v>
      </c>
      <c r="Z25">
        <v>5.00928571</v>
      </c>
      <c r="AA25" s="2">
        <v>2</v>
      </c>
      <c r="AB25" s="2">
        <v>6</v>
      </c>
      <c r="AC25" s="2">
        <v>16</v>
      </c>
      <c r="AD25" s="2">
        <v>47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26</v>
      </c>
      <c r="AN25">
        <v>0</v>
      </c>
    </row>
    <row r="26" spans="1:40">
      <c r="A26" t="s">
        <v>131</v>
      </c>
      <c r="B26" t="s">
        <v>186</v>
      </c>
      <c r="C26" t="s">
        <v>187</v>
      </c>
      <c r="D26" t="s">
        <v>188</v>
      </c>
      <c r="E26" t="s">
        <v>135</v>
      </c>
      <c r="F26" t="s">
        <v>64</v>
      </c>
      <c r="G26" t="s">
        <v>189</v>
      </c>
      <c r="H26" t="s">
        <v>190</v>
      </c>
      <c r="I26" t="s">
        <v>152</v>
      </c>
      <c r="J26" t="s">
        <v>148</v>
      </c>
      <c r="K26" t="s">
        <v>79</v>
      </c>
      <c r="L26" t="s">
        <v>153</v>
      </c>
      <c r="M26" t="s">
        <v>17</v>
      </c>
      <c r="N26" t="s">
        <v>141</v>
      </c>
      <c r="O26" t="s">
        <v>20</v>
      </c>
      <c r="P26">
        <v>158</v>
      </c>
      <c r="Q26" s="17">
        <v>153</v>
      </c>
      <c r="R26">
        <v>1</v>
      </c>
      <c r="S26">
        <v>0.03164557</v>
      </c>
      <c r="T26">
        <v>5</v>
      </c>
      <c r="U26">
        <v>87.38636364</v>
      </c>
      <c r="V26">
        <v>0.12133428</v>
      </c>
      <c r="W26">
        <v>153</v>
      </c>
      <c r="X26">
        <v>0.30664768</v>
      </c>
      <c r="Y26">
        <v>2.46428571</v>
      </c>
      <c r="Z26">
        <v>3.26107143</v>
      </c>
      <c r="AA26" s="2">
        <v>0</v>
      </c>
      <c r="AB26" s="2">
        <v>17</v>
      </c>
      <c r="AC26" s="2">
        <v>27</v>
      </c>
      <c r="AD26" s="2">
        <v>75</v>
      </c>
      <c r="AE26">
        <v>0</v>
      </c>
      <c r="AF26">
        <v>0</v>
      </c>
      <c r="AG26">
        <v>0</v>
      </c>
      <c r="AH26">
        <v>0</v>
      </c>
      <c r="AI26">
        <v>34.71</v>
      </c>
      <c r="AJ26">
        <v>0</v>
      </c>
      <c r="AK26">
        <v>0</v>
      </c>
      <c r="AL26">
        <v>0</v>
      </c>
      <c r="AM26">
        <v>0</v>
      </c>
      <c r="AN26">
        <v>3</v>
      </c>
    </row>
    <row r="27" spans="1:40">
      <c r="A27" t="s">
        <v>131</v>
      </c>
      <c r="B27" t="s">
        <v>186</v>
      </c>
      <c r="C27" t="s">
        <v>187</v>
      </c>
      <c r="D27" t="s">
        <v>188</v>
      </c>
      <c r="E27" t="s">
        <v>135</v>
      </c>
      <c r="F27" t="s">
        <v>64</v>
      </c>
      <c r="G27" t="s">
        <v>189</v>
      </c>
      <c r="H27" t="s">
        <v>190</v>
      </c>
      <c r="I27" t="s">
        <v>199</v>
      </c>
      <c r="J27" t="s">
        <v>148</v>
      </c>
      <c r="K27" t="s">
        <v>78</v>
      </c>
      <c r="L27" t="s">
        <v>200</v>
      </c>
      <c r="M27" t="s">
        <v>17</v>
      </c>
      <c r="N27" t="s">
        <v>141</v>
      </c>
      <c r="O27" t="s">
        <v>20</v>
      </c>
      <c r="P27">
        <v>145</v>
      </c>
      <c r="Q27" s="17">
        <v>48</v>
      </c>
      <c r="R27">
        <v>48</v>
      </c>
      <c r="S27">
        <v>0.66896552</v>
      </c>
      <c r="T27">
        <v>97</v>
      </c>
      <c r="U27">
        <v>27.27272727</v>
      </c>
      <c r="V27">
        <v>0.00431805</v>
      </c>
      <c r="W27">
        <v>48</v>
      </c>
      <c r="X27">
        <v>36.57142857</v>
      </c>
      <c r="Y27">
        <v>0.96428571</v>
      </c>
      <c r="Z27">
        <v>1.3125</v>
      </c>
      <c r="AA27" s="2">
        <v>3</v>
      </c>
      <c r="AB27" s="2">
        <v>9</v>
      </c>
      <c r="AC27" s="2">
        <v>9</v>
      </c>
      <c r="AD27" s="2">
        <v>30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>
      <c r="A28" t="s">
        <v>131</v>
      </c>
      <c r="B28" t="s">
        <v>205</v>
      </c>
      <c r="C28" t="s">
        <v>206</v>
      </c>
      <c r="D28" t="s">
        <v>207</v>
      </c>
      <c r="E28" t="s">
        <v>135</v>
      </c>
      <c r="F28" t="s">
        <v>61</v>
      </c>
      <c r="G28" t="s">
        <v>208</v>
      </c>
      <c r="H28" t="s">
        <v>209</v>
      </c>
      <c r="I28" t="s">
        <v>184</v>
      </c>
      <c r="J28" t="s">
        <v>139</v>
      </c>
      <c r="K28" t="s">
        <v>80</v>
      </c>
      <c r="L28" t="s">
        <v>185</v>
      </c>
      <c r="M28" t="s">
        <v>17</v>
      </c>
      <c r="N28" t="s">
        <v>141</v>
      </c>
      <c r="O28" t="s">
        <v>20</v>
      </c>
      <c r="P28">
        <v>144</v>
      </c>
      <c r="Q28" s="17">
        <v>47</v>
      </c>
      <c r="R28">
        <v>47</v>
      </c>
      <c r="S28">
        <v>0.67361111</v>
      </c>
      <c r="T28">
        <v>97</v>
      </c>
      <c r="U28">
        <v>37.68965517</v>
      </c>
      <c r="V28">
        <v>0.02326759</v>
      </c>
      <c r="W28">
        <v>47</v>
      </c>
      <c r="X28">
        <v>14.08390411</v>
      </c>
      <c r="Y28">
        <v>1.53571429</v>
      </c>
      <c r="Z28">
        <v>3.33714286</v>
      </c>
      <c r="AA28" s="2">
        <v>2</v>
      </c>
      <c r="AB28" s="2">
        <v>13</v>
      </c>
      <c r="AC28" s="2">
        <v>19</v>
      </c>
      <c r="AD28" s="2">
        <v>43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11</v>
      </c>
      <c r="AN28">
        <v>0</v>
      </c>
    </row>
    <row r="29" spans="1:40">
      <c r="A29" t="s">
        <v>131</v>
      </c>
      <c r="B29" t="s">
        <v>210</v>
      </c>
      <c r="C29" t="s">
        <v>211</v>
      </c>
      <c r="D29" t="s">
        <v>212</v>
      </c>
      <c r="E29" t="s">
        <v>135</v>
      </c>
      <c r="F29" t="s">
        <v>16</v>
      </c>
      <c r="G29" t="s">
        <v>213</v>
      </c>
      <c r="H29" t="s">
        <v>214</v>
      </c>
      <c r="I29" t="s">
        <v>147</v>
      </c>
      <c r="J29" t="s">
        <v>148</v>
      </c>
      <c r="K29" t="s">
        <v>58</v>
      </c>
      <c r="L29" t="s">
        <v>149</v>
      </c>
      <c r="M29" t="s">
        <v>17</v>
      </c>
      <c r="N29" t="s">
        <v>141</v>
      </c>
      <c r="O29" t="s">
        <v>20</v>
      </c>
      <c r="P29">
        <v>143</v>
      </c>
      <c r="Q29" s="17">
        <v>143</v>
      </c>
      <c r="R29">
        <v>142</v>
      </c>
      <c r="S29">
        <v>0</v>
      </c>
      <c r="T29">
        <v>0</v>
      </c>
      <c r="U29">
        <v>19.65217391</v>
      </c>
      <c r="V29">
        <v>0.00644468</v>
      </c>
      <c r="W29">
        <v>142</v>
      </c>
      <c r="X29">
        <v>27.03290726</v>
      </c>
      <c r="Y29">
        <v>3.03571429</v>
      </c>
      <c r="Z29">
        <v>5.25285714</v>
      </c>
      <c r="AA29" s="2">
        <v>5</v>
      </c>
      <c r="AB29" s="2">
        <v>23</v>
      </c>
      <c r="AC29" s="2">
        <v>47</v>
      </c>
      <c r="AD29" s="2">
        <v>90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54</v>
      </c>
      <c r="AN29">
        <v>0</v>
      </c>
    </row>
    <row r="30" spans="1:40">
      <c r="A30" t="s">
        <v>131</v>
      </c>
      <c r="B30" t="s">
        <v>159</v>
      </c>
      <c r="C30" t="s">
        <v>160</v>
      </c>
      <c r="D30" t="s">
        <v>161</v>
      </c>
      <c r="E30" t="s">
        <v>135</v>
      </c>
      <c r="F30" t="s">
        <v>59</v>
      </c>
      <c r="G30" t="s">
        <v>162</v>
      </c>
      <c r="H30" t="s">
        <v>163</v>
      </c>
      <c r="I30" t="s">
        <v>215</v>
      </c>
      <c r="J30" t="s">
        <v>148</v>
      </c>
      <c r="K30" t="s">
        <v>76</v>
      </c>
      <c r="L30" t="s">
        <v>216</v>
      </c>
      <c r="M30" t="s">
        <v>17</v>
      </c>
      <c r="N30" t="s">
        <v>141</v>
      </c>
      <c r="O30" t="s">
        <v>20</v>
      </c>
      <c r="P30">
        <v>140</v>
      </c>
      <c r="Q30" s="17">
        <v>140</v>
      </c>
      <c r="R30">
        <v>139</v>
      </c>
      <c r="S30">
        <v>0</v>
      </c>
      <c r="T30">
        <v>0</v>
      </c>
      <c r="U30">
        <v>19.98</v>
      </c>
      <c r="V30">
        <v>0.00531146</v>
      </c>
      <c r="W30">
        <v>139</v>
      </c>
      <c r="X30">
        <v>25.48287828</v>
      </c>
      <c r="Y30">
        <v>1.78571429</v>
      </c>
      <c r="Z30">
        <v>5.45464286</v>
      </c>
      <c r="AA30" s="2">
        <v>1</v>
      </c>
      <c r="AB30" s="2">
        <v>2</v>
      </c>
      <c r="AC30" s="2">
        <v>24</v>
      </c>
      <c r="AD30" s="2">
        <v>50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69</v>
      </c>
      <c r="AN30">
        <v>0</v>
      </c>
    </row>
    <row r="31" spans="1:40">
      <c r="A31" t="s">
        <v>131</v>
      </c>
      <c r="B31" t="s">
        <v>159</v>
      </c>
      <c r="C31" t="s">
        <v>160</v>
      </c>
      <c r="D31" t="s">
        <v>161</v>
      </c>
      <c r="E31" t="s">
        <v>135</v>
      </c>
      <c r="F31" t="s">
        <v>59</v>
      </c>
      <c r="G31" t="s">
        <v>162</v>
      </c>
      <c r="H31" t="s">
        <v>163</v>
      </c>
      <c r="I31" t="s">
        <v>217</v>
      </c>
      <c r="J31" t="s">
        <v>148</v>
      </c>
      <c r="K31" t="s">
        <v>84</v>
      </c>
      <c r="L31" t="s">
        <v>218</v>
      </c>
      <c r="M31" t="s">
        <v>17</v>
      </c>
      <c r="N31" t="s">
        <v>141</v>
      </c>
      <c r="O31" t="s">
        <v>20</v>
      </c>
      <c r="P31">
        <v>138</v>
      </c>
      <c r="Q31" s="17">
        <v>138</v>
      </c>
      <c r="R31">
        <v>138</v>
      </c>
      <c r="S31">
        <v>0</v>
      </c>
      <c r="T31">
        <v>0</v>
      </c>
      <c r="U31">
        <v>11.30434783</v>
      </c>
      <c r="V31">
        <v>-0.03255699</v>
      </c>
      <c r="W31">
        <v>138</v>
      </c>
      <c r="X31">
        <v>12.8205979</v>
      </c>
      <c r="Y31">
        <v>5</v>
      </c>
      <c r="Z31">
        <v>10.76392857</v>
      </c>
      <c r="AA31" s="2">
        <v>38</v>
      </c>
      <c r="AB31" s="2">
        <v>91</v>
      </c>
      <c r="AC31" s="2">
        <v>109</v>
      </c>
      <c r="AD31" s="2">
        <v>140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243</v>
      </c>
      <c r="AN31">
        <v>0</v>
      </c>
    </row>
    <row r="32" spans="1:40">
      <c r="A32" t="s">
        <v>131</v>
      </c>
      <c r="B32" t="s">
        <v>186</v>
      </c>
      <c r="C32" t="s">
        <v>187</v>
      </c>
      <c r="D32" t="s">
        <v>188</v>
      </c>
      <c r="E32" t="s">
        <v>135</v>
      </c>
      <c r="F32" t="s">
        <v>64</v>
      </c>
      <c r="G32" t="s">
        <v>189</v>
      </c>
      <c r="H32" t="s">
        <v>190</v>
      </c>
      <c r="I32" t="s">
        <v>147</v>
      </c>
      <c r="J32" t="s">
        <v>148</v>
      </c>
      <c r="K32" t="s">
        <v>58</v>
      </c>
      <c r="L32" t="s">
        <v>149</v>
      </c>
      <c r="M32" t="s">
        <v>17</v>
      </c>
      <c r="N32" t="s">
        <v>141</v>
      </c>
      <c r="O32" t="s">
        <v>20</v>
      </c>
      <c r="P32">
        <v>137</v>
      </c>
      <c r="Q32" s="17">
        <v>133</v>
      </c>
      <c r="R32">
        <v>132</v>
      </c>
      <c r="S32">
        <v>0.02919708</v>
      </c>
      <c r="T32">
        <v>4</v>
      </c>
      <c r="U32">
        <v>18.23684211</v>
      </c>
      <c r="V32">
        <v>0.0028641</v>
      </c>
      <c r="W32">
        <v>132</v>
      </c>
      <c r="X32">
        <v>28.19652121</v>
      </c>
      <c r="Y32">
        <v>4.03571429</v>
      </c>
      <c r="Z32">
        <v>4.68142857</v>
      </c>
      <c r="AA32" s="2">
        <v>4</v>
      </c>
      <c r="AB32" s="2">
        <v>36</v>
      </c>
      <c r="AC32" s="2">
        <v>60</v>
      </c>
      <c r="AD32" s="2">
        <v>117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28</v>
      </c>
      <c r="AN32">
        <v>0</v>
      </c>
    </row>
    <row r="33" spans="1:40">
      <c r="A33" t="s">
        <v>131</v>
      </c>
      <c r="B33" t="s">
        <v>210</v>
      </c>
      <c r="C33" t="s">
        <v>211</v>
      </c>
      <c r="D33" t="s">
        <v>212</v>
      </c>
      <c r="E33" t="s">
        <v>135</v>
      </c>
      <c r="F33" t="s">
        <v>16</v>
      </c>
      <c r="G33" t="s">
        <v>213</v>
      </c>
      <c r="H33" t="s">
        <v>214</v>
      </c>
      <c r="I33" t="s">
        <v>150</v>
      </c>
      <c r="J33" t="s">
        <v>148</v>
      </c>
      <c r="K33" t="s">
        <v>83</v>
      </c>
      <c r="L33" t="s">
        <v>151</v>
      </c>
      <c r="M33" t="s">
        <v>17</v>
      </c>
      <c r="N33" t="s">
        <v>141</v>
      </c>
      <c r="O33" t="s">
        <v>20</v>
      </c>
      <c r="P33">
        <v>134</v>
      </c>
      <c r="Q33" s="17">
        <v>134</v>
      </c>
      <c r="R33">
        <v>133</v>
      </c>
      <c r="S33">
        <v>0</v>
      </c>
      <c r="T33">
        <v>0</v>
      </c>
      <c r="U33">
        <v>9.19662921</v>
      </c>
      <c r="V33">
        <v>-0.05689567</v>
      </c>
      <c r="W33">
        <v>133</v>
      </c>
      <c r="X33">
        <v>9.24367662</v>
      </c>
      <c r="Y33">
        <v>7.60714286</v>
      </c>
      <c r="Z33">
        <v>14.38821429</v>
      </c>
      <c r="AA33" s="2">
        <v>4</v>
      </c>
      <c r="AB33" s="2">
        <v>63</v>
      </c>
      <c r="AC33" s="2">
        <v>130</v>
      </c>
      <c r="AD33" s="2">
        <v>222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451</v>
      </c>
      <c r="AN33">
        <v>0</v>
      </c>
    </row>
    <row r="34" spans="1:40">
      <c r="A34" t="s">
        <v>131</v>
      </c>
      <c r="B34" t="s">
        <v>219</v>
      </c>
      <c r="C34" t="s">
        <v>220</v>
      </c>
      <c r="D34" t="s">
        <v>221</v>
      </c>
      <c r="E34" t="s">
        <v>135</v>
      </c>
      <c r="F34" t="s">
        <v>63</v>
      </c>
      <c r="G34" t="s">
        <v>222</v>
      </c>
      <c r="H34" t="s">
        <v>223</v>
      </c>
      <c r="I34" t="s">
        <v>173</v>
      </c>
      <c r="J34" t="s">
        <v>148</v>
      </c>
      <c r="K34" t="s">
        <v>98</v>
      </c>
      <c r="L34" t="s">
        <v>174</v>
      </c>
      <c r="M34" t="s">
        <v>17</v>
      </c>
      <c r="N34" t="s">
        <v>141</v>
      </c>
      <c r="O34" t="s">
        <v>20</v>
      </c>
      <c r="P34">
        <v>133</v>
      </c>
      <c r="Q34" s="17">
        <v>133</v>
      </c>
      <c r="R34">
        <v>133</v>
      </c>
      <c r="S34">
        <v>0</v>
      </c>
      <c r="T34">
        <v>0</v>
      </c>
      <c r="U34">
        <v>18.22222222</v>
      </c>
      <c r="V34">
        <v>0.00334171</v>
      </c>
      <c r="W34">
        <v>133</v>
      </c>
      <c r="X34">
        <v>17.14469868</v>
      </c>
      <c r="Y34">
        <v>3.35714286</v>
      </c>
      <c r="Z34">
        <v>7.7575</v>
      </c>
      <c r="AA34" s="2">
        <v>12</v>
      </c>
      <c r="AB34" s="2">
        <v>32</v>
      </c>
      <c r="AC34" s="2">
        <v>59</v>
      </c>
      <c r="AD34" s="2">
        <v>94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199</v>
      </c>
      <c r="AN34">
        <v>0</v>
      </c>
    </row>
    <row r="35" spans="1:40">
      <c r="A35" t="s">
        <v>131</v>
      </c>
      <c r="B35" t="s">
        <v>179</v>
      </c>
      <c r="C35" t="s">
        <v>180</v>
      </c>
      <c r="D35" t="s">
        <v>181</v>
      </c>
      <c r="E35" t="s">
        <v>135</v>
      </c>
      <c r="F35" t="s">
        <v>21</v>
      </c>
      <c r="G35" t="s">
        <v>182</v>
      </c>
      <c r="H35" t="s">
        <v>183</v>
      </c>
      <c r="I35" t="s">
        <v>152</v>
      </c>
      <c r="J35" t="s">
        <v>148</v>
      </c>
      <c r="K35" t="s">
        <v>79</v>
      </c>
      <c r="L35" t="s">
        <v>153</v>
      </c>
      <c r="M35" t="s">
        <v>17</v>
      </c>
      <c r="N35" t="s">
        <v>141</v>
      </c>
      <c r="O35" t="s">
        <v>20</v>
      </c>
      <c r="P35">
        <v>132</v>
      </c>
      <c r="Q35" s="17">
        <v>132</v>
      </c>
      <c r="R35">
        <v>129</v>
      </c>
      <c r="S35">
        <v>0</v>
      </c>
      <c r="T35">
        <v>0</v>
      </c>
      <c r="U35">
        <v>31.57894737</v>
      </c>
      <c r="V35">
        <v>0.02136777</v>
      </c>
      <c r="W35">
        <v>132</v>
      </c>
      <c r="X35">
        <v>39.58790004</v>
      </c>
      <c r="Y35">
        <v>2.78571429</v>
      </c>
      <c r="Z35">
        <v>3.25857143</v>
      </c>
      <c r="AA35" s="2">
        <v>7</v>
      </c>
      <c r="AB35" s="2">
        <v>26</v>
      </c>
      <c r="AC35" s="2">
        <v>28</v>
      </c>
      <c r="AD35" s="2">
        <v>93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31</v>
      </c>
      <c r="AN35">
        <v>0</v>
      </c>
    </row>
    <row r="36" spans="1:40">
      <c r="A36" t="s">
        <v>131</v>
      </c>
      <c r="B36" t="s">
        <v>159</v>
      </c>
      <c r="C36" t="s">
        <v>160</v>
      </c>
      <c r="D36" t="s">
        <v>161</v>
      </c>
      <c r="E36" t="s">
        <v>135</v>
      </c>
      <c r="F36" t="s">
        <v>59</v>
      </c>
      <c r="G36" t="s">
        <v>162</v>
      </c>
      <c r="H36" t="s">
        <v>163</v>
      </c>
      <c r="I36" t="s">
        <v>171</v>
      </c>
      <c r="J36" t="s">
        <v>148</v>
      </c>
      <c r="K36" t="s">
        <v>75</v>
      </c>
      <c r="L36" t="s">
        <v>172</v>
      </c>
      <c r="M36" t="s">
        <v>17</v>
      </c>
      <c r="N36" t="s">
        <v>141</v>
      </c>
      <c r="O36" t="s">
        <v>20</v>
      </c>
      <c r="P36">
        <v>131</v>
      </c>
      <c r="Q36" s="17">
        <v>131</v>
      </c>
      <c r="R36">
        <v>131</v>
      </c>
      <c r="S36">
        <v>0</v>
      </c>
      <c r="T36">
        <v>0</v>
      </c>
      <c r="U36">
        <v>21.85294118</v>
      </c>
      <c r="V36">
        <v>0.00611336</v>
      </c>
      <c r="W36">
        <v>131</v>
      </c>
      <c r="X36">
        <v>42.34587855</v>
      </c>
      <c r="Y36">
        <v>1.21428571</v>
      </c>
      <c r="Z36">
        <v>3.09357143</v>
      </c>
      <c r="AA36" s="2">
        <v>1</v>
      </c>
      <c r="AB36" s="2">
        <v>14</v>
      </c>
      <c r="AC36" s="2">
        <v>29</v>
      </c>
      <c r="AD36" s="2">
        <v>34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>
      <c r="A37" t="s">
        <v>131</v>
      </c>
      <c r="B37" t="s">
        <v>224</v>
      </c>
      <c r="C37" t="s">
        <v>225</v>
      </c>
      <c r="D37" t="s">
        <v>226</v>
      </c>
      <c r="E37" t="s">
        <v>227</v>
      </c>
      <c r="F37" t="s">
        <v>68</v>
      </c>
      <c r="G37" t="s">
        <v>228</v>
      </c>
      <c r="H37" t="s">
        <v>229</v>
      </c>
      <c r="I37" t="s">
        <v>196</v>
      </c>
      <c r="J37" t="s">
        <v>197</v>
      </c>
      <c r="K37" t="s">
        <v>96</v>
      </c>
      <c r="L37" t="s">
        <v>198</v>
      </c>
      <c r="M37" t="s">
        <v>25</v>
      </c>
      <c r="N37" t="s">
        <v>141</v>
      </c>
      <c r="P37">
        <v>130</v>
      </c>
      <c r="Q37" s="17">
        <v>130</v>
      </c>
      <c r="R37">
        <v>123</v>
      </c>
      <c r="S37">
        <v>0</v>
      </c>
      <c r="T37">
        <v>0</v>
      </c>
      <c r="U37">
        <v>-99</v>
      </c>
      <c r="W37">
        <v>130</v>
      </c>
      <c r="X37">
        <v>-99</v>
      </c>
      <c r="Y37">
        <v>0</v>
      </c>
      <c r="AA37" s="2">
        <v>0</v>
      </c>
      <c r="AB37" s="2">
        <v>0</v>
      </c>
      <c r="AC37" s="2">
        <v>0</v>
      </c>
      <c r="AD37" s="2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 spans="1:40">
      <c r="A38" t="s">
        <v>131</v>
      </c>
      <c r="B38" t="s">
        <v>219</v>
      </c>
      <c r="C38" t="s">
        <v>220</v>
      </c>
      <c r="D38" t="s">
        <v>221</v>
      </c>
      <c r="E38" t="s">
        <v>135</v>
      </c>
      <c r="F38" t="s">
        <v>63</v>
      </c>
      <c r="G38" t="s">
        <v>222</v>
      </c>
      <c r="H38" t="s">
        <v>223</v>
      </c>
      <c r="I38" t="s">
        <v>184</v>
      </c>
      <c r="J38" t="s">
        <v>139</v>
      </c>
      <c r="K38" t="s">
        <v>80</v>
      </c>
      <c r="L38" t="s">
        <v>185</v>
      </c>
      <c r="M38" t="s">
        <v>17</v>
      </c>
      <c r="N38" t="s">
        <v>141</v>
      </c>
      <c r="O38" t="s">
        <v>20</v>
      </c>
      <c r="P38">
        <v>128</v>
      </c>
      <c r="Q38" s="17">
        <v>128</v>
      </c>
      <c r="R38">
        <v>126</v>
      </c>
      <c r="S38">
        <v>0</v>
      </c>
      <c r="T38">
        <v>0</v>
      </c>
      <c r="U38">
        <v>16.52272727</v>
      </c>
      <c r="V38">
        <v>-0.00262569</v>
      </c>
      <c r="W38">
        <v>126</v>
      </c>
      <c r="X38">
        <v>25.81778266</v>
      </c>
      <c r="Y38">
        <v>3.32142857</v>
      </c>
      <c r="Z38">
        <v>4.88035714</v>
      </c>
      <c r="AA38" s="2">
        <v>5</v>
      </c>
      <c r="AB38" s="2">
        <v>30</v>
      </c>
      <c r="AC38" s="2">
        <v>59</v>
      </c>
      <c r="AD38" s="2">
        <v>93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</row>
    <row r="39" spans="1:40">
      <c r="A39" t="s">
        <v>131</v>
      </c>
      <c r="B39" t="s">
        <v>186</v>
      </c>
      <c r="C39" t="s">
        <v>187</v>
      </c>
      <c r="D39" t="s">
        <v>188</v>
      </c>
      <c r="E39" t="s">
        <v>135</v>
      </c>
      <c r="F39" t="s">
        <v>64</v>
      </c>
      <c r="G39" t="s">
        <v>189</v>
      </c>
      <c r="H39" t="s">
        <v>190</v>
      </c>
      <c r="I39" t="s">
        <v>138</v>
      </c>
      <c r="J39" t="s">
        <v>139</v>
      </c>
      <c r="K39" t="s">
        <v>97</v>
      </c>
      <c r="L39" t="s">
        <v>140</v>
      </c>
      <c r="M39" t="s">
        <v>17</v>
      </c>
      <c r="N39" t="s">
        <v>141</v>
      </c>
      <c r="O39" t="s">
        <v>20</v>
      </c>
      <c r="P39">
        <v>127</v>
      </c>
      <c r="Q39" s="17">
        <v>127</v>
      </c>
      <c r="R39">
        <v>123</v>
      </c>
      <c r="S39">
        <v>0</v>
      </c>
      <c r="T39">
        <v>0</v>
      </c>
      <c r="U39">
        <v>18.21176471</v>
      </c>
      <c r="V39">
        <v>0.00312042</v>
      </c>
      <c r="W39">
        <v>123</v>
      </c>
      <c r="X39">
        <v>20.02558437</v>
      </c>
      <c r="Y39">
        <v>4.32142857</v>
      </c>
      <c r="Z39">
        <v>6.14214286</v>
      </c>
      <c r="AA39" s="2">
        <v>5</v>
      </c>
      <c r="AB39" s="2">
        <v>35</v>
      </c>
      <c r="AC39" s="2">
        <v>64</v>
      </c>
      <c r="AD39" s="2">
        <v>130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23</v>
      </c>
      <c r="AN39">
        <v>0</v>
      </c>
    </row>
    <row r="40" spans="1:40">
      <c r="A40" t="s">
        <v>131</v>
      </c>
      <c r="B40" t="s">
        <v>186</v>
      </c>
      <c r="C40" t="s">
        <v>187</v>
      </c>
      <c r="D40" t="s">
        <v>188</v>
      </c>
      <c r="E40" t="s">
        <v>135</v>
      </c>
      <c r="F40" t="s">
        <v>64</v>
      </c>
      <c r="G40" t="s">
        <v>189</v>
      </c>
      <c r="H40" t="s">
        <v>190</v>
      </c>
      <c r="I40" t="s">
        <v>217</v>
      </c>
      <c r="J40" t="s">
        <v>148</v>
      </c>
      <c r="K40" t="s">
        <v>84</v>
      </c>
      <c r="L40" t="s">
        <v>218</v>
      </c>
      <c r="M40" t="s">
        <v>17</v>
      </c>
      <c r="N40" t="s">
        <v>141</v>
      </c>
      <c r="O40" t="s">
        <v>20</v>
      </c>
      <c r="P40">
        <v>125</v>
      </c>
      <c r="Q40" s="17">
        <v>119</v>
      </c>
      <c r="R40">
        <v>119</v>
      </c>
      <c r="S40">
        <v>0.048</v>
      </c>
      <c r="T40">
        <v>6</v>
      </c>
      <c r="U40">
        <v>50.56363636</v>
      </c>
      <c r="V40">
        <v>0.0720369</v>
      </c>
      <c r="W40">
        <v>119</v>
      </c>
      <c r="X40">
        <v>24.91214953</v>
      </c>
      <c r="Y40">
        <v>3.25</v>
      </c>
      <c r="Z40">
        <v>4.77678571</v>
      </c>
      <c r="AA40" s="2">
        <v>2</v>
      </c>
      <c r="AB40" s="2">
        <v>19</v>
      </c>
      <c r="AC40" s="2">
        <v>36</v>
      </c>
      <c r="AD40" s="2">
        <v>100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50</v>
      </c>
      <c r="AN40">
        <v>0</v>
      </c>
    </row>
    <row r="41" spans="1:40">
      <c r="A41" t="s">
        <v>131</v>
      </c>
      <c r="B41" t="s">
        <v>186</v>
      </c>
      <c r="C41" t="s">
        <v>187</v>
      </c>
      <c r="D41" t="s">
        <v>188</v>
      </c>
      <c r="E41" t="s">
        <v>135</v>
      </c>
      <c r="F41" t="s">
        <v>64</v>
      </c>
      <c r="G41" t="s">
        <v>189</v>
      </c>
      <c r="H41" t="s">
        <v>190</v>
      </c>
      <c r="I41" t="s">
        <v>171</v>
      </c>
      <c r="J41" t="s">
        <v>148</v>
      </c>
      <c r="K41" t="s">
        <v>75</v>
      </c>
      <c r="L41" t="s">
        <v>172</v>
      </c>
      <c r="M41" t="s">
        <v>17</v>
      </c>
      <c r="N41" t="s">
        <v>141</v>
      </c>
      <c r="O41" t="s">
        <v>20</v>
      </c>
      <c r="P41">
        <v>123</v>
      </c>
      <c r="Q41" s="17">
        <v>123</v>
      </c>
      <c r="R41">
        <v>121</v>
      </c>
      <c r="S41">
        <v>0</v>
      </c>
      <c r="T41">
        <v>0</v>
      </c>
      <c r="U41">
        <v>25.359375</v>
      </c>
      <c r="V41">
        <v>0.02035515</v>
      </c>
      <c r="W41">
        <v>121</v>
      </c>
      <c r="X41">
        <v>26.40068573</v>
      </c>
      <c r="Y41">
        <v>3.42857143</v>
      </c>
      <c r="Z41">
        <v>4.58321429</v>
      </c>
      <c r="AA41" s="2">
        <v>4</v>
      </c>
      <c r="AB41" s="2">
        <v>21</v>
      </c>
      <c r="AC41" s="2">
        <v>37</v>
      </c>
      <c r="AD41" s="2">
        <v>99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33</v>
      </c>
      <c r="AN41">
        <v>0</v>
      </c>
    </row>
    <row r="42" spans="1:40">
      <c r="A42" t="s">
        <v>131</v>
      </c>
      <c r="B42" t="s">
        <v>205</v>
      </c>
      <c r="C42" t="s">
        <v>206</v>
      </c>
      <c r="D42" t="s">
        <v>207</v>
      </c>
      <c r="E42" t="s">
        <v>135</v>
      </c>
      <c r="F42" t="s">
        <v>61</v>
      </c>
      <c r="G42" t="s">
        <v>208</v>
      </c>
      <c r="H42" t="s">
        <v>209</v>
      </c>
      <c r="I42" t="s">
        <v>217</v>
      </c>
      <c r="J42" t="s">
        <v>148</v>
      </c>
      <c r="K42" t="s">
        <v>84</v>
      </c>
      <c r="L42" t="s">
        <v>218</v>
      </c>
      <c r="M42" t="s">
        <v>17</v>
      </c>
      <c r="N42" t="s">
        <v>141</v>
      </c>
      <c r="O42" t="s">
        <v>20</v>
      </c>
      <c r="P42">
        <v>123</v>
      </c>
      <c r="Q42" s="17">
        <v>123</v>
      </c>
      <c r="R42">
        <v>123</v>
      </c>
      <c r="S42">
        <v>0</v>
      </c>
      <c r="T42">
        <v>0</v>
      </c>
      <c r="U42">
        <v>128.08695652</v>
      </c>
      <c r="V42">
        <v>0.10016352</v>
      </c>
      <c r="W42">
        <v>123</v>
      </c>
      <c r="X42">
        <v>35.67433188</v>
      </c>
      <c r="Y42">
        <v>1.25</v>
      </c>
      <c r="Z42">
        <v>3.44785714</v>
      </c>
      <c r="AA42" s="2">
        <v>0</v>
      </c>
      <c r="AB42" s="2">
        <v>8</v>
      </c>
      <c r="AC42" s="2">
        <v>15</v>
      </c>
      <c r="AD42" s="2">
        <v>39</v>
      </c>
      <c r="AE42">
        <v>0</v>
      </c>
      <c r="AF42">
        <v>0</v>
      </c>
      <c r="AG42">
        <v>0</v>
      </c>
      <c r="AH42">
        <v>0</v>
      </c>
      <c r="AI42">
        <v>27.47</v>
      </c>
      <c r="AJ42">
        <v>0</v>
      </c>
      <c r="AK42">
        <v>0</v>
      </c>
      <c r="AL42">
        <v>0</v>
      </c>
      <c r="AM42">
        <v>0</v>
      </c>
      <c r="AN42">
        <v>0</v>
      </c>
    </row>
    <row r="43" spans="1:40">
      <c r="A43" t="s">
        <v>131</v>
      </c>
      <c r="B43" t="s">
        <v>205</v>
      </c>
      <c r="C43" t="s">
        <v>206</v>
      </c>
      <c r="D43" t="s">
        <v>207</v>
      </c>
      <c r="E43" t="s">
        <v>135</v>
      </c>
      <c r="F43" t="s">
        <v>61</v>
      </c>
      <c r="G43" t="s">
        <v>208</v>
      </c>
      <c r="H43" t="s">
        <v>209</v>
      </c>
      <c r="I43" t="s">
        <v>230</v>
      </c>
      <c r="J43" t="s">
        <v>148</v>
      </c>
      <c r="K43" t="s">
        <v>91</v>
      </c>
      <c r="L43" t="s">
        <v>231</v>
      </c>
      <c r="M43" t="s">
        <v>17</v>
      </c>
      <c r="N43" t="s">
        <v>141</v>
      </c>
      <c r="O43" t="s">
        <v>20</v>
      </c>
      <c r="P43">
        <v>122</v>
      </c>
      <c r="Q43" s="17">
        <v>59</v>
      </c>
      <c r="R43">
        <v>59</v>
      </c>
      <c r="S43">
        <v>0.51639344</v>
      </c>
      <c r="T43">
        <v>63</v>
      </c>
      <c r="U43">
        <v>43.8</v>
      </c>
      <c r="V43">
        <v>0.02084334</v>
      </c>
      <c r="W43">
        <v>59</v>
      </c>
      <c r="X43">
        <v>25.28700444</v>
      </c>
      <c r="Y43">
        <v>1.39285714</v>
      </c>
      <c r="Z43">
        <v>2.33321429</v>
      </c>
      <c r="AA43" s="2">
        <v>2</v>
      </c>
      <c r="AB43" s="2">
        <v>12</v>
      </c>
      <c r="AC43" s="2">
        <v>16</v>
      </c>
      <c r="AD43" s="2">
        <v>43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39</v>
      </c>
      <c r="AN43">
        <v>0</v>
      </c>
    </row>
    <row r="44" spans="1:40">
      <c r="A44" t="s">
        <v>131</v>
      </c>
      <c r="B44" t="s">
        <v>166</v>
      </c>
      <c r="C44" t="s">
        <v>167</v>
      </c>
      <c r="D44" t="s">
        <v>168</v>
      </c>
      <c r="E44" t="s">
        <v>135</v>
      </c>
      <c r="F44" t="s">
        <v>65</v>
      </c>
      <c r="G44" t="s">
        <v>169</v>
      </c>
      <c r="H44" t="s">
        <v>170</v>
      </c>
      <c r="I44" t="s">
        <v>184</v>
      </c>
      <c r="J44" t="s">
        <v>139</v>
      </c>
      <c r="K44" t="s">
        <v>80</v>
      </c>
      <c r="L44" t="s">
        <v>185</v>
      </c>
      <c r="M44" t="s">
        <v>17</v>
      </c>
      <c r="N44" t="s">
        <v>141</v>
      </c>
      <c r="O44" t="s">
        <v>20</v>
      </c>
      <c r="P44">
        <v>122</v>
      </c>
      <c r="Q44" s="17">
        <v>122</v>
      </c>
      <c r="R44">
        <v>122</v>
      </c>
      <c r="S44">
        <v>0</v>
      </c>
      <c r="T44">
        <v>0</v>
      </c>
      <c r="U44">
        <v>22.03703704</v>
      </c>
      <c r="V44">
        <v>0.01010828</v>
      </c>
      <c r="W44">
        <v>122</v>
      </c>
      <c r="X44">
        <v>42.39791486</v>
      </c>
      <c r="Y44">
        <v>1.96428571</v>
      </c>
      <c r="Z44">
        <v>2.8775</v>
      </c>
      <c r="AA44" s="2">
        <v>2</v>
      </c>
      <c r="AB44" s="2">
        <v>6</v>
      </c>
      <c r="AC44" s="2">
        <v>32</v>
      </c>
      <c r="AD44" s="2">
        <v>55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>
      <c r="A45" t="s">
        <v>131</v>
      </c>
      <c r="B45" t="s">
        <v>159</v>
      </c>
      <c r="C45" t="s">
        <v>160</v>
      </c>
      <c r="D45" t="s">
        <v>161</v>
      </c>
      <c r="E45" t="s">
        <v>135</v>
      </c>
      <c r="F45" t="s">
        <v>59</v>
      </c>
      <c r="G45" t="s">
        <v>162</v>
      </c>
      <c r="H45" t="s">
        <v>163</v>
      </c>
      <c r="I45" t="s">
        <v>175</v>
      </c>
      <c r="J45" t="s">
        <v>139</v>
      </c>
      <c r="K45" t="s">
        <v>74</v>
      </c>
      <c r="L45" t="s">
        <v>176</v>
      </c>
      <c r="M45" t="s">
        <v>17</v>
      </c>
      <c r="N45" t="s">
        <v>141</v>
      </c>
      <c r="O45" t="s">
        <v>20</v>
      </c>
      <c r="P45">
        <v>122</v>
      </c>
      <c r="Q45" s="17">
        <v>122</v>
      </c>
      <c r="R45">
        <v>122</v>
      </c>
      <c r="S45">
        <v>0</v>
      </c>
      <c r="T45">
        <v>0</v>
      </c>
      <c r="U45">
        <v>82.78571429</v>
      </c>
      <c r="V45">
        <v>0.03603035</v>
      </c>
      <c r="W45">
        <v>122</v>
      </c>
      <c r="X45">
        <v>55.16795866</v>
      </c>
      <c r="Y45">
        <v>0.5</v>
      </c>
      <c r="Z45">
        <v>2.21142857</v>
      </c>
      <c r="AA45" s="2">
        <v>0</v>
      </c>
      <c r="AB45" s="2">
        <v>0</v>
      </c>
      <c r="AC45" s="2">
        <v>9</v>
      </c>
      <c r="AD45" s="2">
        <v>14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>
      <c r="A46" t="s">
        <v>131</v>
      </c>
      <c r="B46" t="s">
        <v>205</v>
      </c>
      <c r="C46" t="s">
        <v>206</v>
      </c>
      <c r="D46" t="s">
        <v>207</v>
      </c>
      <c r="E46" t="s">
        <v>135</v>
      </c>
      <c r="F46" t="s">
        <v>61</v>
      </c>
      <c r="G46" t="s">
        <v>208</v>
      </c>
      <c r="H46" t="s">
        <v>209</v>
      </c>
      <c r="I46" t="s">
        <v>203</v>
      </c>
      <c r="J46" t="s">
        <v>139</v>
      </c>
      <c r="K46" t="s">
        <v>88</v>
      </c>
      <c r="L46" t="s">
        <v>204</v>
      </c>
      <c r="M46" t="s">
        <v>17</v>
      </c>
      <c r="N46" t="s">
        <v>141</v>
      </c>
      <c r="O46" t="s">
        <v>20</v>
      </c>
      <c r="P46">
        <v>119</v>
      </c>
      <c r="Q46" s="17">
        <v>119</v>
      </c>
      <c r="R46">
        <v>119</v>
      </c>
      <c r="S46">
        <v>0</v>
      </c>
      <c r="T46">
        <v>0</v>
      </c>
      <c r="U46">
        <v>21.21518987</v>
      </c>
      <c r="V46">
        <v>0.02456694</v>
      </c>
      <c r="W46">
        <v>119</v>
      </c>
      <c r="X46">
        <v>10.91814667</v>
      </c>
      <c r="Y46">
        <v>7.46428571</v>
      </c>
      <c r="Z46">
        <v>10.89928571</v>
      </c>
      <c r="AA46" s="2">
        <v>7</v>
      </c>
      <c r="AB46" s="2">
        <v>62</v>
      </c>
      <c r="AC46" s="2">
        <v>117</v>
      </c>
      <c r="AD46" s="2">
        <v>237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194</v>
      </c>
      <c r="AN46">
        <v>0</v>
      </c>
    </row>
    <row r="47" spans="1:40">
      <c r="A47" t="s">
        <v>131</v>
      </c>
      <c r="B47" t="s">
        <v>159</v>
      </c>
      <c r="C47" t="s">
        <v>160</v>
      </c>
      <c r="D47" t="s">
        <v>161</v>
      </c>
      <c r="E47" t="s">
        <v>135</v>
      </c>
      <c r="F47" t="s">
        <v>59</v>
      </c>
      <c r="G47" t="s">
        <v>162</v>
      </c>
      <c r="H47" t="s">
        <v>163</v>
      </c>
      <c r="I47" t="s">
        <v>147</v>
      </c>
      <c r="J47" t="s">
        <v>148</v>
      </c>
      <c r="K47" t="s">
        <v>58</v>
      </c>
      <c r="L47" t="s">
        <v>149</v>
      </c>
      <c r="M47" t="s">
        <v>17</v>
      </c>
      <c r="N47" t="s">
        <v>141</v>
      </c>
      <c r="O47" t="s">
        <v>20</v>
      </c>
      <c r="P47">
        <v>119</v>
      </c>
      <c r="Q47" s="17">
        <v>119</v>
      </c>
      <c r="R47">
        <v>118</v>
      </c>
      <c r="S47">
        <v>0</v>
      </c>
      <c r="T47">
        <v>0</v>
      </c>
      <c r="U47">
        <v>20.02439024</v>
      </c>
      <c r="V47">
        <v>0.00442544</v>
      </c>
      <c r="W47">
        <v>118</v>
      </c>
      <c r="X47">
        <v>17.78639104</v>
      </c>
      <c r="Y47">
        <v>1.60714286</v>
      </c>
      <c r="Z47">
        <v>6.63428571</v>
      </c>
      <c r="AA47" s="2">
        <v>1</v>
      </c>
      <c r="AB47" s="2">
        <v>9</v>
      </c>
      <c r="AC47" s="2">
        <v>30</v>
      </c>
      <c r="AD47" s="2">
        <v>45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136</v>
      </c>
      <c r="AN47">
        <v>0</v>
      </c>
    </row>
    <row r="48" spans="1:40">
      <c r="A48" t="s">
        <v>131</v>
      </c>
      <c r="B48" t="s">
        <v>232</v>
      </c>
      <c r="C48" t="s">
        <v>233</v>
      </c>
      <c r="D48" t="s">
        <v>234</v>
      </c>
      <c r="E48" t="s">
        <v>135</v>
      </c>
      <c r="F48" t="s">
        <v>23</v>
      </c>
      <c r="G48" t="s">
        <v>235</v>
      </c>
      <c r="H48" t="s">
        <v>236</v>
      </c>
      <c r="I48" t="s">
        <v>150</v>
      </c>
      <c r="J48" t="s">
        <v>148</v>
      </c>
      <c r="K48" t="s">
        <v>83</v>
      </c>
      <c r="L48" t="s">
        <v>151</v>
      </c>
      <c r="M48" t="s">
        <v>17</v>
      </c>
      <c r="N48" t="s">
        <v>141</v>
      </c>
      <c r="O48" t="s">
        <v>20</v>
      </c>
      <c r="P48">
        <v>118</v>
      </c>
      <c r="Q48" s="17">
        <v>118</v>
      </c>
      <c r="R48">
        <v>118</v>
      </c>
      <c r="S48">
        <v>0</v>
      </c>
      <c r="T48">
        <v>0</v>
      </c>
      <c r="U48">
        <v>44.08510638</v>
      </c>
      <c r="V48">
        <v>0.04956103</v>
      </c>
      <c r="W48">
        <v>118</v>
      </c>
      <c r="X48">
        <v>44.73933649</v>
      </c>
      <c r="Y48">
        <v>2.21428571</v>
      </c>
      <c r="Z48">
        <v>2.6375</v>
      </c>
      <c r="AA48" s="2">
        <v>1</v>
      </c>
      <c r="AB48" s="2">
        <v>23</v>
      </c>
      <c r="AC48" s="2">
        <v>31</v>
      </c>
      <c r="AD48" s="2">
        <v>66</v>
      </c>
      <c r="AE48">
        <v>0</v>
      </c>
      <c r="AF48">
        <v>0</v>
      </c>
      <c r="AG48">
        <v>0</v>
      </c>
      <c r="AH48">
        <v>3</v>
      </c>
      <c r="AI48">
        <v>19.42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>
      <c r="A49" t="s">
        <v>131</v>
      </c>
      <c r="B49" t="s">
        <v>166</v>
      </c>
      <c r="C49" t="s">
        <v>167</v>
      </c>
      <c r="D49" t="s">
        <v>168</v>
      </c>
      <c r="E49" t="s">
        <v>135</v>
      </c>
      <c r="F49" t="s">
        <v>65</v>
      </c>
      <c r="G49" t="s">
        <v>169</v>
      </c>
      <c r="H49" t="s">
        <v>170</v>
      </c>
      <c r="I49" t="s">
        <v>175</v>
      </c>
      <c r="J49" t="s">
        <v>139</v>
      </c>
      <c r="K49" t="s">
        <v>74</v>
      </c>
      <c r="L49" t="s">
        <v>176</v>
      </c>
      <c r="M49" t="s">
        <v>17</v>
      </c>
      <c r="N49" t="s">
        <v>141</v>
      </c>
      <c r="O49" t="s">
        <v>20</v>
      </c>
      <c r="P49">
        <v>118</v>
      </c>
      <c r="Q49" s="17">
        <v>118</v>
      </c>
      <c r="R49">
        <v>118</v>
      </c>
      <c r="S49">
        <v>0</v>
      </c>
      <c r="T49">
        <v>0</v>
      </c>
      <c r="U49">
        <v>62.88888889</v>
      </c>
      <c r="V49">
        <v>0.03225905</v>
      </c>
      <c r="W49">
        <v>118</v>
      </c>
      <c r="X49">
        <v>77.4496015</v>
      </c>
      <c r="Y49">
        <v>0.64285714</v>
      </c>
      <c r="Z49">
        <v>1.52357143</v>
      </c>
      <c r="AA49" s="2">
        <v>0</v>
      </c>
      <c r="AB49" s="2">
        <v>2</v>
      </c>
      <c r="AC49" s="2">
        <v>9</v>
      </c>
      <c r="AD49" s="2">
        <v>18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</row>
    <row r="50" spans="1:40">
      <c r="A50" t="s">
        <v>131</v>
      </c>
      <c r="B50" t="s">
        <v>142</v>
      </c>
      <c r="C50" t="s">
        <v>143</v>
      </c>
      <c r="D50" t="s">
        <v>144</v>
      </c>
      <c r="E50" t="s">
        <v>135</v>
      </c>
      <c r="F50" t="s">
        <v>19</v>
      </c>
      <c r="G50" t="s">
        <v>145</v>
      </c>
      <c r="H50" t="s">
        <v>146</v>
      </c>
      <c r="I50" t="s">
        <v>230</v>
      </c>
      <c r="J50" t="s">
        <v>148</v>
      </c>
      <c r="K50" t="s">
        <v>91</v>
      </c>
      <c r="L50" t="s">
        <v>231</v>
      </c>
      <c r="M50" t="s">
        <v>17</v>
      </c>
      <c r="N50" t="s">
        <v>141</v>
      </c>
      <c r="O50" t="s">
        <v>20</v>
      </c>
      <c r="P50">
        <v>117</v>
      </c>
      <c r="Q50" s="17">
        <v>117</v>
      </c>
      <c r="R50">
        <v>114</v>
      </c>
      <c r="S50">
        <v>0</v>
      </c>
      <c r="T50">
        <v>0</v>
      </c>
      <c r="U50">
        <v>17.22683706</v>
      </c>
      <c r="V50">
        <v>-0.00066115</v>
      </c>
      <c r="W50">
        <v>114</v>
      </c>
      <c r="X50">
        <v>7.64239711</v>
      </c>
      <c r="Y50">
        <v>13.71428571</v>
      </c>
      <c r="Z50">
        <v>14.91678571</v>
      </c>
      <c r="AA50" s="2">
        <v>17</v>
      </c>
      <c r="AB50" s="2">
        <v>173</v>
      </c>
      <c r="AC50" s="2">
        <v>246</v>
      </c>
      <c r="AD50" s="2">
        <v>384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516</v>
      </c>
      <c r="AN50">
        <v>0</v>
      </c>
    </row>
    <row r="51" spans="1:40">
      <c r="A51" t="s">
        <v>131</v>
      </c>
      <c r="B51" t="s">
        <v>179</v>
      </c>
      <c r="C51" t="s">
        <v>180</v>
      </c>
      <c r="D51" t="s">
        <v>181</v>
      </c>
      <c r="E51" t="s">
        <v>135</v>
      </c>
      <c r="F51" t="s">
        <v>21</v>
      </c>
      <c r="G51" t="s">
        <v>182</v>
      </c>
      <c r="H51" t="s">
        <v>183</v>
      </c>
      <c r="I51" t="s">
        <v>177</v>
      </c>
      <c r="J51" t="s">
        <v>148</v>
      </c>
      <c r="K51" t="s">
        <v>69</v>
      </c>
      <c r="L51" t="s">
        <v>178</v>
      </c>
      <c r="M51" t="s">
        <v>17</v>
      </c>
      <c r="N51" t="s">
        <v>141</v>
      </c>
      <c r="O51" t="s">
        <v>20</v>
      </c>
      <c r="P51">
        <v>116</v>
      </c>
      <c r="Q51" s="17">
        <v>116</v>
      </c>
      <c r="R51">
        <v>116</v>
      </c>
      <c r="S51">
        <v>0</v>
      </c>
      <c r="T51">
        <v>0</v>
      </c>
      <c r="U51">
        <v>45.96969697</v>
      </c>
      <c r="V51">
        <v>0.03722423</v>
      </c>
      <c r="W51">
        <v>116</v>
      </c>
      <c r="X51">
        <v>45.81100141</v>
      </c>
      <c r="Y51">
        <v>2.07142857</v>
      </c>
      <c r="Z51">
        <v>2.53214286</v>
      </c>
      <c r="AA51" s="2">
        <v>1</v>
      </c>
      <c r="AB51" s="2">
        <v>11</v>
      </c>
      <c r="AC51" s="2">
        <v>18</v>
      </c>
      <c r="AD51" s="2">
        <v>64</v>
      </c>
      <c r="AE51">
        <v>0</v>
      </c>
      <c r="AF51">
        <v>0</v>
      </c>
      <c r="AG51">
        <v>0</v>
      </c>
      <c r="AH51">
        <v>0</v>
      </c>
      <c r="AI51">
        <v>10.92</v>
      </c>
      <c r="AJ51">
        <v>0</v>
      </c>
      <c r="AK51">
        <v>0</v>
      </c>
      <c r="AL51">
        <v>0</v>
      </c>
      <c r="AM51">
        <v>0</v>
      </c>
      <c r="AN51">
        <v>0</v>
      </c>
    </row>
    <row r="52" spans="1:40">
      <c r="A52" t="s">
        <v>131</v>
      </c>
      <c r="B52" t="s">
        <v>166</v>
      </c>
      <c r="C52" t="s">
        <v>167</v>
      </c>
      <c r="D52" t="s">
        <v>168</v>
      </c>
      <c r="E52" t="s">
        <v>135</v>
      </c>
      <c r="F52" t="s">
        <v>65</v>
      </c>
      <c r="G52" t="s">
        <v>169</v>
      </c>
      <c r="H52" t="s">
        <v>170</v>
      </c>
      <c r="I52" t="s">
        <v>215</v>
      </c>
      <c r="J52" t="s">
        <v>148</v>
      </c>
      <c r="K52" t="s">
        <v>76</v>
      </c>
      <c r="L52" t="s">
        <v>216</v>
      </c>
      <c r="M52" t="s">
        <v>17</v>
      </c>
      <c r="N52" t="s">
        <v>141</v>
      </c>
      <c r="O52" t="s">
        <v>20</v>
      </c>
      <c r="P52">
        <v>114</v>
      </c>
      <c r="Q52" s="17">
        <v>114</v>
      </c>
      <c r="R52">
        <v>113</v>
      </c>
      <c r="S52">
        <v>0</v>
      </c>
      <c r="T52">
        <v>0</v>
      </c>
      <c r="U52">
        <v>16.95454545</v>
      </c>
      <c r="V52">
        <v>-0.00084556</v>
      </c>
      <c r="W52">
        <v>113</v>
      </c>
      <c r="X52">
        <v>53.41887557</v>
      </c>
      <c r="Y52">
        <v>2.35714286</v>
      </c>
      <c r="Z52">
        <v>2.11535714</v>
      </c>
      <c r="AA52" s="2">
        <v>16</v>
      </c>
      <c r="AB52" s="2">
        <v>41</v>
      </c>
      <c r="AC52" s="2">
        <v>60</v>
      </c>
      <c r="AD52" s="2">
        <v>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>
      <c r="A53" t="s">
        <v>131</v>
      </c>
      <c r="B53" t="s">
        <v>154</v>
      </c>
      <c r="C53" t="s">
        <v>155</v>
      </c>
      <c r="D53" t="s">
        <v>156</v>
      </c>
      <c r="E53" t="s">
        <v>135</v>
      </c>
      <c r="F53" t="s">
        <v>39</v>
      </c>
      <c r="G53" t="s">
        <v>157</v>
      </c>
      <c r="H53" t="s">
        <v>158</v>
      </c>
      <c r="I53" t="s">
        <v>196</v>
      </c>
      <c r="J53" t="s">
        <v>197</v>
      </c>
      <c r="K53" t="s">
        <v>96</v>
      </c>
      <c r="L53" t="s">
        <v>198</v>
      </c>
      <c r="M53" t="s">
        <v>25</v>
      </c>
      <c r="N53" t="s">
        <v>141</v>
      </c>
      <c r="P53">
        <v>114</v>
      </c>
      <c r="Q53" s="17">
        <v>114</v>
      </c>
      <c r="R53">
        <v>114</v>
      </c>
      <c r="S53">
        <v>0</v>
      </c>
      <c r="T53">
        <v>0</v>
      </c>
      <c r="U53">
        <v>-99</v>
      </c>
      <c r="W53">
        <v>114</v>
      </c>
      <c r="X53">
        <v>-99</v>
      </c>
      <c r="Y53">
        <v>0</v>
      </c>
      <c r="AA53" s="2">
        <v>0</v>
      </c>
      <c r="AB53" s="2">
        <v>0</v>
      </c>
      <c r="AC53" s="2">
        <v>0</v>
      </c>
      <c r="AD53" s="2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</row>
    <row r="54" spans="1:40">
      <c r="A54" t="s">
        <v>131</v>
      </c>
      <c r="B54" t="s">
        <v>132</v>
      </c>
      <c r="C54" t="s">
        <v>133</v>
      </c>
      <c r="D54" t="s">
        <v>134</v>
      </c>
      <c r="E54" t="s">
        <v>135</v>
      </c>
      <c r="F54" t="s">
        <v>66</v>
      </c>
      <c r="G54" t="s">
        <v>136</v>
      </c>
      <c r="H54" t="s">
        <v>137</v>
      </c>
      <c r="I54" t="s">
        <v>150</v>
      </c>
      <c r="J54" t="s">
        <v>148</v>
      </c>
      <c r="K54" t="s">
        <v>83</v>
      </c>
      <c r="L54" t="s">
        <v>151</v>
      </c>
      <c r="M54" t="s">
        <v>25</v>
      </c>
      <c r="N54" t="s">
        <v>141</v>
      </c>
      <c r="O54" t="s">
        <v>20</v>
      </c>
      <c r="P54">
        <v>113</v>
      </c>
      <c r="Q54" s="17">
        <v>113</v>
      </c>
      <c r="R54">
        <v>113</v>
      </c>
      <c r="S54">
        <v>0</v>
      </c>
      <c r="T54">
        <v>0</v>
      </c>
      <c r="U54">
        <v>10.90666667</v>
      </c>
      <c r="V54">
        <v>-0.01882474</v>
      </c>
      <c r="W54">
        <v>113</v>
      </c>
      <c r="X54">
        <v>19.20602161</v>
      </c>
      <c r="Y54">
        <v>3.5</v>
      </c>
      <c r="Z54">
        <v>5.88357143</v>
      </c>
      <c r="AA54" s="2">
        <v>3</v>
      </c>
      <c r="AB54" s="2">
        <v>18</v>
      </c>
      <c r="AC54" s="2">
        <v>49</v>
      </c>
      <c r="AD54" s="2">
        <v>109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>
      <c r="A55" t="s">
        <v>131</v>
      </c>
      <c r="B55" t="s">
        <v>179</v>
      </c>
      <c r="C55" t="s">
        <v>180</v>
      </c>
      <c r="D55" t="s">
        <v>181</v>
      </c>
      <c r="E55" t="s">
        <v>135</v>
      </c>
      <c r="F55" t="s">
        <v>21</v>
      </c>
      <c r="G55" t="s">
        <v>182</v>
      </c>
      <c r="H55" t="s">
        <v>183</v>
      </c>
      <c r="I55" t="s">
        <v>164</v>
      </c>
      <c r="J55" t="s">
        <v>148</v>
      </c>
      <c r="K55" t="s">
        <v>94</v>
      </c>
      <c r="L55" t="s">
        <v>165</v>
      </c>
      <c r="M55" t="s">
        <v>17</v>
      </c>
      <c r="N55" t="s">
        <v>141</v>
      </c>
      <c r="O55" t="s">
        <v>20</v>
      </c>
      <c r="P55">
        <v>113</v>
      </c>
      <c r="Q55" s="17">
        <v>113</v>
      </c>
      <c r="R55">
        <v>112</v>
      </c>
      <c r="S55">
        <v>0</v>
      </c>
      <c r="T55">
        <v>0</v>
      </c>
      <c r="U55">
        <v>45.84782609</v>
      </c>
      <c r="V55">
        <v>0.05169432</v>
      </c>
      <c r="W55">
        <v>112</v>
      </c>
      <c r="X55">
        <v>37.81502472</v>
      </c>
      <c r="Y55">
        <v>2.25</v>
      </c>
      <c r="Z55">
        <v>2.96178571</v>
      </c>
      <c r="AA55" s="2">
        <v>3</v>
      </c>
      <c r="AB55" s="2">
        <v>16</v>
      </c>
      <c r="AC55" s="2">
        <v>35</v>
      </c>
      <c r="AD55" s="2">
        <v>70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13</v>
      </c>
      <c r="AN55">
        <v>0</v>
      </c>
    </row>
    <row r="56" spans="1:40">
      <c r="A56" t="s">
        <v>131</v>
      </c>
      <c r="B56" t="s">
        <v>191</v>
      </c>
      <c r="C56" t="s">
        <v>192</v>
      </c>
      <c r="D56" t="s">
        <v>193</v>
      </c>
      <c r="E56" t="s">
        <v>135</v>
      </c>
      <c r="F56" t="s">
        <v>49</v>
      </c>
      <c r="G56" t="s">
        <v>194</v>
      </c>
      <c r="H56" t="s">
        <v>195</v>
      </c>
      <c r="I56" t="s">
        <v>138</v>
      </c>
      <c r="J56" t="s">
        <v>139</v>
      </c>
      <c r="K56" t="s">
        <v>97</v>
      </c>
      <c r="L56" t="s">
        <v>140</v>
      </c>
      <c r="M56" t="s">
        <v>25</v>
      </c>
      <c r="N56" t="s">
        <v>141</v>
      </c>
      <c r="O56" t="s">
        <v>20</v>
      </c>
      <c r="P56">
        <v>110</v>
      </c>
      <c r="Q56" s="17">
        <v>110</v>
      </c>
      <c r="R56">
        <v>106</v>
      </c>
      <c r="S56">
        <v>0</v>
      </c>
      <c r="T56">
        <v>0</v>
      </c>
      <c r="U56">
        <v>14.6686747</v>
      </c>
      <c r="V56">
        <v>-0.01713272</v>
      </c>
      <c r="W56">
        <v>106</v>
      </c>
      <c r="X56">
        <v>12.32455776</v>
      </c>
      <c r="Y56">
        <v>8.14285714</v>
      </c>
      <c r="Z56">
        <v>8.60071429</v>
      </c>
      <c r="AA56" s="2">
        <v>12</v>
      </c>
      <c r="AB56" s="2">
        <v>51</v>
      </c>
      <c r="AC56" s="2">
        <v>90</v>
      </c>
      <c r="AD56" s="2">
        <v>236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140</v>
      </c>
      <c r="AN56">
        <v>0</v>
      </c>
    </row>
    <row r="57" spans="1:40">
      <c r="A57" t="s">
        <v>131</v>
      </c>
      <c r="B57" t="s">
        <v>159</v>
      </c>
      <c r="C57" t="s">
        <v>160</v>
      </c>
      <c r="D57" t="s">
        <v>161</v>
      </c>
      <c r="E57" t="s">
        <v>135</v>
      </c>
      <c r="F57" t="s">
        <v>59</v>
      </c>
      <c r="G57" t="s">
        <v>162</v>
      </c>
      <c r="H57" t="s">
        <v>163</v>
      </c>
      <c r="I57" t="s">
        <v>173</v>
      </c>
      <c r="J57" t="s">
        <v>148</v>
      </c>
      <c r="K57" t="s">
        <v>98</v>
      </c>
      <c r="L57" t="s">
        <v>174</v>
      </c>
      <c r="M57" t="s">
        <v>17</v>
      </c>
      <c r="N57" t="s">
        <v>141</v>
      </c>
      <c r="O57" t="s">
        <v>20</v>
      </c>
      <c r="P57">
        <v>110</v>
      </c>
      <c r="Q57" s="17">
        <v>110</v>
      </c>
      <c r="R57">
        <v>110</v>
      </c>
      <c r="S57">
        <v>0</v>
      </c>
      <c r="T57">
        <v>0</v>
      </c>
      <c r="U57">
        <v>15.29761905</v>
      </c>
      <c r="V57">
        <v>-0.0065602</v>
      </c>
      <c r="W57">
        <v>110</v>
      </c>
      <c r="X57">
        <v>24.0831965</v>
      </c>
      <c r="Y57">
        <v>3</v>
      </c>
      <c r="Z57">
        <v>4.5675</v>
      </c>
      <c r="AA57" s="2">
        <v>7</v>
      </c>
      <c r="AB57" s="2">
        <v>34</v>
      </c>
      <c r="AC57" s="2">
        <v>42</v>
      </c>
      <c r="AD57" s="2">
        <v>84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60</v>
      </c>
      <c r="AN57">
        <v>0</v>
      </c>
    </row>
    <row r="58" spans="1:40">
      <c r="A58" t="s">
        <v>131</v>
      </c>
      <c r="B58" t="s">
        <v>219</v>
      </c>
      <c r="C58" t="s">
        <v>220</v>
      </c>
      <c r="D58" t="s">
        <v>221</v>
      </c>
      <c r="E58" t="s">
        <v>135</v>
      </c>
      <c r="F58" t="s">
        <v>63</v>
      </c>
      <c r="G58" t="s">
        <v>222</v>
      </c>
      <c r="H58" t="s">
        <v>223</v>
      </c>
      <c r="I58" t="s">
        <v>147</v>
      </c>
      <c r="J58" t="s">
        <v>148</v>
      </c>
      <c r="K58" t="s">
        <v>58</v>
      </c>
      <c r="L58" t="s">
        <v>149</v>
      </c>
      <c r="M58" t="s">
        <v>17</v>
      </c>
      <c r="N58" t="s">
        <v>141</v>
      </c>
      <c r="O58" t="s">
        <v>20</v>
      </c>
      <c r="P58">
        <v>109</v>
      </c>
      <c r="Q58" s="17">
        <v>109</v>
      </c>
      <c r="R58">
        <v>105</v>
      </c>
      <c r="S58">
        <v>0</v>
      </c>
      <c r="T58">
        <v>0</v>
      </c>
      <c r="U58">
        <v>17.29411765</v>
      </c>
      <c r="V58">
        <v>2.839e-5</v>
      </c>
      <c r="W58">
        <v>105</v>
      </c>
      <c r="X58">
        <v>15.04991042</v>
      </c>
      <c r="Y58">
        <v>1.96428571</v>
      </c>
      <c r="Z58">
        <v>6.97678571</v>
      </c>
      <c r="AA58" s="2">
        <v>3</v>
      </c>
      <c r="AB58" s="2">
        <v>22</v>
      </c>
      <c r="AC58" s="2">
        <v>29</v>
      </c>
      <c r="AD58" s="2">
        <v>55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201</v>
      </c>
      <c r="AN58">
        <v>0</v>
      </c>
    </row>
    <row r="59" spans="1:40">
      <c r="A59" t="s">
        <v>131</v>
      </c>
      <c r="B59" t="s">
        <v>186</v>
      </c>
      <c r="C59" t="s">
        <v>187</v>
      </c>
      <c r="D59" t="s">
        <v>188</v>
      </c>
      <c r="E59" t="s">
        <v>135</v>
      </c>
      <c r="F59" t="s">
        <v>64</v>
      </c>
      <c r="G59" t="s">
        <v>189</v>
      </c>
      <c r="H59" t="s">
        <v>190</v>
      </c>
      <c r="I59" t="s">
        <v>184</v>
      </c>
      <c r="J59" t="s">
        <v>139</v>
      </c>
      <c r="K59" t="s">
        <v>80</v>
      </c>
      <c r="L59" t="s">
        <v>185</v>
      </c>
      <c r="M59" t="s">
        <v>17</v>
      </c>
      <c r="N59" t="s">
        <v>141</v>
      </c>
      <c r="O59" t="s">
        <v>20</v>
      </c>
      <c r="P59">
        <v>108</v>
      </c>
      <c r="Q59" s="17">
        <v>106</v>
      </c>
      <c r="R59">
        <v>103</v>
      </c>
      <c r="S59">
        <v>0.01851852</v>
      </c>
      <c r="T59">
        <v>2</v>
      </c>
      <c r="U59">
        <v>23.64788732</v>
      </c>
      <c r="V59">
        <v>0.01780289</v>
      </c>
      <c r="W59">
        <v>103</v>
      </c>
      <c r="X59">
        <v>19.03504719</v>
      </c>
      <c r="Y59">
        <v>3.53571429</v>
      </c>
      <c r="Z59">
        <v>5.41107143</v>
      </c>
      <c r="AA59" s="2">
        <v>3</v>
      </c>
      <c r="AB59" s="2">
        <v>26</v>
      </c>
      <c r="AC59" s="2">
        <v>55</v>
      </c>
      <c r="AD59" s="2">
        <v>114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42</v>
      </c>
      <c r="AN59">
        <v>0</v>
      </c>
    </row>
    <row r="60" spans="1:40">
      <c r="A60" t="s">
        <v>131</v>
      </c>
      <c r="B60" t="s">
        <v>210</v>
      </c>
      <c r="C60" t="s">
        <v>211</v>
      </c>
      <c r="D60" t="s">
        <v>212</v>
      </c>
      <c r="E60" t="s">
        <v>135</v>
      </c>
      <c r="F60" t="s">
        <v>16</v>
      </c>
      <c r="G60" t="s">
        <v>213</v>
      </c>
      <c r="H60" t="s">
        <v>214</v>
      </c>
      <c r="I60" t="s">
        <v>171</v>
      </c>
      <c r="J60" t="s">
        <v>148</v>
      </c>
      <c r="K60" t="s">
        <v>75</v>
      </c>
      <c r="L60" t="s">
        <v>172</v>
      </c>
      <c r="M60" t="s">
        <v>17</v>
      </c>
      <c r="N60" t="s">
        <v>141</v>
      </c>
      <c r="O60" t="s">
        <v>20</v>
      </c>
      <c r="P60">
        <v>108</v>
      </c>
      <c r="Q60" s="17">
        <v>108</v>
      </c>
      <c r="R60">
        <v>106</v>
      </c>
      <c r="S60">
        <v>0</v>
      </c>
      <c r="T60">
        <v>0</v>
      </c>
      <c r="U60">
        <v>77.82857143</v>
      </c>
      <c r="V60">
        <v>0.08332813</v>
      </c>
      <c r="W60">
        <v>106</v>
      </c>
      <c r="X60">
        <v>37.75120834</v>
      </c>
      <c r="Y60">
        <v>1.57142857</v>
      </c>
      <c r="Z60">
        <v>2.80785714</v>
      </c>
      <c r="AA60" s="2">
        <v>1</v>
      </c>
      <c r="AB60" s="2">
        <v>11</v>
      </c>
      <c r="AC60" s="2">
        <v>24</v>
      </c>
      <c r="AD60" s="2">
        <v>45</v>
      </c>
      <c r="AE60">
        <v>0</v>
      </c>
      <c r="AF60">
        <v>0</v>
      </c>
      <c r="AG60">
        <v>0</v>
      </c>
      <c r="AH60">
        <v>0</v>
      </c>
      <c r="AI60">
        <v>16.98</v>
      </c>
      <c r="AJ60">
        <v>0</v>
      </c>
      <c r="AK60">
        <v>0</v>
      </c>
      <c r="AL60">
        <v>0</v>
      </c>
      <c r="AM60">
        <v>0</v>
      </c>
      <c r="AN60">
        <v>0</v>
      </c>
    </row>
    <row r="61" spans="1:40">
      <c r="A61" t="s">
        <v>131</v>
      </c>
      <c r="B61" t="s">
        <v>179</v>
      </c>
      <c r="C61" t="s">
        <v>180</v>
      </c>
      <c r="D61" t="s">
        <v>181</v>
      </c>
      <c r="E61" t="s">
        <v>135</v>
      </c>
      <c r="F61" t="s">
        <v>21</v>
      </c>
      <c r="G61" t="s">
        <v>182</v>
      </c>
      <c r="H61" t="s">
        <v>183</v>
      </c>
      <c r="I61" t="s">
        <v>150</v>
      </c>
      <c r="J61" t="s">
        <v>148</v>
      </c>
      <c r="K61" t="s">
        <v>83</v>
      </c>
      <c r="L61" t="s">
        <v>151</v>
      </c>
      <c r="M61" t="s">
        <v>17</v>
      </c>
      <c r="N61" t="s">
        <v>141</v>
      </c>
      <c r="O61" t="s">
        <v>20</v>
      </c>
      <c r="P61">
        <v>107</v>
      </c>
      <c r="Q61" s="17">
        <v>107</v>
      </c>
      <c r="R61">
        <v>102</v>
      </c>
      <c r="S61">
        <v>0</v>
      </c>
      <c r="T61">
        <v>0</v>
      </c>
      <c r="U61">
        <v>13.525</v>
      </c>
      <c r="V61">
        <v>-0.01183273</v>
      </c>
      <c r="W61">
        <v>106</v>
      </c>
      <c r="X61">
        <v>15.29726834</v>
      </c>
      <c r="Y61">
        <v>4.60714286</v>
      </c>
      <c r="Z61">
        <v>6.66785714</v>
      </c>
      <c r="AA61" s="2">
        <v>5</v>
      </c>
      <c r="AB61" s="2">
        <v>42</v>
      </c>
      <c r="AC61" s="2">
        <v>70</v>
      </c>
      <c r="AD61" s="2">
        <v>136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350</v>
      </c>
      <c r="AN61">
        <v>0</v>
      </c>
    </row>
    <row r="62" spans="1:40">
      <c r="A62" t="s">
        <v>131</v>
      </c>
      <c r="B62" t="s">
        <v>205</v>
      </c>
      <c r="C62" t="s">
        <v>206</v>
      </c>
      <c r="D62" t="s">
        <v>207</v>
      </c>
      <c r="E62" t="s">
        <v>135</v>
      </c>
      <c r="F62" t="s">
        <v>61</v>
      </c>
      <c r="G62" t="s">
        <v>208</v>
      </c>
      <c r="H62" t="s">
        <v>209</v>
      </c>
      <c r="I62" t="s">
        <v>164</v>
      </c>
      <c r="J62" t="s">
        <v>148</v>
      </c>
      <c r="K62" t="s">
        <v>94</v>
      </c>
      <c r="L62" t="s">
        <v>165</v>
      </c>
      <c r="M62" t="s">
        <v>17</v>
      </c>
      <c r="N62" t="s">
        <v>141</v>
      </c>
      <c r="O62" t="s">
        <v>20</v>
      </c>
      <c r="P62">
        <v>104</v>
      </c>
      <c r="Q62" s="17">
        <v>33</v>
      </c>
      <c r="R62">
        <v>32</v>
      </c>
      <c r="S62">
        <v>0.68269231</v>
      </c>
      <c r="T62">
        <v>71</v>
      </c>
      <c r="U62">
        <v>20.94594595</v>
      </c>
      <c r="V62">
        <v>0.0053339</v>
      </c>
      <c r="W62">
        <v>32</v>
      </c>
      <c r="X62">
        <v>11.74927878</v>
      </c>
      <c r="Y62">
        <v>1.67857143</v>
      </c>
      <c r="Z62">
        <v>2.72357143</v>
      </c>
      <c r="AA62" s="2">
        <v>2</v>
      </c>
      <c r="AB62" s="2">
        <v>11</v>
      </c>
      <c r="AC62" s="2">
        <v>27</v>
      </c>
      <c r="AD62" s="2">
        <v>47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81</v>
      </c>
      <c r="AN62">
        <v>0</v>
      </c>
    </row>
    <row r="63" spans="1:40">
      <c r="A63" t="s">
        <v>131</v>
      </c>
      <c r="B63" t="s">
        <v>219</v>
      </c>
      <c r="C63" t="s">
        <v>220</v>
      </c>
      <c r="D63" t="s">
        <v>221</v>
      </c>
      <c r="E63" t="s">
        <v>135</v>
      </c>
      <c r="F63" t="s">
        <v>63</v>
      </c>
      <c r="G63" t="s">
        <v>222</v>
      </c>
      <c r="H63" t="s">
        <v>223</v>
      </c>
      <c r="I63" t="s">
        <v>150</v>
      </c>
      <c r="J63" t="s">
        <v>148</v>
      </c>
      <c r="K63" t="s">
        <v>83</v>
      </c>
      <c r="L63" t="s">
        <v>151</v>
      </c>
      <c r="M63" t="s">
        <v>17</v>
      </c>
      <c r="N63" t="s">
        <v>141</v>
      </c>
      <c r="O63" t="s">
        <v>20</v>
      </c>
      <c r="P63">
        <v>104</v>
      </c>
      <c r="Q63" s="17">
        <v>104</v>
      </c>
      <c r="R63">
        <v>104</v>
      </c>
      <c r="S63">
        <v>0</v>
      </c>
      <c r="T63">
        <v>0</v>
      </c>
      <c r="U63">
        <v>15.28571429</v>
      </c>
      <c r="V63">
        <v>-0.00384446</v>
      </c>
      <c r="W63">
        <v>104</v>
      </c>
      <c r="X63">
        <v>17.28805509</v>
      </c>
      <c r="Y63">
        <v>2.03571429</v>
      </c>
      <c r="Z63">
        <v>6.01571429</v>
      </c>
      <c r="AA63" s="2">
        <v>2</v>
      </c>
      <c r="AB63" s="2">
        <v>16</v>
      </c>
      <c r="AC63" s="2">
        <v>29</v>
      </c>
      <c r="AD63" s="2">
        <v>57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148</v>
      </c>
      <c r="AN63">
        <v>0</v>
      </c>
    </row>
    <row r="64" spans="1:40">
      <c r="A64" t="s">
        <v>131</v>
      </c>
      <c r="B64" t="s">
        <v>132</v>
      </c>
      <c r="C64" t="s">
        <v>133</v>
      </c>
      <c r="D64" t="s">
        <v>134</v>
      </c>
      <c r="E64" t="s">
        <v>135</v>
      </c>
      <c r="F64" t="s">
        <v>66</v>
      </c>
      <c r="G64" t="s">
        <v>136</v>
      </c>
      <c r="H64" t="s">
        <v>137</v>
      </c>
      <c r="I64" t="s">
        <v>164</v>
      </c>
      <c r="J64" t="s">
        <v>148</v>
      </c>
      <c r="K64" t="s">
        <v>94</v>
      </c>
      <c r="L64" t="s">
        <v>165</v>
      </c>
      <c r="M64" t="s">
        <v>25</v>
      </c>
      <c r="N64" t="s">
        <v>141</v>
      </c>
      <c r="O64" t="s">
        <v>20</v>
      </c>
      <c r="P64">
        <v>101</v>
      </c>
      <c r="Q64" s="17">
        <v>101</v>
      </c>
      <c r="R64">
        <v>101</v>
      </c>
      <c r="S64">
        <v>0</v>
      </c>
      <c r="T64">
        <v>0</v>
      </c>
      <c r="U64">
        <v>74.26086957</v>
      </c>
      <c r="V64">
        <v>0.05150765</v>
      </c>
      <c r="W64">
        <v>101</v>
      </c>
      <c r="X64">
        <v>17.66396002</v>
      </c>
      <c r="Y64">
        <v>1.17857143</v>
      </c>
      <c r="Z64">
        <v>5.71785714</v>
      </c>
      <c r="AA64" s="2">
        <v>0</v>
      </c>
      <c r="AB64" s="2">
        <v>13</v>
      </c>
      <c r="AC64" s="2">
        <v>20</v>
      </c>
      <c r="AD64" s="2">
        <v>35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>
      <c r="A65" t="s">
        <v>131</v>
      </c>
      <c r="B65" t="s">
        <v>210</v>
      </c>
      <c r="C65" t="s">
        <v>211</v>
      </c>
      <c r="D65" t="s">
        <v>212</v>
      </c>
      <c r="E65" t="s">
        <v>135</v>
      </c>
      <c r="F65" t="s">
        <v>16</v>
      </c>
      <c r="G65" t="s">
        <v>213</v>
      </c>
      <c r="H65" t="s">
        <v>214</v>
      </c>
      <c r="I65" t="s">
        <v>152</v>
      </c>
      <c r="J65" t="s">
        <v>148</v>
      </c>
      <c r="K65" t="s">
        <v>79</v>
      </c>
      <c r="L65" t="s">
        <v>153</v>
      </c>
      <c r="M65" t="s">
        <v>17</v>
      </c>
      <c r="N65" t="s">
        <v>141</v>
      </c>
      <c r="O65" t="s">
        <v>20</v>
      </c>
      <c r="P65">
        <v>101</v>
      </c>
      <c r="Q65" s="17">
        <v>100</v>
      </c>
      <c r="R65">
        <v>99</v>
      </c>
      <c r="S65">
        <v>0.00990099</v>
      </c>
      <c r="T65">
        <v>1</v>
      </c>
      <c r="U65">
        <v>12.13333333</v>
      </c>
      <c r="V65">
        <v>-0.02436566</v>
      </c>
      <c r="W65">
        <v>99</v>
      </c>
      <c r="X65">
        <v>11.22358086</v>
      </c>
      <c r="Y65">
        <v>5.03571429</v>
      </c>
      <c r="Z65">
        <v>8.82071429</v>
      </c>
      <c r="AA65" s="2">
        <v>5</v>
      </c>
      <c r="AB65" s="2">
        <v>36</v>
      </c>
      <c r="AC65" s="2">
        <v>74</v>
      </c>
      <c r="AD65" s="2">
        <v>147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257</v>
      </c>
      <c r="AN65">
        <v>0</v>
      </c>
    </row>
    <row r="66" spans="1:40">
      <c r="A66" t="s">
        <v>131</v>
      </c>
      <c r="B66" t="s">
        <v>179</v>
      </c>
      <c r="C66" t="s">
        <v>180</v>
      </c>
      <c r="D66" t="s">
        <v>181</v>
      </c>
      <c r="E66" t="s">
        <v>135</v>
      </c>
      <c r="F66" t="s">
        <v>21</v>
      </c>
      <c r="G66" t="s">
        <v>182</v>
      </c>
      <c r="H66" t="s">
        <v>183</v>
      </c>
      <c r="I66" t="s">
        <v>147</v>
      </c>
      <c r="J66" t="s">
        <v>148</v>
      </c>
      <c r="K66" t="s">
        <v>58</v>
      </c>
      <c r="L66" t="s">
        <v>149</v>
      </c>
      <c r="M66" t="s">
        <v>17</v>
      </c>
      <c r="N66" t="s">
        <v>141</v>
      </c>
      <c r="O66" t="s">
        <v>20</v>
      </c>
      <c r="P66">
        <v>100</v>
      </c>
      <c r="Q66" s="17">
        <v>100</v>
      </c>
      <c r="R66">
        <v>99</v>
      </c>
      <c r="S66">
        <v>0</v>
      </c>
      <c r="T66">
        <v>0</v>
      </c>
      <c r="U66">
        <v>31.25</v>
      </c>
      <c r="V66">
        <v>0.02417816</v>
      </c>
      <c r="W66">
        <v>99</v>
      </c>
      <c r="X66">
        <v>36.80297398</v>
      </c>
      <c r="Y66">
        <v>2.60714286</v>
      </c>
      <c r="Z66">
        <v>2.69</v>
      </c>
      <c r="AA66" s="2">
        <v>5</v>
      </c>
      <c r="AB66" s="2">
        <v>20</v>
      </c>
      <c r="AC66" s="2">
        <v>31</v>
      </c>
      <c r="AD66" s="2">
        <v>80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11</v>
      </c>
      <c r="AN66">
        <v>0</v>
      </c>
    </row>
    <row r="67" spans="1:40">
      <c r="A67" t="s">
        <v>131</v>
      </c>
      <c r="B67" t="s">
        <v>237</v>
      </c>
      <c r="C67" t="s">
        <v>238</v>
      </c>
      <c r="D67" t="s">
        <v>239</v>
      </c>
      <c r="E67" t="s">
        <v>135</v>
      </c>
      <c r="F67" t="s">
        <v>62</v>
      </c>
      <c r="G67" t="s">
        <v>240</v>
      </c>
      <c r="H67" t="s">
        <v>241</v>
      </c>
      <c r="I67" t="s">
        <v>147</v>
      </c>
      <c r="J67" t="s">
        <v>148</v>
      </c>
      <c r="K67" t="s">
        <v>58</v>
      </c>
      <c r="L67" t="s">
        <v>149</v>
      </c>
      <c r="M67" t="s">
        <v>17</v>
      </c>
      <c r="N67" t="s">
        <v>141</v>
      </c>
      <c r="O67" t="s">
        <v>20</v>
      </c>
      <c r="P67">
        <v>99</v>
      </c>
      <c r="Q67" s="17">
        <v>98</v>
      </c>
      <c r="R67">
        <v>98</v>
      </c>
      <c r="S67">
        <v>0.01010101</v>
      </c>
      <c r="T67">
        <v>1</v>
      </c>
      <c r="U67">
        <v>30.43243243</v>
      </c>
      <c r="V67">
        <v>0.0191365</v>
      </c>
      <c r="W67">
        <v>98</v>
      </c>
      <c r="X67">
        <v>39.77388027</v>
      </c>
      <c r="Y67">
        <v>1.71428571</v>
      </c>
      <c r="Z67">
        <v>2.46392857</v>
      </c>
      <c r="AA67" s="2">
        <v>0</v>
      </c>
      <c r="AB67" s="2">
        <v>9</v>
      </c>
      <c r="AC67" s="2">
        <v>20</v>
      </c>
      <c r="AD67" s="2">
        <v>56</v>
      </c>
      <c r="AE67">
        <v>0</v>
      </c>
      <c r="AF67">
        <v>0</v>
      </c>
      <c r="AG67">
        <v>0</v>
      </c>
      <c r="AH67">
        <v>0</v>
      </c>
      <c r="AI67">
        <v>13.24</v>
      </c>
      <c r="AJ67">
        <v>0</v>
      </c>
      <c r="AK67">
        <v>0</v>
      </c>
      <c r="AL67">
        <v>0</v>
      </c>
      <c r="AM67">
        <v>0</v>
      </c>
      <c r="AN67">
        <v>0</v>
      </c>
    </row>
    <row r="68" spans="1:40">
      <c r="A68" t="s">
        <v>131</v>
      </c>
      <c r="B68" t="s">
        <v>205</v>
      </c>
      <c r="C68" t="s">
        <v>206</v>
      </c>
      <c r="D68" t="s">
        <v>207</v>
      </c>
      <c r="E68" t="s">
        <v>135</v>
      </c>
      <c r="F68" t="s">
        <v>61</v>
      </c>
      <c r="G68" t="s">
        <v>208</v>
      </c>
      <c r="H68" t="s">
        <v>209</v>
      </c>
      <c r="I68" t="s">
        <v>147</v>
      </c>
      <c r="J68" t="s">
        <v>148</v>
      </c>
      <c r="K68" t="s">
        <v>58</v>
      </c>
      <c r="L68" t="s">
        <v>149</v>
      </c>
      <c r="M68" t="s">
        <v>17</v>
      </c>
      <c r="N68" t="s">
        <v>141</v>
      </c>
      <c r="O68" t="s">
        <v>20</v>
      </c>
      <c r="P68">
        <v>99</v>
      </c>
      <c r="Q68" s="17">
        <v>64</v>
      </c>
      <c r="R68">
        <v>61</v>
      </c>
      <c r="S68">
        <v>0.35353535</v>
      </c>
      <c r="T68">
        <v>35</v>
      </c>
      <c r="U68">
        <v>119</v>
      </c>
      <c r="V68">
        <v>0.02796702</v>
      </c>
      <c r="W68">
        <v>61</v>
      </c>
      <c r="X68">
        <v>57.97691785</v>
      </c>
      <c r="Y68">
        <v>0.57142857</v>
      </c>
      <c r="Z68">
        <v>1.05214286</v>
      </c>
      <c r="AA68" s="2">
        <v>0</v>
      </c>
      <c r="AB68" s="2">
        <v>4</v>
      </c>
      <c r="AC68" s="2">
        <v>6</v>
      </c>
      <c r="AD68" s="2">
        <v>19</v>
      </c>
      <c r="AE68">
        <v>0</v>
      </c>
      <c r="AF68">
        <v>0</v>
      </c>
      <c r="AG68">
        <v>0</v>
      </c>
      <c r="AH68">
        <v>0</v>
      </c>
      <c r="AI68">
        <v>22.59</v>
      </c>
      <c r="AJ68">
        <v>0</v>
      </c>
      <c r="AK68">
        <v>0</v>
      </c>
      <c r="AL68">
        <v>0</v>
      </c>
      <c r="AM68">
        <v>0</v>
      </c>
      <c r="AN68">
        <v>0</v>
      </c>
    </row>
    <row r="69" spans="1:40">
      <c r="A69" t="s">
        <v>131</v>
      </c>
      <c r="B69" t="s">
        <v>166</v>
      </c>
      <c r="C69" t="s">
        <v>167</v>
      </c>
      <c r="D69" t="s">
        <v>168</v>
      </c>
      <c r="E69" t="s">
        <v>135</v>
      </c>
      <c r="F69" t="s">
        <v>65</v>
      </c>
      <c r="G69" t="s">
        <v>169</v>
      </c>
      <c r="H69" t="s">
        <v>170</v>
      </c>
      <c r="I69" t="s">
        <v>199</v>
      </c>
      <c r="J69" t="s">
        <v>148</v>
      </c>
      <c r="K69" t="s">
        <v>78</v>
      </c>
      <c r="L69" t="s">
        <v>200</v>
      </c>
      <c r="M69" t="s">
        <v>17</v>
      </c>
      <c r="N69" t="s">
        <v>141</v>
      </c>
      <c r="O69" t="s">
        <v>20</v>
      </c>
      <c r="P69">
        <v>99</v>
      </c>
      <c r="Q69" s="17">
        <v>99</v>
      </c>
      <c r="R69">
        <v>99</v>
      </c>
      <c r="S69">
        <v>0</v>
      </c>
      <c r="T69">
        <v>0</v>
      </c>
      <c r="U69">
        <v>16.24489796</v>
      </c>
      <c r="V69">
        <v>-0.00199538</v>
      </c>
      <c r="W69">
        <v>99</v>
      </c>
      <c r="X69">
        <v>77.95275591</v>
      </c>
      <c r="Y69">
        <v>1.78571429</v>
      </c>
      <c r="Z69">
        <v>1.27</v>
      </c>
      <c r="AA69" s="2">
        <v>0</v>
      </c>
      <c r="AB69" s="2">
        <v>1</v>
      </c>
      <c r="AC69" s="2">
        <v>38</v>
      </c>
      <c r="AD69" s="2">
        <v>50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>
      <c r="A70" t="s">
        <v>131</v>
      </c>
      <c r="B70" t="s">
        <v>210</v>
      </c>
      <c r="C70" t="s">
        <v>211</v>
      </c>
      <c r="D70" t="s">
        <v>212</v>
      </c>
      <c r="E70" t="s">
        <v>135</v>
      </c>
      <c r="F70" t="s">
        <v>16</v>
      </c>
      <c r="G70" t="s">
        <v>213</v>
      </c>
      <c r="H70" t="s">
        <v>214</v>
      </c>
      <c r="I70" t="s">
        <v>164</v>
      </c>
      <c r="J70" t="s">
        <v>148</v>
      </c>
      <c r="K70" t="s">
        <v>94</v>
      </c>
      <c r="L70" t="s">
        <v>165</v>
      </c>
      <c r="M70" t="s">
        <v>17</v>
      </c>
      <c r="N70" t="s">
        <v>141</v>
      </c>
      <c r="O70" t="s">
        <v>20</v>
      </c>
      <c r="P70">
        <v>93</v>
      </c>
      <c r="Q70" s="17">
        <v>93</v>
      </c>
      <c r="R70">
        <v>93</v>
      </c>
      <c r="S70">
        <v>0</v>
      </c>
      <c r="T70">
        <v>0</v>
      </c>
      <c r="U70">
        <v>42.73913043</v>
      </c>
      <c r="V70">
        <v>0.04606905</v>
      </c>
      <c r="W70">
        <v>93</v>
      </c>
      <c r="X70">
        <v>24.7881961</v>
      </c>
      <c r="Y70">
        <v>1.96428571</v>
      </c>
      <c r="Z70">
        <v>3.75178571</v>
      </c>
      <c r="AA70" s="2">
        <v>2</v>
      </c>
      <c r="AB70" s="2">
        <v>11</v>
      </c>
      <c r="AC70" s="2">
        <v>30</v>
      </c>
      <c r="AD70" s="2">
        <v>58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56</v>
      </c>
      <c r="AN70">
        <v>0</v>
      </c>
    </row>
    <row r="71" spans="1:40">
      <c r="A71" t="s">
        <v>131</v>
      </c>
      <c r="B71" t="s">
        <v>210</v>
      </c>
      <c r="C71" t="s">
        <v>211</v>
      </c>
      <c r="D71" t="s">
        <v>212</v>
      </c>
      <c r="E71" t="s">
        <v>135</v>
      </c>
      <c r="F71" t="s">
        <v>16</v>
      </c>
      <c r="G71" t="s">
        <v>213</v>
      </c>
      <c r="H71" t="s">
        <v>214</v>
      </c>
      <c r="I71" t="s">
        <v>199</v>
      </c>
      <c r="J71" t="s">
        <v>148</v>
      </c>
      <c r="K71" t="s">
        <v>78</v>
      </c>
      <c r="L71" t="s">
        <v>200</v>
      </c>
      <c r="M71" t="s">
        <v>17</v>
      </c>
      <c r="N71" t="s">
        <v>141</v>
      </c>
      <c r="O71" t="s">
        <v>20</v>
      </c>
      <c r="P71">
        <v>93</v>
      </c>
      <c r="Q71" s="17">
        <v>93</v>
      </c>
      <c r="R71">
        <v>93</v>
      </c>
      <c r="S71">
        <v>0</v>
      </c>
      <c r="T71">
        <v>0</v>
      </c>
      <c r="U71">
        <v>70.37142857</v>
      </c>
      <c r="V71">
        <v>0.07306547</v>
      </c>
      <c r="W71">
        <v>93</v>
      </c>
      <c r="X71">
        <v>40.29088659</v>
      </c>
      <c r="Y71">
        <v>1.46428571</v>
      </c>
      <c r="Z71">
        <v>2.30821429</v>
      </c>
      <c r="AA71" s="2">
        <v>3</v>
      </c>
      <c r="AB71" s="2">
        <v>12</v>
      </c>
      <c r="AC71" s="2">
        <v>30</v>
      </c>
      <c r="AD71" s="2">
        <v>45</v>
      </c>
      <c r="AE71">
        <v>0</v>
      </c>
      <c r="AF71">
        <v>0</v>
      </c>
      <c r="AG71">
        <v>0</v>
      </c>
      <c r="AH71">
        <v>0</v>
      </c>
      <c r="AI71">
        <v>16.37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>
      <c r="A72" t="s">
        <v>131</v>
      </c>
      <c r="B72" t="s">
        <v>242</v>
      </c>
      <c r="C72" t="s">
        <v>243</v>
      </c>
      <c r="D72" t="s">
        <v>244</v>
      </c>
      <c r="E72" t="s">
        <v>135</v>
      </c>
      <c r="F72" t="s">
        <v>24</v>
      </c>
      <c r="G72" t="s">
        <v>245</v>
      </c>
      <c r="H72" t="s">
        <v>246</v>
      </c>
      <c r="I72" t="s">
        <v>138</v>
      </c>
      <c r="J72" t="s">
        <v>139</v>
      </c>
      <c r="K72" t="s">
        <v>97</v>
      </c>
      <c r="L72" t="s">
        <v>140</v>
      </c>
      <c r="M72" t="s">
        <v>25</v>
      </c>
      <c r="N72" t="s">
        <v>141</v>
      </c>
      <c r="O72" t="s">
        <v>20</v>
      </c>
      <c r="P72">
        <v>93</v>
      </c>
      <c r="Q72" s="17">
        <v>92</v>
      </c>
      <c r="R72">
        <v>92</v>
      </c>
      <c r="S72">
        <v>0.01075269</v>
      </c>
      <c r="T72">
        <v>1</v>
      </c>
      <c r="U72">
        <v>8.44196429</v>
      </c>
      <c r="V72">
        <v>-0.07842623</v>
      </c>
      <c r="W72">
        <v>92</v>
      </c>
      <c r="X72">
        <v>8.88704892</v>
      </c>
      <c r="Y72">
        <v>10.32142857</v>
      </c>
      <c r="Z72">
        <v>10.35214286</v>
      </c>
      <c r="AA72" s="2">
        <v>13</v>
      </c>
      <c r="AB72" s="2">
        <v>56</v>
      </c>
      <c r="AC72" s="2">
        <v>140</v>
      </c>
      <c r="AD72" s="2">
        <v>307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364</v>
      </c>
      <c r="AN72">
        <v>0</v>
      </c>
    </row>
    <row r="73" spans="1:40">
      <c r="A73" t="s">
        <v>131</v>
      </c>
      <c r="B73" t="s">
        <v>179</v>
      </c>
      <c r="C73" t="s">
        <v>180</v>
      </c>
      <c r="D73" t="s">
        <v>181</v>
      </c>
      <c r="E73" t="s">
        <v>135</v>
      </c>
      <c r="F73" t="s">
        <v>21</v>
      </c>
      <c r="G73" t="s">
        <v>182</v>
      </c>
      <c r="H73" t="s">
        <v>183</v>
      </c>
      <c r="I73" t="s">
        <v>199</v>
      </c>
      <c r="J73" t="s">
        <v>148</v>
      </c>
      <c r="K73" t="s">
        <v>78</v>
      </c>
      <c r="L73" t="s">
        <v>200</v>
      </c>
      <c r="M73" t="s">
        <v>17</v>
      </c>
      <c r="N73" t="s">
        <v>141</v>
      </c>
      <c r="O73" t="s">
        <v>20</v>
      </c>
      <c r="P73">
        <v>91</v>
      </c>
      <c r="Q73" s="17">
        <v>91</v>
      </c>
      <c r="R73">
        <v>91</v>
      </c>
      <c r="S73">
        <v>0</v>
      </c>
      <c r="T73">
        <v>0</v>
      </c>
      <c r="U73">
        <v>11.10714286</v>
      </c>
      <c r="V73">
        <v>-0.01360349</v>
      </c>
      <c r="W73">
        <v>91</v>
      </c>
      <c r="X73">
        <v>28.82679036</v>
      </c>
      <c r="Y73">
        <v>2.60714286</v>
      </c>
      <c r="Z73">
        <v>3.15678571</v>
      </c>
      <c r="AA73" s="2">
        <v>1</v>
      </c>
      <c r="AB73" s="2">
        <v>9</v>
      </c>
      <c r="AC73" s="2">
        <v>24</v>
      </c>
      <c r="AD73" s="2">
        <v>78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48</v>
      </c>
      <c r="AN73">
        <v>0</v>
      </c>
    </row>
    <row r="74" spans="1:40">
      <c r="A74" t="s">
        <v>131</v>
      </c>
      <c r="B74" t="s">
        <v>237</v>
      </c>
      <c r="C74" t="s">
        <v>238</v>
      </c>
      <c r="D74" t="s">
        <v>239</v>
      </c>
      <c r="E74" t="s">
        <v>135</v>
      </c>
      <c r="F74" t="s">
        <v>62</v>
      </c>
      <c r="G74" t="s">
        <v>240</v>
      </c>
      <c r="H74" t="s">
        <v>241</v>
      </c>
      <c r="I74" t="s">
        <v>150</v>
      </c>
      <c r="J74" t="s">
        <v>148</v>
      </c>
      <c r="K74" t="s">
        <v>83</v>
      </c>
      <c r="L74" t="s">
        <v>151</v>
      </c>
      <c r="M74" t="s">
        <v>17</v>
      </c>
      <c r="N74" t="s">
        <v>141</v>
      </c>
      <c r="O74" t="s">
        <v>20</v>
      </c>
      <c r="P74">
        <v>91</v>
      </c>
      <c r="Q74" s="17">
        <v>90</v>
      </c>
      <c r="R74">
        <v>89</v>
      </c>
      <c r="S74">
        <v>0.01098901</v>
      </c>
      <c r="T74">
        <v>1</v>
      </c>
      <c r="U74">
        <v>14.14285714</v>
      </c>
      <c r="V74">
        <v>-0.00864661</v>
      </c>
      <c r="W74">
        <v>89</v>
      </c>
      <c r="X74">
        <v>22.74345167</v>
      </c>
      <c r="Y74">
        <v>3.10714286</v>
      </c>
      <c r="Z74">
        <v>3.91321429</v>
      </c>
      <c r="AA74" s="2">
        <v>4</v>
      </c>
      <c r="AB74" s="2">
        <v>10</v>
      </c>
      <c r="AC74" s="2">
        <v>32</v>
      </c>
      <c r="AD74" s="2">
        <v>95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81</v>
      </c>
      <c r="AN74">
        <v>0</v>
      </c>
    </row>
    <row r="75" spans="1:40">
      <c r="A75" t="s">
        <v>131</v>
      </c>
      <c r="B75" t="s">
        <v>132</v>
      </c>
      <c r="C75" t="s">
        <v>133</v>
      </c>
      <c r="D75" t="s">
        <v>134</v>
      </c>
      <c r="E75" t="s">
        <v>135</v>
      </c>
      <c r="F75" t="s">
        <v>66</v>
      </c>
      <c r="G75" t="s">
        <v>136</v>
      </c>
      <c r="H75" t="s">
        <v>137</v>
      </c>
      <c r="I75" t="s">
        <v>147</v>
      </c>
      <c r="J75" t="s">
        <v>148</v>
      </c>
      <c r="K75" t="s">
        <v>58</v>
      </c>
      <c r="L75" t="s">
        <v>149</v>
      </c>
      <c r="M75" t="s">
        <v>25</v>
      </c>
      <c r="N75" t="s">
        <v>141</v>
      </c>
      <c r="O75" t="s">
        <v>20</v>
      </c>
      <c r="P75">
        <v>90</v>
      </c>
      <c r="Q75" s="17">
        <v>90</v>
      </c>
      <c r="R75">
        <v>89</v>
      </c>
      <c r="S75">
        <v>0</v>
      </c>
      <c r="T75">
        <v>0</v>
      </c>
      <c r="U75">
        <v>23.05555556</v>
      </c>
      <c r="V75">
        <v>0.00817589</v>
      </c>
      <c r="W75">
        <v>89</v>
      </c>
      <c r="X75">
        <v>21.41261385</v>
      </c>
      <c r="Y75">
        <v>1.78571429</v>
      </c>
      <c r="Z75">
        <v>4.15642857</v>
      </c>
      <c r="AA75" s="2">
        <v>6</v>
      </c>
      <c r="AB75" s="2">
        <v>8</v>
      </c>
      <c r="AC75" s="2">
        <v>25</v>
      </c>
      <c r="AD75" s="2">
        <v>54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 t="s">
        <v>131</v>
      </c>
      <c r="B76" t="s">
        <v>179</v>
      </c>
      <c r="C76" t="s">
        <v>180</v>
      </c>
      <c r="D76" t="s">
        <v>181</v>
      </c>
      <c r="E76" t="s">
        <v>135</v>
      </c>
      <c r="F76" t="s">
        <v>21</v>
      </c>
      <c r="G76" t="s">
        <v>182</v>
      </c>
      <c r="H76" t="s">
        <v>183</v>
      </c>
      <c r="I76" t="s">
        <v>217</v>
      </c>
      <c r="J76" t="s">
        <v>148</v>
      </c>
      <c r="K76" t="s">
        <v>84</v>
      </c>
      <c r="L76" t="s">
        <v>218</v>
      </c>
      <c r="M76" t="s">
        <v>17</v>
      </c>
      <c r="N76" t="s">
        <v>141</v>
      </c>
      <c r="O76" t="s">
        <v>20</v>
      </c>
      <c r="P76">
        <v>89</v>
      </c>
      <c r="Q76" s="17">
        <v>89</v>
      </c>
      <c r="R76">
        <v>77</v>
      </c>
      <c r="S76">
        <v>0</v>
      </c>
      <c r="T76">
        <v>0</v>
      </c>
      <c r="U76">
        <v>23.16190476</v>
      </c>
      <c r="V76">
        <v>0.02435152</v>
      </c>
      <c r="W76">
        <v>88</v>
      </c>
      <c r="X76">
        <v>11.75123998</v>
      </c>
      <c r="Y76">
        <v>5.5</v>
      </c>
      <c r="Z76">
        <v>6.5525</v>
      </c>
      <c r="AA76" s="2">
        <v>3</v>
      </c>
      <c r="AB76" s="2">
        <v>32</v>
      </c>
      <c r="AC76" s="2">
        <v>61</v>
      </c>
      <c r="AD76" s="2">
        <v>179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322</v>
      </c>
      <c r="AN76">
        <v>0</v>
      </c>
    </row>
    <row r="77" spans="1:40">
      <c r="A77" t="s">
        <v>131</v>
      </c>
      <c r="B77" t="s">
        <v>247</v>
      </c>
      <c r="C77" t="s">
        <v>248</v>
      </c>
      <c r="D77" t="s">
        <v>249</v>
      </c>
      <c r="E77" t="s">
        <v>135</v>
      </c>
      <c r="F77" t="s">
        <v>48</v>
      </c>
      <c r="G77" t="s">
        <v>250</v>
      </c>
      <c r="H77" t="s">
        <v>251</v>
      </c>
      <c r="I77" t="s">
        <v>138</v>
      </c>
      <c r="J77" t="s">
        <v>139</v>
      </c>
      <c r="K77" t="s">
        <v>97</v>
      </c>
      <c r="L77" t="s">
        <v>140</v>
      </c>
      <c r="M77" t="s">
        <v>25</v>
      </c>
      <c r="N77" t="s">
        <v>141</v>
      </c>
      <c r="O77" t="s">
        <v>20</v>
      </c>
      <c r="P77">
        <v>89</v>
      </c>
      <c r="Q77" s="17">
        <v>89</v>
      </c>
      <c r="R77">
        <v>89</v>
      </c>
      <c r="S77">
        <v>0</v>
      </c>
      <c r="T77">
        <v>0</v>
      </c>
      <c r="U77">
        <v>24.82142857</v>
      </c>
      <c r="V77">
        <v>0.03331269</v>
      </c>
      <c r="W77">
        <v>89</v>
      </c>
      <c r="X77">
        <v>13.71415993</v>
      </c>
      <c r="Y77">
        <v>5.14285714</v>
      </c>
      <c r="Z77">
        <v>6.48964286</v>
      </c>
      <c r="AA77" s="2">
        <v>2</v>
      </c>
      <c r="AB77" s="2">
        <v>42</v>
      </c>
      <c r="AC77" s="2">
        <v>75</v>
      </c>
      <c r="AD77" s="2">
        <v>158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100</v>
      </c>
      <c r="AN77">
        <v>0</v>
      </c>
    </row>
    <row r="78" spans="1:40">
      <c r="A78" t="s">
        <v>131</v>
      </c>
      <c r="B78" t="s">
        <v>237</v>
      </c>
      <c r="C78" t="s">
        <v>238</v>
      </c>
      <c r="D78" t="s">
        <v>239</v>
      </c>
      <c r="E78" t="s">
        <v>135</v>
      </c>
      <c r="F78" t="s">
        <v>62</v>
      </c>
      <c r="G78" t="s">
        <v>240</v>
      </c>
      <c r="H78" t="s">
        <v>241</v>
      </c>
      <c r="I78" t="s">
        <v>203</v>
      </c>
      <c r="J78" t="s">
        <v>139</v>
      </c>
      <c r="K78" t="s">
        <v>88</v>
      </c>
      <c r="L78" t="s">
        <v>204</v>
      </c>
      <c r="M78" t="s">
        <v>17</v>
      </c>
      <c r="N78" t="s">
        <v>141</v>
      </c>
      <c r="O78" t="s">
        <v>20</v>
      </c>
      <c r="P78">
        <v>87</v>
      </c>
      <c r="Q78" s="17">
        <v>87</v>
      </c>
      <c r="R78">
        <v>87</v>
      </c>
      <c r="S78">
        <v>0</v>
      </c>
      <c r="T78">
        <v>0</v>
      </c>
      <c r="U78">
        <v>16.38709677</v>
      </c>
      <c r="V78">
        <v>-0.00327253</v>
      </c>
      <c r="W78">
        <v>87</v>
      </c>
      <c r="X78">
        <v>15.85421412</v>
      </c>
      <c r="Y78">
        <v>4.10714286</v>
      </c>
      <c r="Z78">
        <v>5.4875</v>
      </c>
      <c r="AA78" s="2">
        <v>0</v>
      </c>
      <c r="AB78" s="2">
        <v>25</v>
      </c>
      <c r="AC78" s="2">
        <v>57</v>
      </c>
      <c r="AD78" s="2">
        <v>129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76</v>
      </c>
      <c r="AN78">
        <v>0</v>
      </c>
    </row>
    <row r="79" spans="1:40">
      <c r="A79" t="s">
        <v>131</v>
      </c>
      <c r="B79" t="s">
        <v>242</v>
      </c>
      <c r="C79" t="s">
        <v>243</v>
      </c>
      <c r="D79" t="s">
        <v>244</v>
      </c>
      <c r="E79" t="s">
        <v>135</v>
      </c>
      <c r="F79" t="s">
        <v>24</v>
      </c>
      <c r="G79" t="s">
        <v>245</v>
      </c>
      <c r="H79" t="s">
        <v>246</v>
      </c>
      <c r="I79" t="s">
        <v>150</v>
      </c>
      <c r="J79" t="s">
        <v>148</v>
      </c>
      <c r="K79" t="s">
        <v>83</v>
      </c>
      <c r="L79" t="s">
        <v>151</v>
      </c>
      <c r="M79" t="s">
        <v>25</v>
      </c>
      <c r="N79" t="s">
        <v>141</v>
      </c>
      <c r="O79" t="s">
        <v>20</v>
      </c>
      <c r="P79">
        <v>86</v>
      </c>
      <c r="Q79" s="17">
        <v>85</v>
      </c>
      <c r="R79">
        <v>85</v>
      </c>
      <c r="S79">
        <v>0.01162791</v>
      </c>
      <c r="T79">
        <v>1</v>
      </c>
      <c r="U79">
        <v>9.98876404</v>
      </c>
      <c r="V79">
        <v>-0.02557007</v>
      </c>
      <c r="W79">
        <v>85</v>
      </c>
      <c r="X79">
        <v>26.46208584</v>
      </c>
      <c r="Y79">
        <v>3.89285714</v>
      </c>
      <c r="Z79">
        <v>3.21214286</v>
      </c>
      <c r="AA79" s="2">
        <v>1</v>
      </c>
      <c r="AB79" s="2">
        <v>22</v>
      </c>
      <c r="AC79" s="2">
        <v>50</v>
      </c>
      <c r="AD79" s="2">
        <v>109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</row>
    <row r="80" spans="1:40">
      <c r="A80" t="s">
        <v>131</v>
      </c>
      <c r="B80" t="s">
        <v>219</v>
      </c>
      <c r="C80" t="s">
        <v>220</v>
      </c>
      <c r="D80" t="s">
        <v>221</v>
      </c>
      <c r="E80" t="s">
        <v>135</v>
      </c>
      <c r="F80" t="s">
        <v>63</v>
      </c>
      <c r="G80" t="s">
        <v>222</v>
      </c>
      <c r="H80" t="s">
        <v>223</v>
      </c>
      <c r="I80" t="s">
        <v>138</v>
      </c>
      <c r="J80" t="s">
        <v>139</v>
      </c>
      <c r="K80" t="s">
        <v>97</v>
      </c>
      <c r="L80" t="s">
        <v>140</v>
      </c>
      <c r="M80" t="s">
        <v>17</v>
      </c>
      <c r="N80" t="s">
        <v>141</v>
      </c>
      <c r="O80" t="s">
        <v>20</v>
      </c>
      <c r="P80">
        <v>86</v>
      </c>
      <c r="Q80" s="17">
        <v>86</v>
      </c>
      <c r="R80">
        <v>80</v>
      </c>
      <c r="S80">
        <v>0</v>
      </c>
      <c r="T80">
        <v>0</v>
      </c>
      <c r="U80">
        <v>13.96428571</v>
      </c>
      <c r="V80">
        <v>-0.00730701</v>
      </c>
      <c r="W80">
        <v>80</v>
      </c>
      <c r="X80">
        <v>12.92332545</v>
      </c>
      <c r="Y80">
        <v>2.64285714</v>
      </c>
      <c r="Z80">
        <v>6.19035714</v>
      </c>
      <c r="AA80" s="2">
        <v>4</v>
      </c>
      <c r="AB80" s="2">
        <v>35</v>
      </c>
      <c r="AC80" s="2">
        <v>44</v>
      </c>
      <c r="AD80" s="2">
        <v>74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128</v>
      </c>
      <c r="AN80">
        <v>0</v>
      </c>
    </row>
    <row r="81" spans="1:40">
      <c r="A81" t="s">
        <v>131</v>
      </c>
      <c r="B81" t="s">
        <v>219</v>
      </c>
      <c r="C81" t="s">
        <v>220</v>
      </c>
      <c r="D81" t="s">
        <v>221</v>
      </c>
      <c r="E81" t="s">
        <v>135</v>
      </c>
      <c r="F81" t="s">
        <v>63</v>
      </c>
      <c r="G81" t="s">
        <v>222</v>
      </c>
      <c r="H81" t="s">
        <v>223</v>
      </c>
      <c r="I81" t="s">
        <v>215</v>
      </c>
      <c r="J81" t="s">
        <v>148</v>
      </c>
      <c r="K81" t="s">
        <v>76</v>
      </c>
      <c r="L81" t="s">
        <v>216</v>
      </c>
      <c r="M81" t="s">
        <v>17</v>
      </c>
      <c r="N81" t="s">
        <v>141</v>
      </c>
      <c r="O81" t="s">
        <v>20</v>
      </c>
      <c r="P81">
        <v>85</v>
      </c>
      <c r="Q81" s="17">
        <v>85</v>
      </c>
      <c r="R81">
        <v>85</v>
      </c>
      <c r="S81">
        <v>0</v>
      </c>
      <c r="T81">
        <v>0</v>
      </c>
      <c r="U81">
        <v>15.22727273</v>
      </c>
      <c r="V81">
        <v>-0.00355264</v>
      </c>
      <c r="W81">
        <v>85</v>
      </c>
      <c r="X81">
        <v>19.90798829</v>
      </c>
      <c r="Y81">
        <v>1.60714286</v>
      </c>
      <c r="Z81">
        <v>4.26964286</v>
      </c>
      <c r="AA81" s="2">
        <v>1</v>
      </c>
      <c r="AB81" s="2">
        <v>7</v>
      </c>
      <c r="AC81" s="2">
        <v>28</v>
      </c>
      <c r="AD81" s="2">
        <v>45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113</v>
      </c>
      <c r="AN81">
        <v>0</v>
      </c>
    </row>
    <row r="82" spans="1:40">
      <c r="A82" t="s">
        <v>131</v>
      </c>
      <c r="B82" t="s">
        <v>219</v>
      </c>
      <c r="C82" t="s">
        <v>220</v>
      </c>
      <c r="D82" t="s">
        <v>221</v>
      </c>
      <c r="E82" t="s">
        <v>135</v>
      </c>
      <c r="F82" t="s">
        <v>63</v>
      </c>
      <c r="G82" t="s">
        <v>222</v>
      </c>
      <c r="H82" t="s">
        <v>223</v>
      </c>
      <c r="I82" t="s">
        <v>171</v>
      </c>
      <c r="J82" t="s">
        <v>148</v>
      </c>
      <c r="K82" t="s">
        <v>75</v>
      </c>
      <c r="L82" t="s">
        <v>172</v>
      </c>
      <c r="M82" t="s">
        <v>17</v>
      </c>
      <c r="N82" t="s">
        <v>141</v>
      </c>
      <c r="O82" t="s">
        <v>20</v>
      </c>
      <c r="P82">
        <v>85</v>
      </c>
      <c r="Q82" s="17">
        <v>85</v>
      </c>
      <c r="R82">
        <v>83</v>
      </c>
      <c r="S82">
        <v>0</v>
      </c>
      <c r="T82">
        <v>0</v>
      </c>
      <c r="U82">
        <v>10.325</v>
      </c>
      <c r="V82">
        <v>-0.01094108</v>
      </c>
      <c r="W82">
        <v>83</v>
      </c>
      <c r="X82">
        <v>25.73073516</v>
      </c>
      <c r="Y82">
        <v>1.42857143</v>
      </c>
      <c r="Z82">
        <v>3.22571429</v>
      </c>
      <c r="AA82" s="2">
        <v>0</v>
      </c>
      <c r="AB82" s="2">
        <v>15</v>
      </c>
      <c r="AC82" s="2">
        <v>40</v>
      </c>
      <c r="AD82" s="2">
        <v>40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35</v>
      </c>
      <c r="AN82">
        <v>0</v>
      </c>
    </row>
    <row r="83" spans="1:40">
      <c r="A83" t="s">
        <v>131</v>
      </c>
      <c r="B83" t="s">
        <v>205</v>
      </c>
      <c r="C83" t="s">
        <v>206</v>
      </c>
      <c r="D83" t="s">
        <v>207</v>
      </c>
      <c r="E83" t="s">
        <v>135</v>
      </c>
      <c r="F83" t="s">
        <v>61</v>
      </c>
      <c r="G83" t="s">
        <v>208</v>
      </c>
      <c r="H83" t="s">
        <v>209</v>
      </c>
      <c r="I83" t="s">
        <v>152</v>
      </c>
      <c r="J83" t="s">
        <v>148</v>
      </c>
      <c r="K83" t="s">
        <v>79</v>
      </c>
      <c r="L83" t="s">
        <v>153</v>
      </c>
      <c r="M83" t="s">
        <v>17</v>
      </c>
      <c r="N83" t="s">
        <v>141</v>
      </c>
      <c r="O83" t="s">
        <v>70</v>
      </c>
      <c r="P83">
        <v>84</v>
      </c>
      <c r="Q83" s="17">
        <v>0</v>
      </c>
      <c r="R83">
        <v>0</v>
      </c>
      <c r="S83">
        <v>1</v>
      </c>
      <c r="T83">
        <v>84</v>
      </c>
      <c r="U83">
        <v>92.42105263</v>
      </c>
      <c r="V83">
        <v>0.05610188</v>
      </c>
      <c r="W83">
        <v>0</v>
      </c>
      <c r="X83">
        <v>999999999</v>
      </c>
      <c r="Y83">
        <v>1.21428571</v>
      </c>
      <c r="Z83">
        <v>0</v>
      </c>
      <c r="AA83" s="2">
        <v>0</v>
      </c>
      <c r="AB83" s="2">
        <v>6</v>
      </c>
      <c r="AC83" s="2">
        <v>13</v>
      </c>
      <c r="AD83" s="2">
        <v>35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83</v>
      </c>
      <c r="AN83">
        <v>79</v>
      </c>
    </row>
    <row r="84" spans="1:40">
      <c r="A84" t="s">
        <v>131</v>
      </c>
      <c r="B84" t="s">
        <v>205</v>
      </c>
      <c r="C84" t="s">
        <v>206</v>
      </c>
      <c r="D84" t="s">
        <v>207</v>
      </c>
      <c r="E84" t="s">
        <v>135</v>
      </c>
      <c r="F84" t="s">
        <v>61</v>
      </c>
      <c r="G84" t="s">
        <v>208</v>
      </c>
      <c r="H84" t="s">
        <v>209</v>
      </c>
      <c r="I84" t="s">
        <v>199</v>
      </c>
      <c r="J84" t="s">
        <v>148</v>
      </c>
      <c r="K84" t="s">
        <v>78</v>
      </c>
      <c r="L84" t="s">
        <v>200</v>
      </c>
      <c r="M84" t="s">
        <v>17</v>
      </c>
      <c r="N84" t="s">
        <v>141</v>
      </c>
      <c r="O84" t="s">
        <v>20</v>
      </c>
      <c r="P84">
        <v>84</v>
      </c>
      <c r="Q84" s="17">
        <v>18</v>
      </c>
      <c r="R84">
        <v>18</v>
      </c>
      <c r="S84">
        <v>0.78571429</v>
      </c>
      <c r="T84">
        <v>66</v>
      </c>
      <c r="U84">
        <v>25.15789474</v>
      </c>
      <c r="V84">
        <v>0.01177243</v>
      </c>
      <c r="W84">
        <v>18</v>
      </c>
      <c r="X84">
        <v>14.11764706</v>
      </c>
      <c r="Y84">
        <v>1.5</v>
      </c>
      <c r="Z84">
        <v>1.275</v>
      </c>
      <c r="AA84" s="2">
        <v>0</v>
      </c>
      <c r="AB84" s="2">
        <v>24</v>
      </c>
      <c r="AC84" s="2">
        <v>33</v>
      </c>
      <c r="AD84" s="2">
        <v>42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36</v>
      </c>
      <c r="AN84">
        <v>64</v>
      </c>
    </row>
    <row r="85" spans="1:40">
      <c r="A85" t="s">
        <v>131</v>
      </c>
      <c r="B85" t="s">
        <v>132</v>
      </c>
      <c r="C85" t="s">
        <v>133</v>
      </c>
      <c r="D85" t="s">
        <v>134</v>
      </c>
      <c r="E85" t="s">
        <v>135</v>
      </c>
      <c r="F85" t="s">
        <v>66</v>
      </c>
      <c r="G85" t="s">
        <v>136</v>
      </c>
      <c r="H85" t="s">
        <v>137</v>
      </c>
      <c r="I85" t="s">
        <v>173</v>
      </c>
      <c r="J85" t="s">
        <v>148</v>
      </c>
      <c r="K85" t="s">
        <v>98</v>
      </c>
      <c r="L85" t="s">
        <v>174</v>
      </c>
      <c r="M85" t="s">
        <v>25</v>
      </c>
      <c r="N85" t="s">
        <v>141</v>
      </c>
      <c r="O85" t="s">
        <v>20</v>
      </c>
      <c r="P85">
        <v>83</v>
      </c>
      <c r="Q85" s="17">
        <v>83</v>
      </c>
      <c r="R85">
        <v>83</v>
      </c>
      <c r="S85">
        <v>0</v>
      </c>
      <c r="T85">
        <v>0</v>
      </c>
      <c r="U85">
        <v>40.13513514</v>
      </c>
      <c r="V85">
        <v>0.03325368</v>
      </c>
      <c r="W85">
        <v>83</v>
      </c>
      <c r="X85">
        <v>18.80563198</v>
      </c>
      <c r="Y85">
        <v>1.32142857</v>
      </c>
      <c r="Z85">
        <v>4.41357143</v>
      </c>
      <c r="AA85" s="2">
        <v>3</v>
      </c>
      <c r="AB85" s="2">
        <v>15</v>
      </c>
      <c r="AC85" s="2">
        <v>22</v>
      </c>
      <c r="AD85" s="2">
        <v>37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>
      <c r="A86" t="s">
        <v>131</v>
      </c>
      <c r="B86" t="s">
        <v>210</v>
      </c>
      <c r="C86" t="s">
        <v>211</v>
      </c>
      <c r="D86" t="s">
        <v>212</v>
      </c>
      <c r="E86" t="s">
        <v>135</v>
      </c>
      <c r="F86" t="s">
        <v>16</v>
      </c>
      <c r="G86" t="s">
        <v>213</v>
      </c>
      <c r="H86" t="s">
        <v>214</v>
      </c>
      <c r="I86" t="s">
        <v>201</v>
      </c>
      <c r="J86" t="s">
        <v>148</v>
      </c>
      <c r="K86" t="s">
        <v>67</v>
      </c>
      <c r="L86" t="s">
        <v>202</v>
      </c>
      <c r="M86" t="s">
        <v>17</v>
      </c>
      <c r="N86" t="s">
        <v>141</v>
      </c>
      <c r="O86" t="s">
        <v>20</v>
      </c>
      <c r="P86">
        <v>82</v>
      </c>
      <c r="Q86" s="17">
        <v>82</v>
      </c>
      <c r="R86">
        <v>81</v>
      </c>
      <c r="S86">
        <v>0</v>
      </c>
      <c r="T86">
        <v>0</v>
      </c>
      <c r="U86">
        <v>106.31578947</v>
      </c>
      <c r="V86">
        <v>0.06647597</v>
      </c>
      <c r="W86">
        <v>81</v>
      </c>
      <c r="X86">
        <v>49.95594714</v>
      </c>
      <c r="Y86">
        <v>1.25</v>
      </c>
      <c r="Z86">
        <v>1.62142857</v>
      </c>
      <c r="AA86" s="2">
        <v>0</v>
      </c>
      <c r="AB86" s="2">
        <v>9</v>
      </c>
      <c r="AC86" s="2">
        <v>13</v>
      </c>
      <c r="AD86" s="2">
        <v>35</v>
      </c>
      <c r="AE86">
        <v>0</v>
      </c>
      <c r="AF86">
        <v>0</v>
      </c>
      <c r="AG86">
        <v>0</v>
      </c>
      <c r="AH86">
        <v>0</v>
      </c>
      <c r="AI86">
        <v>22.67</v>
      </c>
      <c r="AJ86">
        <v>0</v>
      </c>
      <c r="AK86">
        <v>0</v>
      </c>
      <c r="AL86">
        <v>0</v>
      </c>
      <c r="AM86">
        <v>0</v>
      </c>
      <c r="AN86">
        <v>0</v>
      </c>
    </row>
    <row r="87" spans="1:40">
      <c r="A87" t="s">
        <v>131</v>
      </c>
      <c r="B87" t="s">
        <v>242</v>
      </c>
      <c r="C87" t="s">
        <v>243</v>
      </c>
      <c r="D87" t="s">
        <v>244</v>
      </c>
      <c r="E87" t="s">
        <v>135</v>
      </c>
      <c r="F87" t="s">
        <v>24</v>
      </c>
      <c r="G87" t="s">
        <v>245</v>
      </c>
      <c r="H87" t="s">
        <v>246</v>
      </c>
      <c r="I87" t="s">
        <v>215</v>
      </c>
      <c r="J87" t="s">
        <v>148</v>
      </c>
      <c r="K87" t="s">
        <v>76</v>
      </c>
      <c r="L87" t="s">
        <v>216</v>
      </c>
      <c r="M87" t="s">
        <v>25</v>
      </c>
      <c r="N87" t="s">
        <v>141</v>
      </c>
      <c r="O87" t="s">
        <v>52</v>
      </c>
      <c r="P87">
        <v>82</v>
      </c>
      <c r="Q87" s="17">
        <v>81</v>
      </c>
      <c r="R87">
        <v>81</v>
      </c>
      <c r="S87">
        <v>0.01219512</v>
      </c>
      <c r="T87">
        <v>1</v>
      </c>
      <c r="U87">
        <v>10.75806452</v>
      </c>
      <c r="V87">
        <v>-0.01591648</v>
      </c>
      <c r="W87">
        <v>81</v>
      </c>
      <c r="X87">
        <v>31.61856964</v>
      </c>
      <c r="Y87">
        <v>2.64285714</v>
      </c>
      <c r="Z87">
        <v>2.56178571</v>
      </c>
      <c r="AA87" s="2">
        <v>0</v>
      </c>
      <c r="AB87" s="2">
        <v>19</v>
      </c>
      <c r="AC87" s="2">
        <v>44</v>
      </c>
      <c r="AD87" s="2">
        <v>76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</row>
    <row r="88" spans="1:40">
      <c r="A88" t="s">
        <v>131</v>
      </c>
      <c r="B88" t="s">
        <v>205</v>
      </c>
      <c r="C88" t="s">
        <v>206</v>
      </c>
      <c r="D88" t="s">
        <v>207</v>
      </c>
      <c r="E88" t="s">
        <v>135</v>
      </c>
      <c r="F88" t="s">
        <v>61</v>
      </c>
      <c r="G88" t="s">
        <v>208</v>
      </c>
      <c r="H88" t="s">
        <v>209</v>
      </c>
      <c r="I88" t="s">
        <v>177</v>
      </c>
      <c r="J88" t="s">
        <v>148</v>
      </c>
      <c r="K88" t="s">
        <v>69</v>
      </c>
      <c r="L88" t="s">
        <v>178</v>
      </c>
      <c r="M88" t="s">
        <v>17</v>
      </c>
      <c r="N88" t="s">
        <v>141</v>
      </c>
      <c r="O88" t="s">
        <v>20</v>
      </c>
      <c r="P88">
        <v>82</v>
      </c>
      <c r="Q88" s="17">
        <v>55</v>
      </c>
      <c r="R88">
        <v>55</v>
      </c>
      <c r="S88">
        <v>0.32926829</v>
      </c>
      <c r="T88">
        <v>27</v>
      </c>
      <c r="U88">
        <v>45.66666667</v>
      </c>
      <c r="V88">
        <v>0.01672955</v>
      </c>
      <c r="W88">
        <v>55</v>
      </c>
      <c r="X88">
        <v>39.71119134</v>
      </c>
      <c r="Y88">
        <v>0.82142857</v>
      </c>
      <c r="Z88">
        <v>1.385</v>
      </c>
      <c r="AA88" s="2">
        <v>0</v>
      </c>
      <c r="AB88" s="2">
        <v>7</v>
      </c>
      <c r="AC88" s="2">
        <v>13</v>
      </c>
      <c r="AD88" s="2">
        <v>26</v>
      </c>
      <c r="AE88">
        <v>0</v>
      </c>
      <c r="AF88">
        <v>0</v>
      </c>
      <c r="AG88">
        <v>0</v>
      </c>
      <c r="AH88">
        <v>0</v>
      </c>
      <c r="AI88">
        <v>0.73</v>
      </c>
      <c r="AJ88">
        <v>0</v>
      </c>
      <c r="AK88">
        <v>0</v>
      </c>
      <c r="AL88">
        <v>0</v>
      </c>
      <c r="AM88">
        <v>0</v>
      </c>
      <c r="AN88">
        <v>0</v>
      </c>
    </row>
    <row r="89" spans="1:40">
      <c r="A89" t="s">
        <v>131</v>
      </c>
      <c r="B89" t="s">
        <v>205</v>
      </c>
      <c r="C89" t="s">
        <v>206</v>
      </c>
      <c r="D89" t="s">
        <v>207</v>
      </c>
      <c r="E89" t="s">
        <v>135</v>
      </c>
      <c r="F89" t="s">
        <v>61</v>
      </c>
      <c r="G89" t="s">
        <v>208</v>
      </c>
      <c r="H89" t="s">
        <v>209</v>
      </c>
      <c r="I89" t="s">
        <v>173</v>
      </c>
      <c r="J89" t="s">
        <v>148</v>
      </c>
      <c r="K89" t="s">
        <v>98</v>
      </c>
      <c r="L89" t="s">
        <v>174</v>
      </c>
      <c r="M89" t="s">
        <v>17</v>
      </c>
      <c r="N89" t="s">
        <v>141</v>
      </c>
      <c r="O89" t="s">
        <v>20</v>
      </c>
      <c r="P89">
        <v>82</v>
      </c>
      <c r="Q89" s="17">
        <v>46</v>
      </c>
      <c r="R89">
        <v>46</v>
      </c>
      <c r="S89">
        <v>0.43902439</v>
      </c>
      <c r="T89">
        <v>36</v>
      </c>
      <c r="U89">
        <v>48.34782609</v>
      </c>
      <c r="V89">
        <v>0.02808366</v>
      </c>
      <c r="W89">
        <v>46</v>
      </c>
      <c r="X89">
        <v>25.12190365</v>
      </c>
      <c r="Y89">
        <v>1.10714286</v>
      </c>
      <c r="Z89">
        <v>1.83107143</v>
      </c>
      <c r="AA89" s="2">
        <v>0</v>
      </c>
      <c r="AB89" s="2">
        <v>5</v>
      </c>
      <c r="AC89" s="2">
        <v>8</v>
      </c>
      <c r="AD89" s="2">
        <v>34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35</v>
      </c>
      <c r="AN89">
        <v>27</v>
      </c>
    </row>
    <row r="90" spans="1:40">
      <c r="A90" t="s">
        <v>131</v>
      </c>
      <c r="B90" t="s">
        <v>205</v>
      </c>
      <c r="C90" t="s">
        <v>206</v>
      </c>
      <c r="D90" t="s">
        <v>207</v>
      </c>
      <c r="E90" t="s">
        <v>135</v>
      </c>
      <c r="F90" t="s">
        <v>61</v>
      </c>
      <c r="G90" t="s">
        <v>208</v>
      </c>
      <c r="H90" t="s">
        <v>209</v>
      </c>
      <c r="I90" t="s">
        <v>201</v>
      </c>
      <c r="J90" t="s">
        <v>148</v>
      </c>
      <c r="K90" t="s">
        <v>67</v>
      </c>
      <c r="L90" t="s">
        <v>202</v>
      </c>
      <c r="M90" t="s">
        <v>17</v>
      </c>
      <c r="N90" t="s">
        <v>141</v>
      </c>
      <c r="O90" t="s">
        <v>20</v>
      </c>
      <c r="P90">
        <v>82</v>
      </c>
      <c r="Q90" s="17">
        <v>82</v>
      </c>
      <c r="R90">
        <v>82</v>
      </c>
      <c r="S90">
        <v>0</v>
      </c>
      <c r="T90">
        <v>0</v>
      </c>
      <c r="U90">
        <v>82.24</v>
      </c>
      <c r="V90">
        <v>0.06383149</v>
      </c>
      <c r="W90">
        <v>82</v>
      </c>
      <c r="X90">
        <v>59.20577617</v>
      </c>
      <c r="Y90">
        <v>1</v>
      </c>
      <c r="Z90">
        <v>1.385</v>
      </c>
      <c r="AA90" s="2">
        <v>1</v>
      </c>
      <c r="AB90" s="2">
        <v>7</v>
      </c>
      <c r="AC90" s="2">
        <v>13</v>
      </c>
      <c r="AD90" s="2">
        <v>28</v>
      </c>
      <c r="AE90">
        <v>0</v>
      </c>
      <c r="AF90">
        <v>0</v>
      </c>
      <c r="AG90">
        <v>0</v>
      </c>
      <c r="AH90">
        <v>0</v>
      </c>
      <c r="AI90">
        <v>30.98</v>
      </c>
      <c r="AJ90">
        <v>0</v>
      </c>
      <c r="AK90">
        <v>0</v>
      </c>
      <c r="AL90">
        <v>0</v>
      </c>
      <c r="AM90">
        <v>0</v>
      </c>
      <c r="AN90">
        <v>0</v>
      </c>
    </row>
    <row r="91" spans="1:40">
      <c r="A91" t="s">
        <v>131</v>
      </c>
      <c r="B91" t="s">
        <v>132</v>
      </c>
      <c r="C91" t="s">
        <v>133</v>
      </c>
      <c r="D91" t="s">
        <v>134</v>
      </c>
      <c r="E91" t="s">
        <v>135</v>
      </c>
      <c r="F91" t="s">
        <v>66</v>
      </c>
      <c r="G91" t="s">
        <v>136</v>
      </c>
      <c r="H91" t="s">
        <v>137</v>
      </c>
      <c r="I91" t="s">
        <v>215</v>
      </c>
      <c r="J91" t="s">
        <v>148</v>
      </c>
      <c r="K91" t="s">
        <v>76</v>
      </c>
      <c r="L91" t="s">
        <v>216</v>
      </c>
      <c r="M91" t="s">
        <v>25</v>
      </c>
      <c r="N91" t="s">
        <v>141</v>
      </c>
      <c r="O91" t="s">
        <v>20</v>
      </c>
      <c r="P91">
        <v>81</v>
      </c>
      <c r="Q91" s="17">
        <v>81</v>
      </c>
      <c r="R91">
        <v>81</v>
      </c>
      <c r="S91">
        <v>0</v>
      </c>
      <c r="T91">
        <v>0</v>
      </c>
      <c r="U91">
        <v>44.85714286</v>
      </c>
      <c r="V91">
        <v>0.02275881</v>
      </c>
      <c r="W91">
        <v>81</v>
      </c>
      <c r="X91">
        <v>18.84346959</v>
      </c>
      <c r="Y91">
        <v>1.17857143</v>
      </c>
      <c r="Z91">
        <v>4.29857143</v>
      </c>
      <c r="AA91" s="2">
        <v>0</v>
      </c>
      <c r="AB91" s="2">
        <v>9</v>
      </c>
      <c r="AC91" s="2">
        <v>15</v>
      </c>
      <c r="AD91" s="2">
        <v>39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</row>
    <row r="92" spans="1:40">
      <c r="A92" t="s">
        <v>131</v>
      </c>
      <c r="B92" t="s">
        <v>252</v>
      </c>
      <c r="C92" t="s">
        <v>253</v>
      </c>
      <c r="D92" t="s">
        <v>254</v>
      </c>
      <c r="E92" t="s">
        <v>135</v>
      </c>
      <c r="F92" t="s">
        <v>40</v>
      </c>
      <c r="G92" t="s">
        <v>255</v>
      </c>
      <c r="H92" t="s">
        <v>256</v>
      </c>
      <c r="I92" t="s">
        <v>196</v>
      </c>
      <c r="J92" t="s">
        <v>197</v>
      </c>
      <c r="K92" t="s">
        <v>96</v>
      </c>
      <c r="L92" t="s">
        <v>198</v>
      </c>
      <c r="M92" t="s">
        <v>25</v>
      </c>
      <c r="N92" t="s">
        <v>141</v>
      </c>
      <c r="P92">
        <v>80</v>
      </c>
      <c r="Q92" s="17">
        <v>80</v>
      </c>
      <c r="R92">
        <v>56</v>
      </c>
      <c r="S92">
        <v>0</v>
      </c>
      <c r="T92">
        <v>0</v>
      </c>
      <c r="U92">
        <v>-99</v>
      </c>
      <c r="W92">
        <v>80</v>
      </c>
      <c r="X92">
        <v>-99</v>
      </c>
      <c r="Y92">
        <v>0</v>
      </c>
      <c r="AA92" s="2">
        <v>0</v>
      </c>
      <c r="AB92" s="2">
        <v>0</v>
      </c>
      <c r="AC92" s="2">
        <v>0</v>
      </c>
      <c r="AD92" s="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416</v>
      </c>
      <c r="AN92">
        <v>0</v>
      </c>
    </row>
    <row r="93" spans="1:40">
      <c r="A93" t="s">
        <v>131</v>
      </c>
      <c r="B93" t="s">
        <v>232</v>
      </c>
      <c r="C93" t="s">
        <v>233</v>
      </c>
      <c r="D93" t="s">
        <v>234</v>
      </c>
      <c r="E93" t="s">
        <v>135</v>
      </c>
      <c r="F93" t="s">
        <v>23</v>
      </c>
      <c r="G93" t="s">
        <v>235</v>
      </c>
      <c r="H93" t="s">
        <v>236</v>
      </c>
      <c r="I93" t="s">
        <v>201</v>
      </c>
      <c r="J93" t="s">
        <v>148</v>
      </c>
      <c r="K93" t="s">
        <v>67</v>
      </c>
      <c r="L93" t="s">
        <v>202</v>
      </c>
      <c r="M93" t="s">
        <v>17</v>
      </c>
      <c r="N93" t="s">
        <v>141</v>
      </c>
      <c r="O93" t="s">
        <v>20</v>
      </c>
      <c r="P93">
        <v>80</v>
      </c>
      <c r="Q93" s="17">
        <v>80</v>
      </c>
      <c r="R93">
        <v>80</v>
      </c>
      <c r="S93">
        <v>0</v>
      </c>
      <c r="T93">
        <v>0</v>
      </c>
      <c r="U93">
        <v>234.875</v>
      </c>
      <c r="V93">
        <v>0.06837504</v>
      </c>
      <c r="W93">
        <v>80</v>
      </c>
      <c r="X93">
        <v>122.0043573</v>
      </c>
      <c r="Y93">
        <v>0.35714286</v>
      </c>
      <c r="Z93">
        <v>0.65571429</v>
      </c>
      <c r="AA93" s="2">
        <v>0</v>
      </c>
      <c r="AB93" s="2">
        <v>5</v>
      </c>
      <c r="AC93" s="2">
        <v>8</v>
      </c>
      <c r="AD93" s="2">
        <v>10</v>
      </c>
      <c r="AE93">
        <v>0</v>
      </c>
      <c r="AF93">
        <v>0</v>
      </c>
      <c r="AG93">
        <v>0</v>
      </c>
      <c r="AH93">
        <v>0</v>
      </c>
      <c r="AI93">
        <v>59.27</v>
      </c>
      <c r="AJ93">
        <v>0</v>
      </c>
      <c r="AK93">
        <v>0</v>
      </c>
      <c r="AL93">
        <v>0</v>
      </c>
      <c r="AM93">
        <v>0</v>
      </c>
      <c r="AN93">
        <v>0</v>
      </c>
    </row>
    <row r="94" spans="1:40">
      <c r="A94" t="s">
        <v>131</v>
      </c>
      <c r="B94" t="s">
        <v>242</v>
      </c>
      <c r="C94" t="s">
        <v>243</v>
      </c>
      <c r="D94" t="s">
        <v>244</v>
      </c>
      <c r="E94" t="s">
        <v>135</v>
      </c>
      <c r="F94" t="s">
        <v>24</v>
      </c>
      <c r="G94" t="s">
        <v>245</v>
      </c>
      <c r="H94" t="s">
        <v>246</v>
      </c>
      <c r="I94" t="s">
        <v>173</v>
      </c>
      <c r="J94" t="s">
        <v>148</v>
      </c>
      <c r="K94" t="s">
        <v>98</v>
      </c>
      <c r="L94" t="s">
        <v>174</v>
      </c>
      <c r="M94" t="s">
        <v>25</v>
      </c>
      <c r="N94" t="s">
        <v>141</v>
      </c>
      <c r="O94" t="s">
        <v>20</v>
      </c>
      <c r="P94">
        <v>80</v>
      </c>
      <c r="Q94" s="17">
        <v>78</v>
      </c>
      <c r="R94">
        <v>78</v>
      </c>
      <c r="S94">
        <v>0.025</v>
      </c>
      <c r="T94">
        <v>2</v>
      </c>
      <c r="U94">
        <v>10.57142857</v>
      </c>
      <c r="V94">
        <v>-0.01663668</v>
      </c>
      <c r="W94">
        <v>78</v>
      </c>
      <c r="X94">
        <v>25.82170726</v>
      </c>
      <c r="Y94">
        <v>2.57142857</v>
      </c>
      <c r="Z94">
        <v>3.02071429</v>
      </c>
      <c r="AA94" s="2">
        <v>0</v>
      </c>
      <c r="AB94" s="2">
        <v>18</v>
      </c>
      <c r="AC94" s="2">
        <v>32</v>
      </c>
      <c r="AD94" s="2">
        <v>79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</row>
    <row r="95" spans="1:40">
      <c r="A95" t="s">
        <v>131</v>
      </c>
      <c r="B95" t="s">
        <v>237</v>
      </c>
      <c r="C95" t="s">
        <v>238</v>
      </c>
      <c r="D95" t="s">
        <v>239</v>
      </c>
      <c r="E95" t="s">
        <v>135</v>
      </c>
      <c r="F95" t="s">
        <v>62</v>
      </c>
      <c r="G95" t="s">
        <v>240</v>
      </c>
      <c r="H95" t="s">
        <v>241</v>
      </c>
      <c r="I95" t="s">
        <v>173</v>
      </c>
      <c r="J95" t="s">
        <v>148</v>
      </c>
      <c r="K95" t="s">
        <v>98</v>
      </c>
      <c r="L95" t="s">
        <v>174</v>
      </c>
      <c r="M95" t="s">
        <v>17</v>
      </c>
      <c r="N95" t="s">
        <v>141</v>
      </c>
      <c r="O95" t="s">
        <v>20</v>
      </c>
      <c r="P95">
        <v>80</v>
      </c>
      <c r="Q95" s="17">
        <v>79</v>
      </c>
      <c r="R95">
        <v>79</v>
      </c>
      <c r="S95">
        <v>0.0125</v>
      </c>
      <c r="T95">
        <v>1</v>
      </c>
      <c r="U95">
        <v>17.64285714</v>
      </c>
      <c r="V95">
        <v>0.00079972</v>
      </c>
      <c r="W95">
        <v>79</v>
      </c>
      <c r="X95">
        <v>22.38186785</v>
      </c>
      <c r="Y95">
        <v>2.75</v>
      </c>
      <c r="Z95">
        <v>3.52964286</v>
      </c>
      <c r="AA95" s="2">
        <v>1</v>
      </c>
      <c r="AB95" s="2">
        <v>17</v>
      </c>
      <c r="AC95" s="2">
        <v>34</v>
      </c>
      <c r="AD95" s="2">
        <v>82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75</v>
      </c>
      <c r="AN95">
        <v>0</v>
      </c>
    </row>
    <row r="96" spans="1:40">
      <c r="A96" t="s">
        <v>131</v>
      </c>
      <c r="B96" t="s">
        <v>237</v>
      </c>
      <c r="C96" t="s">
        <v>238</v>
      </c>
      <c r="D96" t="s">
        <v>239</v>
      </c>
      <c r="E96" t="s">
        <v>135</v>
      </c>
      <c r="F96" t="s">
        <v>62</v>
      </c>
      <c r="G96" t="s">
        <v>240</v>
      </c>
      <c r="H96" t="s">
        <v>241</v>
      </c>
      <c r="I96" t="s">
        <v>217</v>
      </c>
      <c r="J96" t="s">
        <v>148</v>
      </c>
      <c r="K96" t="s">
        <v>84</v>
      </c>
      <c r="L96" t="s">
        <v>218</v>
      </c>
      <c r="M96" t="s">
        <v>17</v>
      </c>
      <c r="N96" t="s">
        <v>141</v>
      </c>
      <c r="O96" t="s">
        <v>20</v>
      </c>
      <c r="P96">
        <v>80</v>
      </c>
      <c r="Q96" s="17">
        <v>78</v>
      </c>
      <c r="R96">
        <v>78</v>
      </c>
      <c r="S96">
        <v>0.025</v>
      </c>
      <c r="T96">
        <v>2</v>
      </c>
      <c r="U96">
        <v>25.38461538</v>
      </c>
      <c r="V96">
        <v>0.02489906</v>
      </c>
      <c r="W96">
        <v>78</v>
      </c>
      <c r="X96">
        <v>19.71297048</v>
      </c>
      <c r="Y96">
        <v>3.28571429</v>
      </c>
      <c r="Z96">
        <v>3.95678571</v>
      </c>
      <c r="AA96" s="2">
        <v>6</v>
      </c>
      <c r="AB96" s="2">
        <v>21</v>
      </c>
      <c r="AC96" s="2">
        <v>40</v>
      </c>
      <c r="AD96" s="2">
        <v>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84</v>
      </c>
      <c r="AN96">
        <v>0</v>
      </c>
    </row>
    <row r="97" spans="1:40">
      <c r="A97" t="s">
        <v>131</v>
      </c>
      <c r="B97" t="s">
        <v>159</v>
      </c>
      <c r="C97" t="s">
        <v>160</v>
      </c>
      <c r="D97" t="s">
        <v>161</v>
      </c>
      <c r="E97" t="s">
        <v>135</v>
      </c>
      <c r="F97" t="s">
        <v>59</v>
      </c>
      <c r="G97" t="s">
        <v>162</v>
      </c>
      <c r="H97" t="s">
        <v>163</v>
      </c>
      <c r="I97" t="s">
        <v>152</v>
      </c>
      <c r="J97" t="s">
        <v>148</v>
      </c>
      <c r="K97" t="s">
        <v>79</v>
      </c>
      <c r="L97" t="s">
        <v>153</v>
      </c>
      <c r="M97" t="s">
        <v>17</v>
      </c>
      <c r="N97" t="s">
        <v>141</v>
      </c>
      <c r="O97" t="s">
        <v>20</v>
      </c>
      <c r="P97">
        <v>80</v>
      </c>
      <c r="Q97" s="17">
        <v>80</v>
      </c>
      <c r="R97">
        <v>80</v>
      </c>
      <c r="S97">
        <v>0</v>
      </c>
      <c r="T97">
        <v>0</v>
      </c>
      <c r="U97">
        <v>15.55882353</v>
      </c>
      <c r="V97">
        <v>-0.00460798</v>
      </c>
      <c r="W97">
        <v>80</v>
      </c>
      <c r="X97">
        <v>10.63829787</v>
      </c>
      <c r="Y97">
        <v>2.5</v>
      </c>
      <c r="Z97">
        <v>7.52</v>
      </c>
      <c r="AA97" s="2">
        <v>4</v>
      </c>
      <c r="AB97" s="2">
        <v>12</v>
      </c>
      <c r="AC97" s="2">
        <v>47</v>
      </c>
      <c r="AD97" s="2">
        <v>70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222</v>
      </c>
      <c r="AN97">
        <v>0</v>
      </c>
    </row>
    <row r="98" spans="1:40">
      <c r="A98" t="s">
        <v>131</v>
      </c>
      <c r="B98" t="s">
        <v>179</v>
      </c>
      <c r="C98" t="s">
        <v>180</v>
      </c>
      <c r="D98" t="s">
        <v>181</v>
      </c>
      <c r="E98" t="s">
        <v>135</v>
      </c>
      <c r="F98" t="s">
        <v>21</v>
      </c>
      <c r="G98" t="s">
        <v>182</v>
      </c>
      <c r="H98" t="s">
        <v>183</v>
      </c>
      <c r="I98" t="s">
        <v>215</v>
      </c>
      <c r="J98" t="s">
        <v>148</v>
      </c>
      <c r="K98" t="s">
        <v>76</v>
      </c>
      <c r="L98" t="s">
        <v>216</v>
      </c>
      <c r="M98" t="s">
        <v>17</v>
      </c>
      <c r="N98" t="s">
        <v>141</v>
      </c>
      <c r="O98" t="s">
        <v>20</v>
      </c>
      <c r="P98">
        <v>79</v>
      </c>
      <c r="Q98" s="17">
        <v>79</v>
      </c>
      <c r="R98">
        <v>79</v>
      </c>
      <c r="S98">
        <v>0</v>
      </c>
      <c r="T98">
        <v>0</v>
      </c>
      <c r="U98">
        <v>10.12</v>
      </c>
      <c r="V98">
        <v>-0.014085</v>
      </c>
      <c r="W98">
        <v>79</v>
      </c>
      <c r="X98">
        <v>33.62213102</v>
      </c>
      <c r="Y98">
        <v>2.32142857</v>
      </c>
      <c r="Z98">
        <v>2.34964286</v>
      </c>
      <c r="AA98" s="2">
        <v>5</v>
      </c>
      <c r="AB98" s="2">
        <v>15</v>
      </c>
      <c r="AC98" s="2">
        <v>17</v>
      </c>
      <c r="AD98" s="2">
        <v>68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15</v>
      </c>
      <c r="AN98">
        <v>0</v>
      </c>
    </row>
    <row r="99" spans="1:40">
      <c r="A99" t="s">
        <v>131</v>
      </c>
      <c r="B99" t="s">
        <v>242</v>
      </c>
      <c r="C99" t="s">
        <v>243</v>
      </c>
      <c r="D99" t="s">
        <v>244</v>
      </c>
      <c r="E99" t="s">
        <v>135</v>
      </c>
      <c r="F99" t="s">
        <v>24</v>
      </c>
      <c r="G99" t="s">
        <v>245</v>
      </c>
      <c r="H99" t="s">
        <v>246</v>
      </c>
      <c r="I99" t="s">
        <v>257</v>
      </c>
      <c r="J99" t="s">
        <v>148</v>
      </c>
      <c r="K99" t="s">
        <v>86</v>
      </c>
      <c r="L99" t="s">
        <v>258</v>
      </c>
      <c r="M99" t="s">
        <v>25</v>
      </c>
      <c r="N99" t="s">
        <v>141</v>
      </c>
      <c r="O99" t="s">
        <v>52</v>
      </c>
      <c r="P99">
        <v>78</v>
      </c>
      <c r="Q99" s="17">
        <v>78</v>
      </c>
      <c r="R99">
        <v>78</v>
      </c>
      <c r="S99">
        <v>0</v>
      </c>
      <c r="T99">
        <v>0</v>
      </c>
      <c r="U99">
        <v>9.36363636</v>
      </c>
      <c r="V99">
        <v>-0.01713357</v>
      </c>
      <c r="W99">
        <v>78</v>
      </c>
      <c r="X99">
        <v>31.38381951</v>
      </c>
      <c r="Y99">
        <v>2.10714286</v>
      </c>
      <c r="Z99">
        <v>2.48535714</v>
      </c>
      <c r="AA99" s="2">
        <v>2</v>
      </c>
      <c r="AB99" s="2">
        <v>12</v>
      </c>
      <c r="AC99" s="2">
        <v>32</v>
      </c>
      <c r="AD99" s="2">
        <v>63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>
      <c r="A100" t="s">
        <v>131</v>
      </c>
      <c r="B100" t="s">
        <v>179</v>
      </c>
      <c r="C100" t="s">
        <v>180</v>
      </c>
      <c r="D100" t="s">
        <v>181</v>
      </c>
      <c r="E100" t="s">
        <v>135</v>
      </c>
      <c r="F100" t="s">
        <v>21</v>
      </c>
      <c r="G100" t="s">
        <v>182</v>
      </c>
      <c r="H100" t="s">
        <v>183</v>
      </c>
      <c r="I100" t="s">
        <v>138</v>
      </c>
      <c r="J100" t="s">
        <v>139</v>
      </c>
      <c r="K100" t="s">
        <v>97</v>
      </c>
      <c r="L100" t="s">
        <v>140</v>
      </c>
      <c r="M100" t="s">
        <v>17</v>
      </c>
      <c r="N100" t="s">
        <v>141</v>
      </c>
      <c r="O100" t="s">
        <v>20</v>
      </c>
      <c r="P100">
        <v>77</v>
      </c>
      <c r="Q100" s="17">
        <v>77</v>
      </c>
      <c r="R100">
        <v>75</v>
      </c>
      <c r="S100">
        <v>0</v>
      </c>
      <c r="T100">
        <v>0</v>
      </c>
      <c r="U100">
        <v>30</v>
      </c>
      <c r="V100">
        <v>0.03003904</v>
      </c>
      <c r="W100">
        <v>75</v>
      </c>
      <c r="X100">
        <v>22.30957187</v>
      </c>
      <c r="Y100">
        <v>3.82142857</v>
      </c>
      <c r="Z100">
        <v>3.36178571</v>
      </c>
      <c r="AA100" s="2">
        <v>9</v>
      </c>
      <c r="AB100" s="2">
        <v>28</v>
      </c>
      <c r="AC100" s="2">
        <v>46</v>
      </c>
      <c r="AD100" s="2">
        <v>108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12</v>
      </c>
      <c r="AN100">
        <v>0</v>
      </c>
    </row>
    <row r="101" spans="1:40">
      <c r="A101" t="s">
        <v>131</v>
      </c>
      <c r="B101" t="s">
        <v>242</v>
      </c>
      <c r="C101" t="s">
        <v>243</v>
      </c>
      <c r="D101" t="s">
        <v>244</v>
      </c>
      <c r="E101" t="s">
        <v>135</v>
      </c>
      <c r="F101" t="s">
        <v>24</v>
      </c>
      <c r="G101" t="s">
        <v>245</v>
      </c>
      <c r="H101" t="s">
        <v>246</v>
      </c>
      <c r="I101" t="s">
        <v>217</v>
      </c>
      <c r="J101" t="s">
        <v>148</v>
      </c>
      <c r="K101" t="s">
        <v>84</v>
      </c>
      <c r="L101" t="s">
        <v>218</v>
      </c>
      <c r="M101" t="s">
        <v>25</v>
      </c>
      <c r="N101" t="s">
        <v>141</v>
      </c>
      <c r="O101" t="s">
        <v>20</v>
      </c>
      <c r="P101">
        <v>77</v>
      </c>
      <c r="Q101" s="17">
        <v>76</v>
      </c>
      <c r="R101">
        <v>74</v>
      </c>
      <c r="S101">
        <v>0.01298701</v>
      </c>
      <c r="T101">
        <v>1</v>
      </c>
      <c r="U101">
        <v>21.4</v>
      </c>
      <c r="V101">
        <v>0.00729295</v>
      </c>
      <c r="W101">
        <v>74</v>
      </c>
      <c r="X101">
        <v>22.49728556</v>
      </c>
      <c r="Y101">
        <v>2.39285714</v>
      </c>
      <c r="Z101">
        <v>3.28928571</v>
      </c>
      <c r="AA101" s="2">
        <v>0</v>
      </c>
      <c r="AB101" s="2">
        <v>12</v>
      </c>
      <c r="AC101" s="2">
        <v>19</v>
      </c>
      <c r="AD101" s="2">
        <v>71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 spans="1:40">
      <c r="A102" t="s">
        <v>131</v>
      </c>
      <c r="B102" t="s">
        <v>242</v>
      </c>
      <c r="C102" t="s">
        <v>243</v>
      </c>
      <c r="D102" t="s">
        <v>244</v>
      </c>
      <c r="E102" t="s">
        <v>135</v>
      </c>
      <c r="F102" t="s">
        <v>24</v>
      </c>
      <c r="G102" t="s">
        <v>245</v>
      </c>
      <c r="H102" t="s">
        <v>246</v>
      </c>
      <c r="I102" t="s">
        <v>184</v>
      </c>
      <c r="J102" t="s">
        <v>139</v>
      </c>
      <c r="K102" t="s">
        <v>80</v>
      </c>
      <c r="L102" t="s">
        <v>185</v>
      </c>
      <c r="M102" t="s">
        <v>25</v>
      </c>
      <c r="N102" t="s">
        <v>141</v>
      </c>
      <c r="O102" t="s">
        <v>52</v>
      </c>
      <c r="P102">
        <v>76</v>
      </c>
      <c r="Q102" s="17">
        <v>76</v>
      </c>
      <c r="R102">
        <v>76</v>
      </c>
      <c r="S102">
        <v>0</v>
      </c>
      <c r="T102">
        <v>0</v>
      </c>
      <c r="U102">
        <v>9.71212121</v>
      </c>
      <c r="V102">
        <v>-0.01966372</v>
      </c>
      <c r="W102">
        <v>76</v>
      </c>
      <c r="X102">
        <v>35.49624687</v>
      </c>
      <c r="Y102">
        <v>2.89285714</v>
      </c>
      <c r="Z102">
        <v>2.14107143</v>
      </c>
      <c r="AA102" s="2">
        <v>0</v>
      </c>
      <c r="AB102" s="2">
        <v>0</v>
      </c>
      <c r="AC102" s="2">
        <v>43</v>
      </c>
      <c r="AD102" s="2">
        <v>83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</row>
    <row r="103" spans="1:40">
      <c r="A103" t="s">
        <v>131</v>
      </c>
      <c r="B103" t="s">
        <v>219</v>
      </c>
      <c r="C103" t="s">
        <v>220</v>
      </c>
      <c r="D103" t="s">
        <v>221</v>
      </c>
      <c r="E103" t="s">
        <v>135</v>
      </c>
      <c r="F103" t="s">
        <v>63</v>
      </c>
      <c r="G103" t="s">
        <v>222</v>
      </c>
      <c r="H103" t="s">
        <v>223</v>
      </c>
      <c r="I103" t="s">
        <v>164</v>
      </c>
      <c r="J103" t="s">
        <v>148</v>
      </c>
      <c r="K103" t="s">
        <v>94</v>
      </c>
      <c r="L103" t="s">
        <v>165</v>
      </c>
      <c r="M103" t="s">
        <v>17</v>
      </c>
      <c r="N103" t="s">
        <v>141</v>
      </c>
      <c r="O103" t="s">
        <v>20</v>
      </c>
      <c r="P103">
        <v>76</v>
      </c>
      <c r="Q103" s="17">
        <v>76</v>
      </c>
      <c r="R103">
        <v>75</v>
      </c>
      <c r="S103">
        <v>0</v>
      </c>
      <c r="T103">
        <v>0</v>
      </c>
      <c r="U103">
        <v>9.1625</v>
      </c>
      <c r="V103">
        <v>-0.02557993</v>
      </c>
      <c r="W103">
        <v>75</v>
      </c>
      <c r="X103">
        <v>10.12096969</v>
      </c>
      <c r="Y103">
        <v>3</v>
      </c>
      <c r="Z103">
        <v>7.41035714</v>
      </c>
      <c r="AA103" s="2">
        <v>4</v>
      </c>
      <c r="AB103" s="2">
        <v>35</v>
      </c>
      <c r="AC103" s="2">
        <v>55</v>
      </c>
      <c r="AD103" s="2">
        <v>84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219</v>
      </c>
      <c r="AN103">
        <v>0</v>
      </c>
    </row>
    <row r="104" spans="1:40">
      <c r="A104" t="s">
        <v>131</v>
      </c>
      <c r="B104" t="s">
        <v>132</v>
      </c>
      <c r="C104" t="s">
        <v>133</v>
      </c>
      <c r="D104" t="s">
        <v>134</v>
      </c>
      <c r="E104" t="s">
        <v>135</v>
      </c>
      <c r="F104" t="s">
        <v>66</v>
      </c>
      <c r="G104" t="s">
        <v>136</v>
      </c>
      <c r="H104" t="s">
        <v>137</v>
      </c>
      <c r="I104" t="s">
        <v>171</v>
      </c>
      <c r="J104" t="s">
        <v>148</v>
      </c>
      <c r="K104" t="s">
        <v>75</v>
      </c>
      <c r="L104" t="s">
        <v>172</v>
      </c>
      <c r="M104" t="s">
        <v>25</v>
      </c>
      <c r="N104" t="s">
        <v>141</v>
      </c>
      <c r="O104" t="s">
        <v>20</v>
      </c>
      <c r="P104">
        <v>74</v>
      </c>
      <c r="Q104" s="17">
        <v>74</v>
      </c>
      <c r="R104">
        <v>74</v>
      </c>
      <c r="S104">
        <v>0</v>
      </c>
      <c r="T104">
        <v>0</v>
      </c>
      <c r="U104">
        <v>36.03846154</v>
      </c>
      <c r="V104">
        <v>0.01917066</v>
      </c>
      <c r="W104">
        <v>74</v>
      </c>
      <c r="X104">
        <v>20.91028358</v>
      </c>
      <c r="Y104">
        <v>1.10714286</v>
      </c>
      <c r="Z104">
        <v>3.53892857</v>
      </c>
      <c r="AA104" s="2">
        <v>4</v>
      </c>
      <c r="AB104" s="2">
        <v>11</v>
      </c>
      <c r="AC104" s="2">
        <v>18</v>
      </c>
      <c r="AD104" s="2">
        <v>37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</row>
    <row r="105" spans="1:40">
      <c r="A105" t="s">
        <v>131</v>
      </c>
      <c r="B105" t="s">
        <v>186</v>
      </c>
      <c r="C105" t="s">
        <v>187</v>
      </c>
      <c r="D105" t="s">
        <v>188</v>
      </c>
      <c r="E105" t="s">
        <v>135</v>
      </c>
      <c r="F105" t="s">
        <v>64</v>
      </c>
      <c r="G105" t="s">
        <v>189</v>
      </c>
      <c r="H105" t="s">
        <v>190</v>
      </c>
      <c r="I105" t="s">
        <v>173</v>
      </c>
      <c r="J105" t="s">
        <v>148</v>
      </c>
      <c r="K105" t="s">
        <v>98</v>
      </c>
      <c r="L105" t="s">
        <v>174</v>
      </c>
      <c r="M105" t="s">
        <v>17</v>
      </c>
      <c r="N105" t="s">
        <v>141</v>
      </c>
      <c r="O105" t="s">
        <v>20</v>
      </c>
      <c r="P105">
        <v>74</v>
      </c>
      <c r="Q105" s="17">
        <v>72</v>
      </c>
      <c r="R105">
        <v>72</v>
      </c>
      <c r="S105">
        <v>0.02702703</v>
      </c>
      <c r="T105">
        <v>2</v>
      </c>
      <c r="U105">
        <v>18.92424242</v>
      </c>
      <c r="V105">
        <v>0.00427235</v>
      </c>
      <c r="W105">
        <v>72</v>
      </c>
      <c r="X105">
        <v>15.37992066</v>
      </c>
      <c r="Y105">
        <v>3.67857143</v>
      </c>
      <c r="Z105">
        <v>4.68142857</v>
      </c>
      <c r="AA105" s="2">
        <v>3</v>
      </c>
      <c r="AB105" s="2">
        <v>30</v>
      </c>
      <c r="AC105" s="2">
        <v>46</v>
      </c>
      <c r="AD105" s="2">
        <v>103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80</v>
      </c>
      <c r="AN105">
        <v>0</v>
      </c>
    </row>
    <row r="106" spans="1:40">
      <c r="A106" t="s">
        <v>131</v>
      </c>
      <c r="B106" t="s">
        <v>259</v>
      </c>
      <c r="C106" t="s">
        <v>260</v>
      </c>
      <c r="D106" t="s">
        <v>261</v>
      </c>
      <c r="E106" t="s">
        <v>135</v>
      </c>
      <c r="F106" t="s">
        <v>43</v>
      </c>
      <c r="G106" t="s">
        <v>262</v>
      </c>
      <c r="H106" t="s">
        <v>263</v>
      </c>
      <c r="I106" t="s">
        <v>138</v>
      </c>
      <c r="J106" t="s">
        <v>139</v>
      </c>
      <c r="K106" t="s">
        <v>97</v>
      </c>
      <c r="L106" t="s">
        <v>140</v>
      </c>
      <c r="M106" t="s">
        <v>25</v>
      </c>
      <c r="N106" t="s">
        <v>141</v>
      </c>
      <c r="O106" t="s">
        <v>20</v>
      </c>
      <c r="P106">
        <v>74</v>
      </c>
      <c r="Q106" s="17">
        <v>74</v>
      </c>
      <c r="R106">
        <v>74</v>
      </c>
      <c r="S106">
        <v>0</v>
      </c>
      <c r="T106">
        <v>0</v>
      </c>
      <c r="U106">
        <v>109.625</v>
      </c>
      <c r="V106">
        <v>0.05805353</v>
      </c>
      <c r="W106">
        <v>74</v>
      </c>
      <c r="X106">
        <v>28.10253628</v>
      </c>
      <c r="Y106">
        <v>0.75</v>
      </c>
      <c r="Z106">
        <v>2.63321429</v>
      </c>
      <c r="AA106" s="2">
        <v>0</v>
      </c>
      <c r="AB106" s="2">
        <v>8</v>
      </c>
      <c r="AC106" s="2">
        <v>10</v>
      </c>
      <c r="AD106" s="2">
        <v>23</v>
      </c>
      <c r="AE106">
        <v>0</v>
      </c>
      <c r="AF106">
        <v>0</v>
      </c>
      <c r="AG106">
        <v>0</v>
      </c>
      <c r="AH106">
        <v>0</v>
      </c>
      <c r="AI106">
        <v>5.3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>
      <c r="A107" t="s">
        <v>131</v>
      </c>
      <c r="B107" t="s">
        <v>219</v>
      </c>
      <c r="C107" t="s">
        <v>220</v>
      </c>
      <c r="D107" t="s">
        <v>221</v>
      </c>
      <c r="E107" t="s">
        <v>135</v>
      </c>
      <c r="F107" t="s">
        <v>63</v>
      </c>
      <c r="G107" t="s">
        <v>222</v>
      </c>
      <c r="H107" t="s">
        <v>223</v>
      </c>
      <c r="I107" t="s">
        <v>177</v>
      </c>
      <c r="J107" t="s">
        <v>148</v>
      </c>
      <c r="K107" t="s">
        <v>69</v>
      </c>
      <c r="L107" t="s">
        <v>178</v>
      </c>
      <c r="M107" t="s">
        <v>17</v>
      </c>
      <c r="N107" t="s">
        <v>141</v>
      </c>
      <c r="O107" t="s">
        <v>20</v>
      </c>
      <c r="P107">
        <v>74</v>
      </c>
      <c r="Q107" s="17">
        <v>74</v>
      </c>
      <c r="R107">
        <v>74</v>
      </c>
      <c r="S107">
        <v>0</v>
      </c>
      <c r="T107">
        <v>0</v>
      </c>
      <c r="U107">
        <v>25.17307692</v>
      </c>
      <c r="V107">
        <v>0.01614958</v>
      </c>
      <c r="W107">
        <v>74</v>
      </c>
      <c r="X107">
        <v>14.63793712</v>
      </c>
      <c r="Y107">
        <v>1.85714286</v>
      </c>
      <c r="Z107">
        <v>5.05535714</v>
      </c>
      <c r="AA107" s="2">
        <v>7</v>
      </c>
      <c r="AB107" s="2">
        <v>27</v>
      </c>
      <c r="AC107" s="2">
        <v>41</v>
      </c>
      <c r="AD107" s="2">
        <v>52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60</v>
      </c>
      <c r="AN107">
        <v>0</v>
      </c>
    </row>
    <row r="108" spans="1:40">
      <c r="A108" t="s">
        <v>131</v>
      </c>
      <c r="B108" t="s">
        <v>264</v>
      </c>
      <c r="C108" t="s">
        <v>265</v>
      </c>
      <c r="D108" t="s">
        <v>266</v>
      </c>
      <c r="E108" t="s">
        <v>135</v>
      </c>
      <c r="F108" t="s">
        <v>53</v>
      </c>
      <c r="G108" t="s">
        <v>267</v>
      </c>
      <c r="H108" t="s">
        <v>268</v>
      </c>
      <c r="I108" t="s">
        <v>138</v>
      </c>
      <c r="J108" t="s">
        <v>139</v>
      </c>
      <c r="K108" t="s">
        <v>97</v>
      </c>
      <c r="L108" t="s">
        <v>140</v>
      </c>
      <c r="M108" t="s">
        <v>25</v>
      </c>
      <c r="N108" t="s">
        <v>141</v>
      </c>
      <c r="O108" t="s">
        <v>20</v>
      </c>
      <c r="P108">
        <v>73</v>
      </c>
      <c r="Q108" s="17">
        <v>73</v>
      </c>
      <c r="R108">
        <v>73</v>
      </c>
      <c r="S108">
        <v>0</v>
      </c>
      <c r="T108">
        <v>0</v>
      </c>
      <c r="U108">
        <v>78.57142857</v>
      </c>
      <c r="V108">
        <v>0.05058243</v>
      </c>
      <c r="W108">
        <v>73</v>
      </c>
      <c r="X108">
        <v>26.09472744</v>
      </c>
      <c r="Y108">
        <v>1.10714286</v>
      </c>
      <c r="Z108">
        <v>2.7975</v>
      </c>
      <c r="AA108" s="2">
        <v>3</v>
      </c>
      <c r="AB108" s="2">
        <v>4</v>
      </c>
      <c r="AC108" s="2">
        <v>10</v>
      </c>
      <c r="AD108" s="2">
        <v>33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4</v>
      </c>
      <c r="AN108">
        <v>0</v>
      </c>
    </row>
    <row r="109" spans="1:40">
      <c r="A109" t="s">
        <v>131</v>
      </c>
      <c r="B109" t="s">
        <v>237</v>
      </c>
      <c r="C109" t="s">
        <v>238</v>
      </c>
      <c r="D109" t="s">
        <v>239</v>
      </c>
      <c r="E109" t="s">
        <v>135</v>
      </c>
      <c r="F109" t="s">
        <v>62</v>
      </c>
      <c r="G109" t="s">
        <v>240</v>
      </c>
      <c r="H109" t="s">
        <v>241</v>
      </c>
      <c r="I109" t="s">
        <v>138</v>
      </c>
      <c r="J109" t="s">
        <v>139</v>
      </c>
      <c r="K109" t="s">
        <v>97</v>
      </c>
      <c r="L109" t="s">
        <v>140</v>
      </c>
      <c r="M109" t="s">
        <v>17</v>
      </c>
      <c r="N109" t="s">
        <v>141</v>
      </c>
      <c r="O109" t="s">
        <v>20</v>
      </c>
      <c r="P109">
        <v>73</v>
      </c>
      <c r="Q109" s="17">
        <v>73</v>
      </c>
      <c r="R109">
        <v>73</v>
      </c>
      <c r="S109">
        <v>0</v>
      </c>
      <c r="T109">
        <v>0</v>
      </c>
      <c r="U109">
        <v>17.76530612</v>
      </c>
      <c r="V109">
        <v>0.00187484</v>
      </c>
      <c r="W109">
        <v>73</v>
      </c>
      <c r="X109">
        <v>18.85782821</v>
      </c>
      <c r="Y109">
        <v>4.14285714</v>
      </c>
      <c r="Z109">
        <v>3.87107143</v>
      </c>
      <c r="AA109" s="2">
        <v>8</v>
      </c>
      <c r="AB109" s="2">
        <v>35</v>
      </c>
      <c r="AC109" s="2">
        <v>64</v>
      </c>
      <c r="AD109" s="2">
        <v>116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29</v>
      </c>
      <c r="AN109">
        <v>0</v>
      </c>
    </row>
    <row r="110" spans="1:40">
      <c r="A110" t="s">
        <v>131</v>
      </c>
      <c r="B110" t="s">
        <v>219</v>
      </c>
      <c r="C110" t="s">
        <v>220</v>
      </c>
      <c r="D110" t="s">
        <v>221</v>
      </c>
      <c r="E110" t="s">
        <v>135</v>
      </c>
      <c r="F110" t="s">
        <v>63</v>
      </c>
      <c r="G110" t="s">
        <v>222</v>
      </c>
      <c r="H110" t="s">
        <v>223</v>
      </c>
      <c r="I110" t="s">
        <v>201</v>
      </c>
      <c r="J110" t="s">
        <v>148</v>
      </c>
      <c r="K110" t="s">
        <v>67</v>
      </c>
      <c r="L110" t="s">
        <v>202</v>
      </c>
      <c r="M110" t="s">
        <v>17</v>
      </c>
      <c r="N110" t="s">
        <v>141</v>
      </c>
      <c r="O110" t="s">
        <v>20</v>
      </c>
      <c r="P110">
        <v>73</v>
      </c>
      <c r="Q110" s="17">
        <v>73</v>
      </c>
      <c r="R110">
        <v>73</v>
      </c>
      <c r="S110">
        <v>0</v>
      </c>
      <c r="T110">
        <v>0</v>
      </c>
      <c r="U110">
        <v>16.4</v>
      </c>
      <c r="V110">
        <v>-0.00155765</v>
      </c>
      <c r="W110">
        <v>73</v>
      </c>
      <c r="X110">
        <v>14.9579217</v>
      </c>
      <c r="Y110">
        <v>1.67857143</v>
      </c>
      <c r="Z110">
        <v>4.88035714</v>
      </c>
      <c r="AA110" s="2">
        <v>0</v>
      </c>
      <c r="AB110" s="2">
        <v>15</v>
      </c>
      <c r="AC110" s="2">
        <v>27</v>
      </c>
      <c r="AD110" s="2">
        <v>47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137</v>
      </c>
      <c r="AN110">
        <v>0</v>
      </c>
    </row>
    <row r="111" spans="1:40">
      <c r="A111" t="s">
        <v>131</v>
      </c>
      <c r="B111" t="s">
        <v>219</v>
      </c>
      <c r="C111" t="s">
        <v>220</v>
      </c>
      <c r="D111" t="s">
        <v>221</v>
      </c>
      <c r="E111" t="s">
        <v>135</v>
      </c>
      <c r="F111" t="s">
        <v>63</v>
      </c>
      <c r="G111" t="s">
        <v>222</v>
      </c>
      <c r="H111" t="s">
        <v>223</v>
      </c>
      <c r="I111" t="s">
        <v>199</v>
      </c>
      <c r="J111" t="s">
        <v>148</v>
      </c>
      <c r="K111" t="s">
        <v>78</v>
      </c>
      <c r="L111" t="s">
        <v>200</v>
      </c>
      <c r="M111" t="s">
        <v>17</v>
      </c>
      <c r="N111" t="s">
        <v>141</v>
      </c>
      <c r="O111" t="s">
        <v>20</v>
      </c>
      <c r="P111">
        <v>73</v>
      </c>
      <c r="Q111" s="17">
        <v>72</v>
      </c>
      <c r="R111">
        <v>68</v>
      </c>
      <c r="S111">
        <v>0.01369863</v>
      </c>
      <c r="T111">
        <v>1</v>
      </c>
      <c r="U111">
        <v>19.63265306</v>
      </c>
      <c r="V111">
        <v>0.00453543</v>
      </c>
      <c r="W111">
        <v>68</v>
      </c>
      <c r="X111">
        <v>13.45107736</v>
      </c>
      <c r="Y111">
        <v>1.78571429</v>
      </c>
      <c r="Z111">
        <v>5.05535714</v>
      </c>
      <c r="AA111" s="2">
        <v>3</v>
      </c>
      <c r="AB111" s="2">
        <v>24</v>
      </c>
      <c r="AC111" s="2">
        <v>43</v>
      </c>
      <c r="AD111" s="2">
        <v>50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129</v>
      </c>
      <c r="AN111">
        <v>0</v>
      </c>
    </row>
    <row r="112" spans="1:40">
      <c r="A112" t="s">
        <v>131</v>
      </c>
      <c r="B112" t="s">
        <v>237</v>
      </c>
      <c r="C112" t="s">
        <v>238</v>
      </c>
      <c r="D112" t="s">
        <v>239</v>
      </c>
      <c r="E112" t="s">
        <v>135</v>
      </c>
      <c r="F112" t="s">
        <v>62</v>
      </c>
      <c r="G112" t="s">
        <v>240</v>
      </c>
      <c r="H112" t="s">
        <v>241</v>
      </c>
      <c r="I112" t="s">
        <v>201</v>
      </c>
      <c r="J112" t="s">
        <v>148</v>
      </c>
      <c r="K112" t="s">
        <v>67</v>
      </c>
      <c r="L112" t="s">
        <v>202</v>
      </c>
      <c r="M112" t="s">
        <v>17</v>
      </c>
      <c r="N112" t="s">
        <v>141</v>
      </c>
      <c r="O112" t="s">
        <v>20</v>
      </c>
      <c r="P112">
        <v>72</v>
      </c>
      <c r="Q112" s="17">
        <v>72</v>
      </c>
      <c r="R112">
        <v>72</v>
      </c>
      <c r="S112">
        <v>0</v>
      </c>
      <c r="T112">
        <v>0</v>
      </c>
      <c r="U112">
        <v>13.71698113</v>
      </c>
      <c r="V112">
        <v>-0.00743049</v>
      </c>
      <c r="W112">
        <v>72</v>
      </c>
      <c r="X112">
        <v>25.65211859</v>
      </c>
      <c r="Y112">
        <v>2.32142857</v>
      </c>
      <c r="Z112">
        <v>2.80678571</v>
      </c>
      <c r="AA112" s="2">
        <v>6</v>
      </c>
      <c r="AB112" s="2">
        <v>21</v>
      </c>
      <c r="AC112" s="2">
        <v>35</v>
      </c>
      <c r="AD112" s="2">
        <v>69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32</v>
      </c>
      <c r="AN112">
        <v>0</v>
      </c>
    </row>
    <row r="113" spans="1:40">
      <c r="A113" t="s">
        <v>131</v>
      </c>
      <c r="B113" t="s">
        <v>237</v>
      </c>
      <c r="C113" t="s">
        <v>238</v>
      </c>
      <c r="D113" t="s">
        <v>239</v>
      </c>
      <c r="E113" t="s">
        <v>135</v>
      </c>
      <c r="F113" t="s">
        <v>62</v>
      </c>
      <c r="G113" t="s">
        <v>240</v>
      </c>
      <c r="H113" t="s">
        <v>241</v>
      </c>
      <c r="I113" t="s">
        <v>184</v>
      </c>
      <c r="J113" t="s">
        <v>139</v>
      </c>
      <c r="K113" t="s">
        <v>80</v>
      </c>
      <c r="L113" t="s">
        <v>185</v>
      </c>
      <c r="M113" t="s">
        <v>17</v>
      </c>
      <c r="N113" t="s">
        <v>141</v>
      </c>
      <c r="O113" t="s">
        <v>20</v>
      </c>
      <c r="P113">
        <v>71</v>
      </c>
      <c r="Q113" s="17">
        <v>70</v>
      </c>
      <c r="R113">
        <v>69</v>
      </c>
      <c r="S113">
        <v>0.01408451</v>
      </c>
      <c r="T113">
        <v>1</v>
      </c>
      <c r="U113">
        <v>23.05797101</v>
      </c>
      <c r="V113">
        <v>0.01569738</v>
      </c>
      <c r="W113">
        <v>69</v>
      </c>
      <c r="X113">
        <v>18.85613898</v>
      </c>
      <c r="Y113">
        <v>3</v>
      </c>
      <c r="Z113">
        <v>3.65928571</v>
      </c>
      <c r="AA113" s="2">
        <v>1</v>
      </c>
      <c r="AB113" s="2">
        <v>20</v>
      </c>
      <c r="AC113" s="2">
        <v>36</v>
      </c>
      <c r="AD113" s="2">
        <v>89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40</v>
      </c>
      <c r="AN113">
        <v>0</v>
      </c>
    </row>
    <row r="114" spans="1:40">
      <c r="A114" t="s">
        <v>131</v>
      </c>
      <c r="B114" t="s">
        <v>205</v>
      </c>
      <c r="C114" t="s">
        <v>206</v>
      </c>
      <c r="D114" t="s">
        <v>207</v>
      </c>
      <c r="E114" t="s">
        <v>135</v>
      </c>
      <c r="F114" t="s">
        <v>61</v>
      </c>
      <c r="G114" t="s">
        <v>208</v>
      </c>
      <c r="H114" t="s">
        <v>209</v>
      </c>
      <c r="I114" t="s">
        <v>138</v>
      </c>
      <c r="J114" t="s">
        <v>139</v>
      </c>
      <c r="K114" t="s">
        <v>97</v>
      </c>
      <c r="L114" t="s">
        <v>140</v>
      </c>
      <c r="M114" t="s">
        <v>17</v>
      </c>
      <c r="N114" t="s">
        <v>141</v>
      </c>
      <c r="O114" t="s">
        <v>20</v>
      </c>
      <c r="P114">
        <v>71</v>
      </c>
      <c r="Q114" s="17">
        <v>71</v>
      </c>
      <c r="R114">
        <v>56</v>
      </c>
      <c r="S114">
        <v>0</v>
      </c>
      <c r="T114">
        <v>0</v>
      </c>
      <c r="U114">
        <v>51.02777778</v>
      </c>
      <c r="V114">
        <v>0.04777323</v>
      </c>
      <c r="W114">
        <v>70</v>
      </c>
      <c r="X114">
        <v>18.65778201</v>
      </c>
      <c r="Y114">
        <v>2</v>
      </c>
      <c r="Z114">
        <v>3.00142857</v>
      </c>
      <c r="AA114" s="2">
        <v>0</v>
      </c>
      <c r="AB114" s="2">
        <v>18</v>
      </c>
      <c r="AC114" s="2">
        <v>25</v>
      </c>
      <c r="AD114" s="2">
        <v>65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33</v>
      </c>
      <c r="AN114">
        <v>0</v>
      </c>
    </row>
    <row r="115" spans="1:40">
      <c r="A115" t="s">
        <v>131</v>
      </c>
      <c r="B115" t="s">
        <v>210</v>
      </c>
      <c r="C115" t="s">
        <v>211</v>
      </c>
      <c r="D115" t="s">
        <v>212</v>
      </c>
      <c r="E115" t="s">
        <v>135</v>
      </c>
      <c r="F115" t="s">
        <v>16</v>
      </c>
      <c r="G115" t="s">
        <v>213</v>
      </c>
      <c r="H115" t="s">
        <v>214</v>
      </c>
      <c r="I115" t="s">
        <v>184</v>
      </c>
      <c r="J115" t="s">
        <v>139</v>
      </c>
      <c r="K115" t="s">
        <v>80</v>
      </c>
      <c r="L115" t="s">
        <v>185</v>
      </c>
      <c r="M115" t="s">
        <v>17</v>
      </c>
      <c r="N115" t="s">
        <v>141</v>
      </c>
      <c r="O115" t="s">
        <v>20</v>
      </c>
      <c r="P115">
        <v>70</v>
      </c>
      <c r="Q115" s="17">
        <v>69</v>
      </c>
      <c r="R115">
        <v>60</v>
      </c>
      <c r="S115">
        <v>0.01428571</v>
      </c>
      <c r="T115">
        <v>1</v>
      </c>
      <c r="U115">
        <v>8.12222222</v>
      </c>
      <c r="V115">
        <v>-0.06518743</v>
      </c>
      <c r="W115">
        <v>60</v>
      </c>
      <c r="X115">
        <v>4.13345143</v>
      </c>
      <c r="Y115">
        <v>7.57142857</v>
      </c>
      <c r="Z115">
        <v>14.51571429</v>
      </c>
      <c r="AA115" s="2">
        <v>10</v>
      </c>
      <c r="AB115" s="2">
        <v>70</v>
      </c>
      <c r="AC115" s="2">
        <v>134</v>
      </c>
      <c r="AD115" s="2">
        <v>224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350</v>
      </c>
      <c r="AN115">
        <v>0</v>
      </c>
    </row>
    <row r="116" spans="1:40">
      <c r="A116" t="s">
        <v>131</v>
      </c>
      <c r="B116" t="s">
        <v>210</v>
      </c>
      <c r="C116" t="s">
        <v>211</v>
      </c>
      <c r="D116" t="s">
        <v>212</v>
      </c>
      <c r="E116" t="s">
        <v>135</v>
      </c>
      <c r="F116" t="s">
        <v>16</v>
      </c>
      <c r="G116" t="s">
        <v>213</v>
      </c>
      <c r="H116" t="s">
        <v>214</v>
      </c>
      <c r="I116" t="s">
        <v>230</v>
      </c>
      <c r="J116" t="s">
        <v>148</v>
      </c>
      <c r="K116" t="s">
        <v>91</v>
      </c>
      <c r="L116" t="s">
        <v>231</v>
      </c>
      <c r="M116" t="s">
        <v>17</v>
      </c>
      <c r="N116" t="s">
        <v>141</v>
      </c>
      <c r="O116" t="s">
        <v>20</v>
      </c>
      <c r="P116">
        <v>70</v>
      </c>
      <c r="Q116" s="17">
        <v>70</v>
      </c>
      <c r="R116">
        <v>69</v>
      </c>
      <c r="S116">
        <v>0</v>
      </c>
      <c r="T116">
        <v>0</v>
      </c>
      <c r="U116">
        <v>46.74418605</v>
      </c>
      <c r="V116">
        <v>0.04983328</v>
      </c>
      <c r="W116">
        <v>69</v>
      </c>
      <c r="X116">
        <v>20.08316008</v>
      </c>
      <c r="Y116">
        <v>1.85714286</v>
      </c>
      <c r="Z116">
        <v>3.43571429</v>
      </c>
      <c r="AA116" s="2">
        <v>2</v>
      </c>
      <c r="AB116" s="2">
        <v>12</v>
      </c>
      <c r="AC116" s="2">
        <v>34</v>
      </c>
      <c r="AD116" s="2">
        <v>54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73</v>
      </c>
      <c r="AN116">
        <v>0</v>
      </c>
    </row>
    <row r="117" spans="1:40">
      <c r="A117" t="s">
        <v>131</v>
      </c>
      <c r="B117" t="s">
        <v>186</v>
      </c>
      <c r="C117" t="s">
        <v>187</v>
      </c>
      <c r="D117" t="s">
        <v>188</v>
      </c>
      <c r="E117" t="s">
        <v>135</v>
      </c>
      <c r="F117" t="s">
        <v>64</v>
      </c>
      <c r="G117" t="s">
        <v>189</v>
      </c>
      <c r="H117" t="s">
        <v>190</v>
      </c>
      <c r="I117" t="s">
        <v>164</v>
      </c>
      <c r="J117" t="s">
        <v>148</v>
      </c>
      <c r="K117" t="s">
        <v>94</v>
      </c>
      <c r="L117" t="s">
        <v>165</v>
      </c>
      <c r="M117" t="s">
        <v>17</v>
      </c>
      <c r="N117" t="s">
        <v>141</v>
      </c>
      <c r="O117" t="s">
        <v>20</v>
      </c>
      <c r="P117">
        <v>68</v>
      </c>
      <c r="Q117" s="17">
        <v>66</v>
      </c>
      <c r="R117">
        <v>66</v>
      </c>
      <c r="S117">
        <v>0.02941176</v>
      </c>
      <c r="T117">
        <v>2</v>
      </c>
      <c r="U117">
        <v>21.57142857</v>
      </c>
      <c r="V117">
        <v>0.01064249</v>
      </c>
      <c r="W117">
        <v>66</v>
      </c>
      <c r="X117">
        <v>15.04028648</v>
      </c>
      <c r="Y117">
        <v>3.14285714</v>
      </c>
      <c r="Z117">
        <v>4.38821429</v>
      </c>
      <c r="AA117" s="2">
        <v>4</v>
      </c>
      <c r="AB117" s="2">
        <v>29</v>
      </c>
      <c r="AC117" s="2">
        <v>45</v>
      </c>
      <c r="AD117" s="2">
        <v>95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88</v>
      </c>
      <c r="AN117">
        <v>0</v>
      </c>
    </row>
    <row r="118" spans="1:40">
      <c r="A118" t="s">
        <v>131</v>
      </c>
      <c r="B118" t="s">
        <v>269</v>
      </c>
      <c r="C118" t="s">
        <v>270</v>
      </c>
      <c r="D118" t="s">
        <v>271</v>
      </c>
      <c r="E118" t="s">
        <v>135</v>
      </c>
      <c r="F118" t="s">
        <v>60</v>
      </c>
      <c r="G118" t="s">
        <v>272</v>
      </c>
      <c r="H118" t="s">
        <v>273</v>
      </c>
      <c r="I118" t="s">
        <v>203</v>
      </c>
      <c r="J118" t="s">
        <v>139</v>
      </c>
      <c r="K118" t="s">
        <v>88</v>
      </c>
      <c r="L118" t="s">
        <v>204</v>
      </c>
      <c r="M118" t="s">
        <v>17</v>
      </c>
      <c r="N118" t="s">
        <v>141</v>
      </c>
      <c r="O118" t="s">
        <v>20</v>
      </c>
      <c r="P118">
        <v>68</v>
      </c>
      <c r="Q118" s="17">
        <v>68</v>
      </c>
      <c r="R118">
        <v>68</v>
      </c>
      <c r="S118">
        <v>0</v>
      </c>
      <c r="T118">
        <v>0</v>
      </c>
      <c r="U118">
        <v>14.03846154</v>
      </c>
      <c r="V118">
        <v>-0.00995855</v>
      </c>
      <c r="W118">
        <v>68</v>
      </c>
      <c r="X118">
        <v>20.32667877</v>
      </c>
      <c r="Y118">
        <v>3.67857143</v>
      </c>
      <c r="Z118">
        <v>3.34535714</v>
      </c>
      <c r="AA118" s="2">
        <v>2</v>
      </c>
      <c r="AB118" s="2">
        <v>39</v>
      </c>
      <c r="AC118" s="2">
        <v>63</v>
      </c>
      <c r="AD118" s="2">
        <v>104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55</v>
      </c>
      <c r="AN118">
        <v>0</v>
      </c>
    </row>
    <row r="119" spans="1:40">
      <c r="A119" t="s">
        <v>131</v>
      </c>
      <c r="B119" t="s">
        <v>242</v>
      </c>
      <c r="C119" t="s">
        <v>243</v>
      </c>
      <c r="D119" t="s">
        <v>244</v>
      </c>
      <c r="E119" t="s">
        <v>135</v>
      </c>
      <c r="F119" t="s">
        <v>24</v>
      </c>
      <c r="G119" t="s">
        <v>245</v>
      </c>
      <c r="H119" t="s">
        <v>246</v>
      </c>
      <c r="I119" t="s">
        <v>203</v>
      </c>
      <c r="J119" t="s">
        <v>139</v>
      </c>
      <c r="K119" t="s">
        <v>88</v>
      </c>
      <c r="L119" t="s">
        <v>204</v>
      </c>
      <c r="M119" t="s">
        <v>25</v>
      </c>
      <c r="N119" t="s">
        <v>141</v>
      </c>
      <c r="O119" t="s">
        <v>20</v>
      </c>
      <c r="P119">
        <v>68</v>
      </c>
      <c r="Q119" s="17">
        <v>66</v>
      </c>
      <c r="R119">
        <v>66</v>
      </c>
      <c r="S119">
        <v>0.02941176</v>
      </c>
      <c r="T119">
        <v>2</v>
      </c>
      <c r="U119">
        <v>17.66666667</v>
      </c>
      <c r="V119">
        <v>0.00086744</v>
      </c>
      <c r="W119">
        <v>66</v>
      </c>
      <c r="X119">
        <v>34.00809717</v>
      </c>
      <c r="Y119">
        <v>2.35714286</v>
      </c>
      <c r="Z119">
        <v>1.94071429</v>
      </c>
      <c r="AA119" s="2">
        <v>3</v>
      </c>
      <c r="AB119" s="2">
        <v>16</v>
      </c>
      <c r="AC119" s="2">
        <v>46</v>
      </c>
      <c r="AD119" s="2">
        <v>72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</row>
    <row r="120" spans="1:40">
      <c r="A120" t="s">
        <v>131</v>
      </c>
      <c r="B120" t="s">
        <v>205</v>
      </c>
      <c r="C120" t="s">
        <v>206</v>
      </c>
      <c r="D120" t="s">
        <v>207</v>
      </c>
      <c r="E120" t="s">
        <v>135</v>
      </c>
      <c r="F120" t="s">
        <v>61</v>
      </c>
      <c r="G120" t="s">
        <v>208</v>
      </c>
      <c r="H120" t="s">
        <v>209</v>
      </c>
      <c r="I120" t="s">
        <v>215</v>
      </c>
      <c r="J120" t="s">
        <v>148</v>
      </c>
      <c r="K120" t="s">
        <v>76</v>
      </c>
      <c r="L120" t="s">
        <v>216</v>
      </c>
      <c r="M120" t="s">
        <v>17</v>
      </c>
      <c r="N120" t="s">
        <v>141</v>
      </c>
      <c r="O120" t="s">
        <v>20</v>
      </c>
      <c r="P120">
        <v>68</v>
      </c>
      <c r="Q120" s="17">
        <v>41</v>
      </c>
      <c r="R120">
        <v>41</v>
      </c>
      <c r="S120">
        <v>0.39705882</v>
      </c>
      <c r="T120">
        <v>27</v>
      </c>
      <c r="U120">
        <v>17.63888889</v>
      </c>
      <c r="V120">
        <v>0.00050808</v>
      </c>
      <c r="W120">
        <v>41</v>
      </c>
      <c r="X120">
        <v>15.0557377</v>
      </c>
      <c r="Y120">
        <v>1.57142857</v>
      </c>
      <c r="Z120">
        <v>2.72321429</v>
      </c>
      <c r="AA120" s="2">
        <v>1</v>
      </c>
      <c r="AB120" s="2">
        <v>14</v>
      </c>
      <c r="AC120" s="2">
        <v>25</v>
      </c>
      <c r="AD120" s="2">
        <v>47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72</v>
      </c>
      <c r="AN120">
        <v>0</v>
      </c>
    </row>
    <row r="121" spans="1:40">
      <c r="A121" t="s">
        <v>131</v>
      </c>
      <c r="B121" t="s">
        <v>274</v>
      </c>
      <c r="C121" t="s">
        <v>275</v>
      </c>
      <c r="D121" t="s">
        <v>276</v>
      </c>
      <c r="E121" t="s">
        <v>135</v>
      </c>
      <c r="F121" t="s">
        <v>50</v>
      </c>
      <c r="G121" t="s">
        <v>277</v>
      </c>
      <c r="H121" t="s">
        <v>278</v>
      </c>
      <c r="I121" t="s">
        <v>138</v>
      </c>
      <c r="J121" t="s">
        <v>139</v>
      </c>
      <c r="K121" t="s">
        <v>97</v>
      </c>
      <c r="L121" t="s">
        <v>140</v>
      </c>
      <c r="M121" t="s">
        <v>25</v>
      </c>
      <c r="N121" t="s">
        <v>141</v>
      </c>
      <c r="O121" t="s">
        <v>20</v>
      </c>
      <c r="P121">
        <v>68</v>
      </c>
      <c r="Q121" s="17">
        <v>68</v>
      </c>
      <c r="R121">
        <v>68</v>
      </c>
      <c r="S121">
        <v>0</v>
      </c>
      <c r="T121">
        <v>0</v>
      </c>
      <c r="U121">
        <v>54.11764706</v>
      </c>
      <c r="V121">
        <v>0.04924629</v>
      </c>
      <c r="W121">
        <v>68</v>
      </c>
      <c r="X121">
        <v>19.09154718</v>
      </c>
      <c r="Y121">
        <v>2</v>
      </c>
      <c r="Z121">
        <v>3.56178571</v>
      </c>
      <c r="AA121" s="2">
        <v>2</v>
      </c>
      <c r="AB121" s="2">
        <v>15</v>
      </c>
      <c r="AC121" s="2">
        <v>22</v>
      </c>
      <c r="AD121" s="2">
        <v>65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20</v>
      </c>
      <c r="AN121">
        <v>0</v>
      </c>
    </row>
    <row r="122" spans="1:40">
      <c r="A122" t="s">
        <v>131</v>
      </c>
      <c r="B122" t="s">
        <v>219</v>
      </c>
      <c r="C122" t="s">
        <v>220</v>
      </c>
      <c r="D122" t="s">
        <v>221</v>
      </c>
      <c r="E122" t="s">
        <v>135</v>
      </c>
      <c r="F122" t="s">
        <v>63</v>
      </c>
      <c r="G122" t="s">
        <v>222</v>
      </c>
      <c r="H122" t="s">
        <v>223</v>
      </c>
      <c r="I122" t="s">
        <v>152</v>
      </c>
      <c r="J122" t="s">
        <v>148</v>
      </c>
      <c r="K122" t="s">
        <v>79</v>
      </c>
      <c r="L122" t="s">
        <v>153</v>
      </c>
      <c r="M122" t="s">
        <v>17</v>
      </c>
      <c r="N122" t="s">
        <v>141</v>
      </c>
      <c r="O122" t="s">
        <v>20</v>
      </c>
      <c r="P122">
        <v>68</v>
      </c>
      <c r="Q122" s="17">
        <v>68</v>
      </c>
      <c r="R122">
        <v>68</v>
      </c>
      <c r="S122">
        <v>0</v>
      </c>
      <c r="T122">
        <v>0</v>
      </c>
      <c r="U122">
        <v>29.18421053</v>
      </c>
      <c r="V122">
        <v>0.01778918</v>
      </c>
      <c r="W122">
        <v>68</v>
      </c>
      <c r="X122">
        <v>17.72977</v>
      </c>
      <c r="Y122">
        <v>1.46428571</v>
      </c>
      <c r="Z122">
        <v>3.83535714</v>
      </c>
      <c r="AA122" s="2">
        <v>3</v>
      </c>
      <c r="AB122" s="2">
        <v>16</v>
      </c>
      <c r="AC122" s="2">
        <v>28</v>
      </c>
      <c r="AD122" s="2">
        <v>41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102</v>
      </c>
      <c r="AN122">
        <v>0</v>
      </c>
    </row>
    <row r="123" spans="1:40">
      <c r="A123" t="s">
        <v>131</v>
      </c>
      <c r="B123" t="s">
        <v>237</v>
      </c>
      <c r="C123" t="s">
        <v>238</v>
      </c>
      <c r="D123" t="s">
        <v>239</v>
      </c>
      <c r="E123" t="s">
        <v>135</v>
      </c>
      <c r="F123" t="s">
        <v>62</v>
      </c>
      <c r="G123" t="s">
        <v>240</v>
      </c>
      <c r="H123" t="s">
        <v>241</v>
      </c>
      <c r="I123" t="s">
        <v>175</v>
      </c>
      <c r="J123" t="s">
        <v>139</v>
      </c>
      <c r="K123" t="s">
        <v>74</v>
      </c>
      <c r="L123" t="s">
        <v>176</v>
      </c>
      <c r="M123" t="s">
        <v>17</v>
      </c>
      <c r="N123" t="s">
        <v>141</v>
      </c>
      <c r="O123" t="s">
        <v>20</v>
      </c>
      <c r="P123">
        <v>67</v>
      </c>
      <c r="Q123" s="17">
        <v>67</v>
      </c>
      <c r="R123">
        <v>66</v>
      </c>
      <c r="S123">
        <v>0</v>
      </c>
      <c r="T123">
        <v>0</v>
      </c>
      <c r="U123">
        <v>12.46511628</v>
      </c>
      <c r="V123">
        <v>-0.00814344</v>
      </c>
      <c r="W123">
        <v>66</v>
      </c>
      <c r="X123">
        <v>27.75608291</v>
      </c>
      <c r="Y123">
        <v>1.75</v>
      </c>
      <c r="Z123">
        <v>2.37785714</v>
      </c>
      <c r="AA123" s="2">
        <v>1</v>
      </c>
      <c r="AB123" s="2">
        <v>5</v>
      </c>
      <c r="AC123" s="2">
        <v>19</v>
      </c>
      <c r="AD123" s="2">
        <v>52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</v>
      </c>
      <c r="AN123">
        <v>0</v>
      </c>
    </row>
    <row r="124" spans="1:40">
      <c r="A124" t="s">
        <v>131</v>
      </c>
      <c r="B124" t="s">
        <v>205</v>
      </c>
      <c r="C124" t="s">
        <v>206</v>
      </c>
      <c r="D124" t="s">
        <v>207</v>
      </c>
      <c r="E124" t="s">
        <v>135</v>
      </c>
      <c r="F124" t="s">
        <v>61</v>
      </c>
      <c r="G124" t="s">
        <v>208</v>
      </c>
      <c r="H124" t="s">
        <v>209</v>
      </c>
      <c r="I124" t="s">
        <v>171</v>
      </c>
      <c r="J124" t="s">
        <v>148</v>
      </c>
      <c r="K124" t="s">
        <v>75</v>
      </c>
      <c r="L124" t="s">
        <v>172</v>
      </c>
      <c r="M124" t="s">
        <v>17</v>
      </c>
      <c r="N124" t="s">
        <v>141</v>
      </c>
      <c r="O124" t="s">
        <v>20</v>
      </c>
      <c r="P124">
        <v>67</v>
      </c>
      <c r="Q124" s="17">
        <v>67</v>
      </c>
      <c r="R124">
        <v>66</v>
      </c>
      <c r="S124">
        <v>0</v>
      </c>
      <c r="T124">
        <v>0</v>
      </c>
      <c r="U124">
        <v>88.35714286</v>
      </c>
      <c r="V124">
        <v>0.03909482</v>
      </c>
      <c r="W124">
        <v>66</v>
      </c>
      <c r="X124">
        <v>41.07579462</v>
      </c>
      <c r="Y124">
        <v>0.96428571</v>
      </c>
      <c r="Z124">
        <v>1.60678571</v>
      </c>
      <c r="AA124" s="2">
        <v>0</v>
      </c>
      <c r="AB124" s="2">
        <v>5</v>
      </c>
      <c r="AC124" s="2">
        <v>13</v>
      </c>
      <c r="AD124" s="2">
        <v>29</v>
      </c>
      <c r="AE124">
        <v>0</v>
      </c>
      <c r="AF124">
        <v>0</v>
      </c>
      <c r="AG124">
        <v>0</v>
      </c>
      <c r="AH124">
        <v>0</v>
      </c>
      <c r="AI124">
        <v>8.28</v>
      </c>
      <c r="AJ124">
        <v>0</v>
      </c>
      <c r="AK124">
        <v>0</v>
      </c>
      <c r="AL124">
        <v>0</v>
      </c>
      <c r="AM124">
        <v>0</v>
      </c>
      <c r="AN124">
        <v>0</v>
      </c>
    </row>
    <row r="125" spans="1:40">
      <c r="A125" t="s">
        <v>131</v>
      </c>
      <c r="B125" t="s">
        <v>186</v>
      </c>
      <c r="C125" t="s">
        <v>187</v>
      </c>
      <c r="D125" t="s">
        <v>188</v>
      </c>
      <c r="E125" t="s">
        <v>135</v>
      </c>
      <c r="F125" t="s">
        <v>64</v>
      </c>
      <c r="G125" t="s">
        <v>189</v>
      </c>
      <c r="H125" t="s">
        <v>190</v>
      </c>
      <c r="I125" t="s">
        <v>177</v>
      </c>
      <c r="J125" t="s">
        <v>148</v>
      </c>
      <c r="K125" t="s">
        <v>69</v>
      </c>
      <c r="L125" t="s">
        <v>178</v>
      </c>
      <c r="M125" t="s">
        <v>17</v>
      </c>
      <c r="N125" t="s">
        <v>141</v>
      </c>
      <c r="O125" t="s">
        <v>20</v>
      </c>
      <c r="P125">
        <v>66</v>
      </c>
      <c r="Q125" s="17">
        <v>64</v>
      </c>
      <c r="R125">
        <v>64</v>
      </c>
      <c r="S125">
        <v>0.03030303</v>
      </c>
      <c r="T125">
        <v>2</v>
      </c>
      <c r="U125">
        <v>22.74509804</v>
      </c>
      <c r="V125">
        <v>0.01096638</v>
      </c>
      <c r="W125">
        <v>64</v>
      </c>
      <c r="X125">
        <v>17.76191892</v>
      </c>
      <c r="Y125">
        <v>2.57142857</v>
      </c>
      <c r="Z125">
        <v>3.60321429</v>
      </c>
      <c r="AA125" s="2">
        <v>7</v>
      </c>
      <c r="AB125" s="2">
        <v>19</v>
      </c>
      <c r="AC125" s="2">
        <v>33</v>
      </c>
      <c r="AD125" s="2">
        <v>79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39</v>
      </c>
      <c r="AN125">
        <v>0</v>
      </c>
    </row>
    <row r="126" spans="1:40">
      <c r="A126" t="s">
        <v>131</v>
      </c>
      <c r="B126" t="s">
        <v>142</v>
      </c>
      <c r="C126" t="s">
        <v>143</v>
      </c>
      <c r="D126" t="s">
        <v>144</v>
      </c>
      <c r="E126" t="s">
        <v>135</v>
      </c>
      <c r="F126" t="s">
        <v>19</v>
      </c>
      <c r="G126" t="s">
        <v>145</v>
      </c>
      <c r="H126" t="s">
        <v>146</v>
      </c>
      <c r="I126" t="s">
        <v>279</v>
      </c>
      <c r="J126" t="s">
        <v>280</v>
      </c>
      <c r="K126" t="s">
        <v>28</v>
      </c>
      <c r="L126" t="s">
        <v>281</v>
      </c>
      <c r="M126" t="s">
        <v>17</v>
      </c>
      <c r="N126" t="s">
        <v>141</v>
      </c>
      <c r="O126" t="s">
        <v>20</v>
      </c>
      <c r="P126">
        <v>66</v>
      </c>
      <c r="Q126" s="17">
        <v>64</v>
      </c>
      <c r="R126">
        <v>64</v>
      </c>
      <c r="S126">
        <v>0.03030303</v>
      </c>
      <c r="T126">
        <v>2</v>
      </c>
      <c r="U126">
        <v>6.38388626</v>
      </c>
      <c r="V126">
        <v>-0.09103079</v>
      </c>
      <c r="W126">
        <v>64</v>
      </c>
      <c r="X126">
        <v>6.93928129</v>
      </c>
      <c r="Y126">
        <v>8.64285714</v>
      </c>
      <c r="Z126">
        <v>9.22285714</v>
      </c>
      <c r="AA126" s="2">
        <v>19</v>
      </c>
      <c r="AB126" s="2">
        <v>72</v>
      </c>
      <c r="AC126" s="2">
        <v>166</v>
      </c>
      <c r="AD126" s="2">
        <v>250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</row>
    <row r="127" spans="1:40">
      <c r="A127" t="s">
        <v>131</v>
      </c>
      <c r="B127" t="s">
        <v>166</v>
      </c>
      <c r="C127" t="s">
        <v>167</v>
      </c>
      <c r="D127" t="s">
        <v>168</v>
      </c>
      <c r="E127" t="s">
        <v>135</v>
      </c>
      <c r="F127" t="s">
        <v>65</v>
      </c>
      <c r="G127" t="s">
        <v>169</v>
      </c>
      <c r="H127" t="s">
        <v>170</v>
      </c>
      <c r="I127" t="s">
        <v>217</v>
      </c>
      <c r="J127" t="s">
        <v>148</v>
      </c>
      <c r="K127" t="s">
        <v>84</v>
      </c>
      <c r="L127" t="s">
        <v>218</v>
      </c>
      <c r="M127" t="s">
        <v>17</v>
      </c>
      <c r="N127" t="s">
        <v>141</v>
      </c>
      <c r="O127" t="s">
        <v>20</v>
      </c>
      <c r="P127">
        <v>66</v>
      </c>
      <c r="Q127" s="17">
        <v>66</v>
      </c>
      <c r="R127">
        <v>66</v>
      </c>
      <c r="S127">
        <v>0</v>
      </c>
      <c r="T127">
        <v>0</v>
      </c>
      <c r="U127">
        <v>32.48484848</v>
      </c>
      <c r="V127">
        <v>0.01972796</v>
      </c>
      <c r="W127">
        <v>66</v>
      </c>
      <c r="X127">
        <v>23.62265116</v>
      </c>
      <c r="Y127">
        <v>1.17857143</v>
      </c>
      <c r="Z127">
        <v>2.79392857</v>
      </c>
      <c r="AA127" s="2">
        <v>1</v>
      </c>
      <c r="AB127" s="2">
        <v>10</v>
      </c>
      <c r="AC127" s="2">
        <v>24</v>
      </c>
      <c r="AD127" s="2">
        <v>33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71</v>
      </c>
      <c r="AN127">
        <v>0</v>
      </c>
    </row>
    <row r="128" spans="1:40">
      <c r="A128" t="s">
        <v>131</v>
      </c>
      <c r="B128" t="s">
        <v>282</v>
      </c>
      <c r="C128" t="s">
        <v>283</v>
      </c>
      <c r="D128" t="s">
        <v>284</v>
      </c>
      <c r="E128" t="s">
        <v>285</v>
      </c>
      <c r="F128" t="s">
        <v>38</v>
      </c>
      <c r="G128" t="s">
        <v>286</v>
      </c>
      <c r="H128" t="s">
        <v>287</v>
      </c>
      <c r="I128" t="s">
        <v>138</v>
      </c>
      <c r="J128" t="s">
        <v>139</v>
      </c>
      <c r="K128" t="s">
        <v>97</v>
      </c>
      <c r="L128" t="s">
        <v>140</v>
      </c>
      <c r="M128" t="s">
        <v>25</v>
      </c>
      <c r="N128" t="s">
        <v>141</v>
      </c>
      <c r="O128" t="s">
        <v>20</v>
      </c>
      <c r="P128">
        <v>65</v>
      </c>
      <c r="Q128" s="17">
        <v>65</v>
      </c>
      <c r="R128">
        <v>65</v>
      </c>
      <c r="S128">
        <v>0</v>
      </c>
      <c r="T128">
        <v>0</v>
      </c>
      <c r="U128">
        <v>33.25490196</v>
      </c>
      <c r="V128">
        <v>0.03205546</v>
      </c>
      <c r="W128">
        <v>65</v>
      </c>
      <c r="X128">
        <v>12.94268241</v>
      </c>
      <c r="Y128">
        <v>2.5</v>
      </c>
      <c r="Z128">
        <v>5.02214286</v>
      </c>
      <c r="AA128" s="2">
        <v>0</v>
      </c>
      <c r="AB128" s="2">
        <v>18</v>
      </c>
      <c r="AC128" s="2">
        <v>34</v>
      </c>
      <c r="AD128" s="2">
        <v>79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108</v>
      </c>
      <c r="AN128">
        <v>0</v>
      </c>
    </row>
    <row r="129" spans="1:40">
      <c r="A129" t="s">
        <v>131</v>
      </c>
      <c r="B129" t="s">
        <v>232</v>
      </c>
      <c r="C129" t="s">
        <v>233</v>
      </c>
      <c r="D129" t="s">
        <v>234</v>
      </c>
      <c r="E129" t="s">
        <v>135</v>
      </c>
      <c r="F129" t="s">
        <v>23</v>
      </c>
      <c r="G129" t="s">
        <v>235</v>
      </c>
      <c r="H129" t="s">
        <v>236</v>
      </c>
      <c r="I129" t="s">
        <v>177</v>
      </c>
      <c r="J129" t="s">
        <v>148</v>
      </c>
      <c r="K129" t="s">
        <v>69</v>
      </c>
      <c r="L129" t="s">
        <v>178</v>
      </c>
      <c r="M129" t="s">
        <v>17</v>
      </c>
      <c r="N129" t="s">
        <v>141</v>
      </c>
      <c r="O129" t="s">
        <v>20</v>
      </c>
      <c r="P129">
        <v>65</v>
      </c>
      <c r="Q129" s="17">
        <v>65</v>
      </c>
      <c r="R129">
        <v>65</v>
      </c>
      <c r="S129">
        <v>0</v>
      </c>
      <c r="T129">
        <v>0</v>
      </c>
      <c r="U129">
        <v>298.2</v>
      </c>
      <c r="V129">
        <v>0.05516456</v>
      </c>
      <c r="W129">
        <v>65</v>
      </c>
      <c r="X129">
        <v>68.06282723</v>
      </c>
      <c r="Y129">
        <v>0.46428571</v>
      </c>
      <c r="Z129">
        <v>0.955</v>
      </c>
      <c r="AA129" s="2">
        <v>0</v>
      </c>
      <c r="AB129" s="2">
        <v>2</v>
      </c>
      <c r="AC129" s="2">
        <v>4</v>
      </c>
      <c r="AD129" s="2">
        <v>16</v>
      </c>
      <c r="AE129">
        <v>0</v>
      </c>
      <c r="AF129">
        <v>0</v>
      </c>
      <c r="AG129">
        <v>0</v>
      </c>
      <c r="AH129">
        <v>0</v>
      </c>
      <c r="AI129">
        <v>36.34</v>
      </c>
      <c r="AJ129">
        <v>0</v>
      </c>
      <c r="AK129">
        <v>0</v>
      </c>
      <c r="AL129">
        <v>0</v>
      </c>
      <c r="AM129">
        <v>0</v>
      </c>
      <c r="AN129">
        <v>0</v>
      </c>
    </row>
    <row r="130" spans="1:40">
      <c r="A130" t="s">
        <v>131</v>
      </c>
      <c r="B130" t="s">
        <v>159</v>
      </c>
      <c r="C130" t="s">
        <v>160</v>
      </c>
      <c r="D130" t="s">
        <v>161</v>
      </c>
      <c r="E130" t="s">
        <v>135</v>
      </c>
      <c r="F130" t="s">
        <v>59</v>
      </c>
      <c r="G130" t="s">
        <v>162</v>
      </c>
      <c r="H130" t="s">
        <v>163</v>
      </c>
      <c r="I130" t="s">
        <v>199</v>
      </c>
      <c r="J130" t="s">
        <v>148</v>
      </c>
      <c r="K130" t="s">
        <v>78</v>
      </c>
      <c r="L130" t="s">
        <v>200</v>
      </c>
      <c r="M130" t="s">
        <v>17</v>
      </c>
      <c r="N130" t="s">
        <v>141</v>
      </c>
      <c r="O130" t="s">
        <v>20</v>
      </c>
      <c r="P130">
        <v>65</v>
      </c>
      <c r="Q130" s="17">
        <v>65</v>
      </c>
      <c r="R130">
        <v>65</v>
      </c>
      <c r="S130">
        <v>0</v>
      </c>
      <c r="T130">
        <v>0</v>
      </c>
      <c r="U130">
        <v>12.45283019</v>
      </c>
      <c r="V130">
        <v>-0.01006683</v>
      </c>
      <c r="W130">
        <v>65</v>
      </c>
      <c r="X130">
        <v>36.80485339</v>
      </c>
      <c r="Y130">
        <v>1.89285714</v>
      </c>
      <c r="Z130">
        <v>1.76607143</v>
      </c>
      <c r="AA130" s="2">
        <v>0</v>
      </c>
      <c r="AB130" s="2">
        <v>4</v>
      </c>
      <c r="AC130" s="2">
        <v>50</v>
      </c>
      <c r="AD130" s="2">
        <v>53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7</v>
      </c>
      <c r="AN130">
        <v>0</v>
      </c>
    </row>
    <row r="131" spans="1:40">
      <c r="A131" t="s">
        <v>131</v>
      </c>
      <c r="B131" t="s">
        <v>132</v>
      </c>
      <c r="C131" t="s">
        <v>133</v>
      </c>
      <c r="D131" t="s">
        <v>134</v>
      </c>
      <c r="E131" t="s">
        <v>135</v>
      </c>
      <c r="F131" t="s">
        <v>66</v>
      </c>
      <c r="G131" t="s">
        <v>136</v>
      </c>
      <c r="H131" t="s">
        <v>137</v>
      </c>
      <c r="I131" t="s">
        <v>199</v>
      </c>
      <c r="J131" t="s">
        <v>148</v>
      </c>
      <c r="K131" t="s">
        <v>78</v>
      </c>
      <c r="L131" t="s">
        <v>200</v>
      </c>
      <c r="M131" t="s">
        <v>25</v>
      </c>
      <c r="N131" t="s">
        <v>141</v>
      </c>
      <c r="O131" t="s">
        <v>20</v>
      </c>
      <c r="P131">
        <v>64</v>
      </c>
      <c r="Q131" s="17">
        <v>64</v>
      </c>
      <c r="R131">
        <v>64</v>
      </c>
      <c r="S131">
        <v>0</v>
      </c>
      <c r="T131">
        <v>0</v>
      </c>
      <c r="U131">
        <v>25.71428571</v>
      </c>
      <c r="V131">
        <v>0.00928342</v>
      </c>
      <c r="W131">
        <v>64</v>
      </c>
      <c r="X131">
        <v>20.74554295</v>
      </c>
      <c r="Y131">
        <v>1.25</v>
      </c>
      <c r="Z131">
        <v>3.085</v>
      </c>
      <c r="AA131" s="2">
        <v>0</v>
      </c>
      <c r="AB131" s="2">
        <v>6</v>
      </c>
      <c r="AC131" s="2">
        <v>13</v>
      </c>
      <c r="AD131" s="2">
        <v>40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</row>
    <row r="132" spans="1:40">
      <c r="A132" t="s">
        <v>131</v>
      </c>
      <c r="B132" t="s">
        <v>186</v>
      </c>
      <c r="C132" t="s">
        <v>187</v>
      </c>
      <c r="D132" t="s">
        <v>188</v>
      </c>
      <c r="E132" t="s">
        <v>135</v>
      </c>
      <c r="F132" t="s">
        <v>64</v>
      </c>
      <c r="G132" t="s">
        <v>189</v>
      </c>
      <c r="H132" t="s">
        <v>190</v>
      </c>
      <c r="I132" t="s">
        <v>230</v>
      </c>
      <c r="J132" t="s">
        <v>148</v>
      </c>
      <c r="K132" t="s">
        <v>91</v>
      </c>
      <c r="L132" t="s">
        <v>231</v>
      </c>
      <c r="M132" t="s">
        <v>17</v>
      </c>
      <c r="N132" t="s">
        <v>141</v>
      </c>
      <c r="O132" t="s">
        <v>20</v>
      </c>
      <c r="P132">
        <v>64</v>
      </c>
      <c r="Q132" s="17">
        <v>64</v>
      </c>
      <c r="R132">
        <v>64</v>
      </c>
      <c r="S132">
        <v>0</v>
      </c>
      <c r="T132">
        <v>0</v>
      </c>
      <c r="U132">
        <v>54.63636364</v>
      </c>
      <c r="V132">
        <v>0.04846902</v>
      </c>
      <c r="W132">
        <v>64</v>
      </c>
      <c r="X132">
        <v>31.31772108</v>
      </c>
      <c r="Y132">
        <v>1.39285714</v>
      </c>
      <c r="Z132">
        <v>2.04357143</v>
      </c>
      <c r="AA132" s="2">
        <v>1</v>
      </c>
      <c r="AB132" s="2">
        <v>12</v>
      </c>
      <c r="AC132" s="2">
        <v>27</v>
      </c>
      <c r="AD132" s="2">
        <v>44</v>
      </c>
      <c r="AE132">
        <v>0</v>
      </c>
      <c r="AF132">
        <v>0</v>
      </c>
      <c r="AG132">
        <v>0</v>
      </c>
      <c r="AH132">
        <v>64</v>
      </c>
      <c r="AI132">
        <v>0</v>
      </c>
      <c r="AJ132">
        <v>0</v>
      </c>
      <c r="AK132">
        <v>0</v>
      </c>
      <c r="AL132">
        <v>0</v>
      </c>
      <c r="AM132">
        <v>4</v>
      </c>
      <c r="AN132">
        <v>0</v>
      </c>
    </row>
    <row r="133" spans="1:40">
      <c r="A133" t="s">
        <v>131</v>
      </c>
      <c r="B133" t="s">
        <v>179</v>
      </c>
      <c r="C133" t="s">
        <v>180</v>
      </c>
      <c r="D133" t="s">
        <v>181</v>
      </c>
      <c r="E133" t="s">
        <v>135</v>
      </c>
      <c r="F133" t="s">
        <v>21</v>
      </c>
      <c r="G133" t="s">
        <v>182</v>
      </c>
      <c r="H133" t="s">
        <v>183</v>
      </c>
      <c r="I133" t="s">
        <v>171</v>
      </c>
      <c r="J133" t="s">
        <v>148</v>
      </c>
      <c r="K133" t="s">
        <v>75</v>
      </c>
      <c r="L133" t="s">
        <v>172</v>
      </c>
      <c r="M133" t="s">
        <v>17</v>
      </c>
      <c r="N133" t="s">
        <v>141</v>
      </c>
      <c r="O133" t="s">
        <v>20</v>
      </c>
      <c r="P133">
        <v>64</v>
      </c>
      <c r="Q133" s="17">
        <v>64</v>
      </c>
      <c r="R133">
        <v>64</v>
      </c>
      <c r="S133">
        <v>0</v>
      </c>
      <c r="T133">
        <v>0</v>
      </c>
      <c r="U133">
        <v>24.58974359</v>
      </c>
      <c r="V133">
        <v>0.01121131</v>
      </c>
      <c r="W133">
        <v>64</v>
      </c>
      <c r="X133">
        <v>30.42961454</v>
      </c>
      <c r="Y133">
        <v>1.92857143</v>
      </c>
      <c r="Z133">
        <v>2.10321429</v>
      </c>
      <c r="AA133" s="2">
        <v>2</v>
      </c>
      <c r="AB133" s="2">
        <v>23</v>
      </c>
      <c r="AC133" s="2">
        <v>38</v>
      </c>
      <c r="AD133" s="2">
        <v>57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27</v>
      </c>
      <c r="AN133">
        <v>0</v>
      </c>
    </row>
    <row r="134" spans="1:40">
      <c r="A134" t="s">
        <v>131</v>
      </c>
      <c r="B134" t="s">
        <v>242</v>
      </c>
      <c r="C134" t="s">
        <v>243</v>
      </c>
      <c r="D134" t="s">
        <v>244</v>
      </c>
      <c r="E134" t="s">
        <v>135</v>
      </c>
      <c r="F134" t="s">
        <v>24</v>
      </c>
      <c r="G134" t="s">
        <v>245</v>
      </c>
      <c r="H134" t="s">
        <v>246</v>
      </c>
      <c r="I134" t="s">
        <v>288</v>
      </c>
      <c r="J134" t="s">
        <v>148</v>
      </c>
      <c r="K134" t="s">
        <v>87</v>
      </c>
      <c r="L134" t="s">
        <v>289</v>
      </c>
      <c r="M134" t="s">
        <v>25</v>
      </c>
      <c r="N134" t="s">
        <v>141</v>
      </c>
      <c r="O134" t="s">
        <v>52</v>
      </c>
      <c r="P134">
        <v>64</v>
      </c>
      <c r="Q134" s="17">
        <v>64</v>
      </c>
      <c r="R134">
        <v>64</v>
      </c>
      <c r="S134">
        <v>0</v>
      </c>
      <c r="T134">
        <v>0</v>
      </c>
      <c r="U134">
        <v>16.75</v>
      </c>
      <c r="V134">
        <v>-0.00066676</v>
      </c>
      <c r="W134">
        <v>64</v>
      </c>
      <c r="X134">
        <v>37.19385637</v>
      </c>
      <c r="Y134">
        <v>1.32142857</v>
      </c>
      <c r="Z134">
        <v>1.72071429</v>
      </c>
      <c r="AA134" s="2">
        <v>0</v>
      </c>
      <c r="AB134" s="2">
        <v>0</v>
      </c>
      <c r="AC134" s="2">
        <v>17</v>
      </c>
      <c r="AD134" s="2">
        <v>40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>
      <c r="A135" t="s">
        <v>131</v>
      </c>
      <c r="B135" t="s">
        <v>132</v>
      </c>
      <c r="C135" t="s">
        <v>133</v>
      </c>
      <c r="D135" t="s">
        <v>134</v>
      </c>
      <c r="E135" t="s">
        <v>135</v>
      </c>
      <c r="F135" t="s">
        <v>66</v>
      </c>
      <c r="G135" t="s">
        <v>136</v>
      </c>
      <c r="H135" t="s">
        <v>137</v>
      </c>
      <c r="I135" t="s">
        <v>177</v>
      </c>
      <c r="J135" t="s">
        <v>148</v>
      </c>
      <c r="K135" t="s">
        <v>69</v>
      </c>
      <c r="L135" t="s">
        <v>178</v>
      </c>
      <c r="M135" t="s">
        <v>25</v>
      </c>
      <c r="N135" t="s">
        <v>141</v>
      </c>
      <c r="O135" t="s">
        <v>20</v>
      </c>
      <c r="P135">
        <v>63</v>
      </c>
      <c r="Q135" s="17">
        <v>63</v>
      </c>
      <c r="R135">
        <v>63</v>
      </c>
      <c r="S135">
        <v>0</v>
      </c>
      <c r="T135">
        <v>0</v>
      </c>
      <c r="U135">
        <v>39.27272727</v>
      </c>
      <c r="V135">
        <v>0.02853507</v>
      </c>
      <c r="W135">
        <v>63</v>
      </c>
      <c r="X135">
        <v>13.3182333</v>
      </c>
      <c r="Y135">
        <v>1.46428571</v>
      </c>
      <c r="Z135">
        <v>4.73035714</v>
      </c>
      <c r="AA135" s="2">
        <v>2</v>
      </c>
      <c r="AB135" s="2">
        <v>9</v>
      </c>
      <c r="AC135" s="2">
        <v>16</v>
      </c>
      <c r="AD135" s="2">
        <v>46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38</v>
      </c>
      <c r="AM135">
        <v>0</v>
      </c>
      <c r="AN135">
        <v>0</v>
      </c>
    </row>
    <row r="136" spans="1:40">
      <c r="A136" t="s">
        <v>131</v>
      </c>
      <c r="B136" t="s">
        <v>232</v>
      </c>
      <c r="C136" t="s">
        <v>233</v>
      </c>
      <c r="D136" t="s">
        <v>234</v>
      </c>
      <c r="E136" t="s">
        <v>135</v>
      </c>
      <c r="F136" t="s">
        <v>23</v>
      </c>
      <c r="G136" t="s">
        <v>235</v>
      </c>
      <c r="H136" t="s">
        <v>236</v>
      </c>
      <c r="I136" t="s">
        <v>175</v>
      </c>
      <c r="J136" t="s">
        <v>139</v>
      </c>
      <c r="K136" t="s">
        <v>74</v>
      </c>
      <c r="L136" t="s">
        <v>176</v>
      </c>
      <c r="M136" t="s">
        <v>17</v>
      </c>
      <c r="N136" t="s">
        <v>141</v>
      </c>
      <c r="O136" t="s">
        <v>20</v>
      </c>
      <c r="P136">
        <v>63</v>
      </c>
      <c r="Q136" s="17">
        <v>63</v>
      </c>
      <c r="R136">
        <v>60</v>
      </c>
      <c r="S136">
        <v>0</v>
      </c>
      <c r="T136">
        <v>0</v>
      </c>
      <c r="U136">
        <v>150.75</v>
      </c>
      <c r="V136">
        <v>0.04194038</v>
      </c>
      <c r="W136">
        <v>60</v>
      </c>
      <c r="X136">
        <v>40.06677796</v>
      </c>
      <c r="Y136">
        <v>0.71428571</v>
      </c>
      <c r="Z136">
        <v>1.4975</v>
      </c>
      <c r="AA136" s="2">
        <v>0</v>
      </c>
      <c r="AB136" s="2">
        <v>2</v>
      </c>
      <c r="AC136" s="2">
        <v>6</v>
      </c>
      <c r="AD136" s="2">
        <v>21</v>
      </c>
      <c r="AE136">
        <v>0</v>
      </c>
      <c r="AF136">
        <v>0</v>
      </c>
      <c r="AG136">
        <v>0</v>
      </c>
      <c r="AH136">
        <v>0</v>
      </c>
      <c r="AI136">
        <v>15.08</v>
      </c>
      <c r="AJ136">
        <v>0</v>
      </c>
      <c r="AK136">
        <v>0</v>
      </c>
      <c r="AL136">
        <v>0</v>
      </c>
      <c r="AM136">
        <v>0</v>
      </c>
      <c r="AN136">
        <v>0</v>
      </c>
    </row>
    <row r="137" spans="1:40">
      <c r="A137" t="s">
        <v>131</v>
      </c>
      <c r="B137" t="s">
        <v>179</v>
      </c>
      <c r="C137" t="s">
        <v>180</v>
      </c>
      <c r="D137" t="s">
        <v>181</v>
      </c>
      <c r="E137" t="s">
        <v>135</v>
      </c>
      <c r="F137" t="s">
        <v>21</v>
      </c>
      <c r="G137" t="s">
        <v>182</v>
      </c>
      <c r="H137" t="s">
        <v>183</v>
      </c>
      <c r="I137" t="s">
        <v>173</v>
      </c>
      <c r="J137" t="s">
        <v>148</v>
      </c>
      <c r="K137" t="s">
        <v>98</v>
      </c>
      <c r="L137" t="s">
        <v>174</v>
      </c>
      <c r="M137" t="s">
        <v>17</v>
      </c>
      <c r="N137" t="s">
        <v>141</v>
      </c>
      <c r="O137" t="s">
        <v>20</v>
      </c>
      <c r="P137">
        <v>63</v>
      </c>
      <c r="Q137" s="17">
        <v>60</v>
      </c>
      <c r="R137">
        <v>59</v>
      </c>
      <c r="S137">
        <v>0.04761905</v>
      </c>
      <c r="T137">
        <v>3</v>
      </c>
      <c r="U137">
        <v>24.10204082</v>
      </c>
      <c r="V137">
        <v>0.01315137</v>
      </c>
      <c r="W137">
        <v>59</v>
      </c>
      <c r="X137">
        <v>24.4234181</v>
      </c>
      <c r="Y137">
        <v>2.25</v>
      </c>
      <c r="Z137">
        <v>2.41571429</v>
      </c>
      <c r="AA137" s="2">
        <v>2</v>
      </c>
      <c r="AB137" s="2">
        <v>17</v>
      </c>
      <c r="AC137" s="2">
        <v>36</v>
      </c>
      <c r="AD137" s="2">
        <v>65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44</v>
      </c>
      <c r="AN137">
        <v>3</v>
      </c>
    </row>
    <row r="138" spans="1:40">
      <c r="A138" t="s">
        <v>131</v>
      </c>
      <c r="B138" t="s">
        <v>210</v>
      </c>
      <c r="C138" t="s">
        <v>211</v>
      </c>
      <c r="D138" t="s">
        <v>212</v>
      </c>
      <c r="E138" t="s">
        <v>135</v>
      </c>
      <c r="F138" t="s">
        <v>16</v>
      </c>
      <c r="G138" t="s">
        <v>213</v>
      </c>
      <c r="H138" t="s">
        <v>214</v>
      </c>
      <c r="I138" t="s">
        <v>217</v>
      </c>
      <c r="J138" t="s">
        <v>148</v>
      </c>
      <c r="K138" t="s">
        <v>84</v>
      </c>
      <c r="L138" t="s">
        <v>218</v>
      </c>
      <c r="M138" t="s">
        <v>17</v>
      </c>
      <c r="N138" t="s">
        <v>141</v>
      </c>
      <c r="O138" t="s">
        <v>20</v>
      </c>
      <c r="P138">
        <v>62</v>
      </c>
      <c r="Q138" s="17">
        <v>61</v>
      </c>
      <c r="R138">
        <v>61</v>
      </c>
      <c r="S138">
        <v>0.01612903</v>
      </c>
      <c r="T138">
        <v>1</v>
      </c>
      <c r="U138">
        <v>7.71014493</v>
      </c>
      <c r="V138">
        <v>-0.05213928</v>
      </c>
      <c r="W138">
        <v>61</v>
      </c>
      <c r="X138">
        <v>5.44799209</v>
      </c>
      <c r="Y138">
        <v>5.89285714</v>
      </c>
      <c r="Z138">
        <v>11.19678571</v>
      </c>
      <c r="AA138" s="2">
        <v>9</v>
      </c>
      <c r="AB138" s="2">
        <v>39</v>
      </c>
      <c r="AC138" s="2">
        <v>93</v>
      </c>
      <c r="AD138" s="2">
        <v>175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363</v>
      </c>
      <c r="AN138">
        <v>0</v>
      </c>
    </row>
    <row r="139" spans="1:40">
      <c r="A139" t="s">
        <v>131</v>
      </c>
      <c r="B139" t="s">
        <v>142</v>
      </c>
      <c r="C139" t="s">
        <v>143</v>
      </c>
      <c r="D139" t="s">
        <v>144</v>
      </c>
      <c r="E139" t="s">
        <v>135</v>
      </c>
      <c r="F139" t="s">
        <v>19</v>
      </c>
      <c r="G139" t="s">
        <v>145</v>
      </c>
      <c r="H139" t="s">
        <v>146</v>
      </c>
      <c r="I139" t="s">
        <v>290</v>
      </c>
      <c r="J139" t="s">
        <v>280</v>
      </c>
      <c r="K139" t="s">
        <v>34</v>
      </c>
      <c r="L139" t="s">
        <v>291</v>
      </c>
      <c r="M139" t="s">
        <v>17</v>
      </c>
      <c r="N139" t="s">
        <v>141</v>
      </c>
      <c r="O139" t="s">
        <v>20</v>
      </c>
      <c r="P139">
        <v>62</v>
      </c>
      <c r="Q139" s="17">
        <v>61</v>
      </c>
      <c r="R139">
        <v>60</v>
      </c>
      <c r="S139">
        <v>0.01612903</v>
      </c>
      <c r="T139">
        <v>1</v>
      </c>
      <c r="U139">
        <v>9.93684211</v>
      </c>
      <c r="V139">
        <v>-0.02749476</v>
      </c>
      <c r="W139">
        <v>61</v>
      </c>
      <c r="X139">
        <v>11.59100317</v>
      </c>
      <c r="Y139">
        <v>4.71428571</v>
      </c>
      <c r="Z139">
        <v>5.17642857</v>
      </c>
      <c r="AA139" s="2">
        <v>9</v>
      </c>
      <c r="AB139" s="2">
        <v>41</v>
      </c>
      <c r="AC139" s="2">
        <v>73</v>
      </c>
      <c r="AD139" s="2">
        <v>144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</row>
    <row r="140" spans="1:40">
      <c r="A140" t="s">
        <v>131</v>
      </c>
      <c r="B140" t="s">
        <v>210</v>
      </c>
      <c r="C140" t="s">
        <v>211</v>
      </c>
      <c r="D140" t="s">
        <v>212</v>
      </c>
      <c r="E140" t="s">
        <v>135</v>
      </c>
      <c r="F140" t="s">
        <v>16</v>
      </c>
      <c r="G140" t="s">
        <v>213</v>
      </c>
      <c r="H140" t="s">
        <v>214</v>
      </c>
      <c r="I140" t="s">
        <v>203</v>
      </c>
      <c r="J140" t="s">
        <v>139</v>
      </c>
      <c r="K140" t="s">
        <v>88</v>
      </c>
      <c r="L140" t="s">
        <v>204</v>
      </c>
      <c r="M140" t="s">
        <v>17</v>
      </c>
      <c r="N140" t="s">
        <v>141</v>
      </c>
      <c r="O140" t="s">
        <v>20</v>
      </c>
      <c r="P140">
        <v>61</v>
      </c>
      <c r="Q140" s="17">
        <v>61</v>
      </c>
      <c r="R140">
        <v>61</v>
      </c>
      <c r="S140">
        <v>0</v>
      </c>
      <c r="T140">
        <v>0</v>
      </c>
      <c r="U140">
        <v>21.87951807</v>
      </c>
      <c r="V140">
        <v>0.01503949</v>
      </c>
      <c r="W140">
        <v>61</v>
      </c>
      <c r="X140">
        <v>15.48644483</v>
      </c>
      <c r="Y140">
        <v>3.25</v>
      </c>
      <c r="Z140">
        <v>3.93892857</v>
      </c>
      <c r="AA140" s="2">
        <v>0</v>
      </c>
      <c r="AB140" s="2">
        <v>36</v>
      </c>
      <c r="AC140" s="2">
        <v>54</v>
      </c>
      <c r="AD140" s="2">
        <v>98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29</v>
      </c>
      <c r="AN140">
        <v>0</v>
      </c>
    </row>
    <row r="141" spans="1:40">
      <c r="A141" t="s">
        <v>131</v>
      </c>
      <c r="B141" t="s">
        <v>179</v>
      </c>
      <c r="C141" t="s">
        <v>180</v>
      </c>
      <c r="D141" t="s">
        <v>181</v>
      </c>
      <c r="E141" t="s">
        <v>135</v>
      </c>
      <c r="F141" t="s">
        <v>21</v>
      </c>
      <c r="G141" t="s">
        <v>182</v>
      </c>
      <c r="H141" t="s">
        <v>183</v>
      </c>
      <c r="I141" t="s">
        <v>175</v>
      </c>
      <c r="J141" t="s">
        <v>139</v>
      </c>
      <c r="K141" t="s">
        <v>74</v>
      </c>
      <c r="L141" t="s">
        <v>176</v>
      </c>
      <c r="M141" t="s">
        <v>17</v>
      </c>
      <c r="N141" t="s">
        <v>141</v>
      </c>
      <c r="O141" t="s">
        <v>20</v>
      </c>
      <c r="P141">
        <v>61</v>
      </c>
      <c r="Q141" s="17">
        <v>61</v>
      </c>
      <c r="R141">
        <v>61</v>
      </c>
      <c r="S141">
        <v>0</v>
      </c>
      <c r="T141">
        <v>0</v>
      </c>
      <c r="U141">
        <v>9.69230769</v>
      </c>
      <c r="V141">
        <v>-0.01552463</v>
      </c>
      <c r="W141">
        <v>61</v>
      </c>
      <c r="X141">
        <v>30.75261073</v>
      </c>
      <c r="Y141">
        <v>2.07142857</v>
      </c>
      <c r="Z141">
        <v>1.98357143</v>
      </c>
      <c r="AA141" s="2">
        <v>8</v>
      </c>
      <c r="AB141" s="2">
        <v>11</v>
      </c>
      <c r="AC141" s="2">
        <v>28</v>
      </c>
      <c r="AD141" s="2">
        <v>58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10</v>
      </c>
      <c r="AN141">
        <v>0</v>
      </c>
    </row>
    <row r="142" spans="1:40">
      <c r="A142" t="s">
        <v>131</v>
      </c>
      <c r="B142" t="s">
        <v>237</v>
      </c>
      <c r="C142" t="s">
        <v>238</v>
      </c>
      <c r="D142" t="s">
        <v>239</v>
      </c>
      <c r="E142" t="s">
        <v>135</v>
      </c>
      <c r="F142" t="s">
        <v>62</v>
      </c>
      <c r="G142" t="s">
        <v>240</v>
      </c>
      <c r="H142" t="s">
        <v>241</v>
      </c>
      <c r="I142" t="s">
        <v>164</v>
      </c>
      <c r="J142" t="s">
        <v>148</v>
      </c>
      <c r="K142" t="s">
        <v>94</v>
      </c>
      <c r="L142" t="s">
        <v>165</v>
      </c>
      <c r="M142" t="s">
        <v>17</v>
      </c>
      <c r="N142" t="s">
        <v>141</v>
      </c>
      <c r="O142" t="s">
        <v>20</v>
      </c>
      <c r="P142">
        <v>61</v>
      </c>
      <c r="Q142" s="17">
        <v>60</v>
      </c>
      <c r="R142">
        <v>60</v>
      </c>
      <c r="S142">
        <v>0.01639344</v>
      </c>
      <c r="T142">
        <v>1</v>
      </c>
      <c r="U142">
        <v>12.41176471</v>
      </c>
      <c r="V142">
        <v>-0.00976859</v>
      </c>
      <c r="W142">
        <v>60</v>
      </c>
      <c r="X142">
        <v>22.77039848</v>
      </c>
      <c r="Y142">
        <v>2.28571429</v>
      </c>
      <c r="Z142">
        <v>2.635</v>
      </c>
      <c r="AA142" s="2">
        <v>3</v>
      </c>
      <c r="AB142" s="2">
        <v>13</v>
      </c>
      <c r="AC142" s="2">
        <v>35</v>
      </c>
      <c r="AD142" s="2">
        <v>64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52</v>
      </c>
      <c r="AN142">
        <v>0</v>
      </c>
    </row>
    <row r="143" spans="1:40">
      <c r="A143" t="s">
        <v>131</v>
      </c>
      <c r="B143" t="s">
        <v>166</v>
      </c>
      <c r="C143" t="s">
        <v>167</v>
      </c>
      <c r="D143" t="s">
        <v>168</v>
      </c>
      <c r="E143" t="s">
        <v>135</v>
      </c>
      <c r="F143" t="s">
        <v>65</v>
      </c>
      <c r="G143" t="s">
        <v>169</v>
      </c>
      <c r="H143" t="s">
        <v>170</v>
      </c>
      <c r="I143" t="s">
        <v>164</v>
      </c>
      <c r="J143" t="s">
        <v>148</v>
      </c>
      <c r="K143" t="s">
        <v>94</v>
      </c>
      <c r="L143" t="s">
        <v>165</v>
      </c>
      <c r="M143" t="s">
        <v>17</v>
      </c>
      <c r="N143" t="s">
        <v>141</v>
      </c>
      <c r="O143" t="s">
        <v>20</v>
      </c>
      <c r="P143">
        <v>61</v>
      </c>
      <c r="Q143" s="17">
        <v>61</v>
      </c>
      <c r="R143">
        <v>61</v>
      </c>
      <c r="S143">
        <v>0</v>
      </c>
      <c r="T143">
        <v>0</v>
      </c>
      <c r="U143">
        <v>24.71875</v>
      </c>
      <c r="V143">
        <v>0.0093588</v>
      </c>
      <c r="W143">
        <v>61</v>
      </c>
      <c r="X143">
        <v>55.4905783</v>
      </c>
      <c r="Y143">
        <v>1.14285714</v>
      </c>
      <c r="Z143">
        <v>1.09928571</v>
      </c>
      <c r="AA143" s="2">
        <v>0</v>
      </c>
      <c r="AB143" s="2">
        <v>2</v>
      </c>
      <c r="AC143" s="2">
        <v>11</v>
      </c>
      <c r="AD143" s="2">
        <v>32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</row>
    <row r="144" spans="1:40">
      <c r="A144" t="s">
        <v>131</v>
      </c>
      <c r="B144" t="s">
        <v>237</v>
      </c>
      <c r="C144" t="s">
        <v>238</v>
      </c>
      <c r="D144" t="s">
        <v>239</v>
      </c>
      <c r="E144" t="s">
        <v>135</v>
      </c>
      <c r="F144" t="s">
        <v>62</v>
      </c>
      <c r="G144" t="s">
        <v>240</v>
      </c>
      <c r="H144" t="s">
        <v>241</v>
      </c>
      <c r="I144" t="s">
        <v>199</v>
      </c>
      <c r="J144" t="s">
        <v>148</v>
      </c>
      <c r="K144" t="s">
        <v>78</v>
      </c>
      <c r="L144" t="s">
        <v>200</v>
      </c>
      <c r="M144" t="s">
        <v>17</v>
      </c>
      <c r="N144" t="s">
        <v>141</v>
      </c>
      <c r="O144" t="s">
        <v>20</v>
      </c>
      <c r="P144">
        <v>60</v>
      </c>
      <c r="Q144" s="17">
        <v>60</v>
      </c>
      <c r="R144">
        <v>58</v>
      </c>
      <c r="S144">
        <v>0</v>
      </c>
      <c r="T144">
        <v>0</v>
      </c>
      <c r="U144">
        <v>20.48571429</v>
      </c>
      <c r="V144">
        <v>0.00441181</v>
      </c>
      <c r="W144">
        <v>58</v>
      </c>
      <c r="X144">
        <v>40.227892</v>
      </c>
      <c r="Y144">
        <v>1.28571429</v>
      </c>
      <c r="Z144">
        <v>1.44178571</v>
      </c>
      <c r="AA144" s="2">
        <v>1</v>
      </c>
      <c r="AB144" s="2">
        <v>7</v>
      </c>
      <c r="AC144" s="2">
        <v>22</v>
      </c>
      <c r="AD144" s="2">
        <v>36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3</v>
      </c>
      <c r="AN144">
        <v>0</v>
      </c>
    </row>
    <row r="145" spans="1:40">
      <c r="A145" t="s">
        <v>131</v>
      </c>
      <c r="B145" t="s">
        <v>219</v>
      </c>
      <c r="C145" t="s">
        <v>220</v>
      </c>
      <c r="D145" t="s">
        <v>221</v>
      </c>
      <c r="E145" t="s">
        <v>135</v>
      </c>
      <c r="F145" t="s">
        <v>63</v>
      </c>
      <c r="G145" t="s">
        <v>222</v>
      </c>
      <c r="H145" t="s">
        <v>223</v>
      </c>
      <c r="I145" t="s">
        <v>217</v>
      </c>
      <c r="J145" t="s">
        <v>148</v>
      </c>
      <c r="K145" t="s">
        <v>84</v>
      </c>
      <c r="L145" t="s">
        <v>218</v>
      </c>
      <c r="M145" t="s">
        <v>17</v>
      </c>
      <c r="N145" t="s">
        <v>141</v>
      </c>
      <c r="O145" t="s">
        <v>20</v>
      </c>
      <c r="P145">
        <v>60</v>
      </c>
      <c r="Q145" s="17">
        <v>60</v>
      </c>
      <c r="R145">
        <v>60</v>
      </c>
      <c r="S145">
        <v>0</v>
      </c>
      <c r="T145">
        <v>0</v>
      </c>
      <c r="U145">
        <v>15.20689655</v>
      </c>
      <c r="V145">
        <v>-0.00473211</v>
      </c>
      <c r="W145">
        <v>60</v>
      </c>
      <c r="X145">
        <v>11.09936575</v>
      </c>
      <c r="Y145">
        <v>2.57142857</v>
      </c>
      <c r="Z145">
        <v>5.40571429</v>
      </c>
      <c r="AA145" s="2">
        <v>12</v>
      </c>
      <c r="AB145" s="2">
        <v>33</v>
      </c>
      <c r="AC145" s="2">
        <v>52</v>
      </c>
      <c r="AD145" s="2">
        <v>72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155</v>
      </c>
      <c r="AN145">
        <v>0</v>
      </c>
    </row>
    <row r="146" spans="1:40">
      <c r="A146" t="s">
        <v>131</v>
      </c>
      <c r="B146" t="s">
        <v>186</v>
      </c>
      <c r="C146" t="s">
        <v>187</v>
      </c>
      <c r="D146" t="s">
        <v>188</v>
      </c>
      <c r="E146" t="s">
        <v>135</v>
      </c>
      <c r="F146" t="s">
        <v>64</v>
      </c>
      <c r="G146" t="s">
        <v>189</v>
      </c>
      <c r="H146" t="s">
        <v>190</v>
      </c>
      <c r="I146" t="s">
        <v>201</v>
      </c>
      <c r="J146" t="s">
        <v>148</v>
      </c>
      <c r="K146" t="s">
        <v>67</v>
      </c>
      <c r="L146" t="s">
        <v>202</v>
      </c>
      <c r="M146" t="s">
        <v>17</v>
      </c>
      <c r="N146" t="s">
        <v>141</v>
      </c>
      <c r="O146" t="s">
        <v>20</v>
      </c>
      <c r="P146">
        <v>59</v>
      </c>
      <c r="Q146" s="17">
        <v>59</v>
      </c>
      <c r="R146">
        <v>59</v>
      </c>
      <c r="S146">
        <v>0</v>
      </c>
      <c r="T146">
        <v>0</v>
      </c>
      <c r="U146">
        <v>12.22222222</v>
      </c>
      <c r="V146">
        <v>-0.00715972</v>
      </c>
      <c r="W146">
        <v>59</v>
      </c>
      <c r="X146">
        <v>26.95822454</v>
      </c>
      <c r="Y146">
        <v>1.75</v>
      </c>
      <c r="Z146">
        <v>2.18857143</v>
      </c>
      <c r="AA146" s="2">
        <v>2</v>
      </c>
      <c r="AB146" s="2">
        <v>11</v>
      </c>
      <c r="AC146" s="2">
        <v>24</v>
      </c>
      <c r="AD146" s="2">
        <v>50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10</v>
      </c>
      <c r="AN146">
        <v>0</v>
      </c>
    </row>
    <row r="147" spans="1:40">
      <c r="A147" t="s">
        <v>131</v>
      </c>
      <c r="B147" t="s">
        <v>242</v>
      </c>
      <c r="C147" t="s">
        <v>243</v>
      </c>
      <c r="D147" t="s">
        <v>244</v>
      </c>
      <c r="E147" t="s">
        <v>135</v>
      </c>
      <c r="F147" t="s">
        <v>24</v>
      </c>
      <c r="G147" t="s">
        <v>245</v>
      </c>
      <c r="H147" t="s">
        <v>246</v>
      </c>
      <c r="I147" t="s">
        <v>152</v>
      </c>
      <c r="J147" t="s">
        <v>148</v>
      </c>
      <c r="K147" t="s">
        <v>79</v>
      </c>
      <c r="L147" t="s">
        <v>153</v>
      </c>
      <c r="M147" t="s">
        <v>25</v>
      </c>
      <c r="N147" t="s">
        <v>141</v>
      </c>
      <c r="O147" t="s">
        <v>20</v>
      </c>
      <c r="P147">
        <v>59</v>
      </c>
      <c r="Q147" s="17">
        <v>57</v>
      </c>
      <c r="R147">
        <v>57</v>
      </c>
      <c r="S147">
        <v>0.03389831</v>
      </c>
      <c r="T147">
        <v>2</v>
      </c>
      <c r="U147">
        <v>13</v>
      </c>
      <c r="V147">
        <v>-0.00892573</v>
      </c>
      <c r="W147">
        <v>57</v>
      </c>
      <c r="X147">
        <v>28.12830455</v>
      </c>
      <c r="Y147">
        <v>1.89285714</v>
      </c>
      <c r="Z147">
        <v>2.02642857</v>
      </c>
      <c r="AA147" s="2">
        <v>0</v>
      </c>
      <c r="AB147" s="2">
        <v>13</v>
      </c>
      <c r="AC147" s="2">
        <v>28</v>
      </c>
      <c r="AD147" s="2">
        <v>54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</row>
    <row r="148" spans="1:40">
      <c r="A148" t="s">
        <v>131</v>
      </c>
      <c r="B148" t="s">
        <v>191</v>
      </c>
      <c r="C148" t="s">
        <v>192</v>
      </c>
      <c r="D148" t="s">
        <v>193</v>
      </c>
      <c r="E148" t="s">
        <v>135</v>
      </c>
      <c r="F148" t="s">
        <v>49</v>
      </c>
      <c r="G148" t="s">
        <v>194</v>
      </c>
      <c r="H148" t="s">
        <v>195</v>
      </c>
      <c r="I148" t="s">
        <v>173</v>
      </c>
      <c r="J148" t="s">
        <v>148</v>
      </c>
      <c r="K148" t="s">
        <v>98</v>
      </c>
      <c r="L148" t="s">
        <v>174</v>
      </c>
      <c r="M148" t="s">
        <v>25</v>
      </c>
      <c r="N148" t="s">
        <v>141</v>
      </c>
      <c r="O148" t="s">
        <v>20</v>
      </c>
      <c r="P148">
        <v>58</v>
      </c>
      <c r="Q148" s="17">
        <v>58</v>
      </c>
      <c r="R148">
        <v>58</v>
      </c>
      <c r="S148">
        <v>0</v>
      </c>
      <c r="T148">
        <v>0</v>
      </c>
      <c r="U148">
        <v>19.60526316</v>
      </c>
      <c r="V148">
        <v>0.00347482</v>
      </c>
      <c r="W148">
        <v>58</v>
      </c>
      <c r="X148">
        <v>21.02265372</v>
      </c>
      <c r="Y148">
        <v>2.35714286</v>
      </c>
      <c r="Z148">
        <v>2.75892857</v>
      </c>
      <c r="AA148" s="2">
        <v>1</v>
      </c>
      <c r="AB148" s="2">
        <v>13</v>
      </c>
      <c r="AC148" s="2">
        <v>20</v>
      </c>
      <c r="AD148" s="2">
        <v>68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</row>
    <row r="149" spans="1:40">
      <c r="A149" t="s">
        <v>131</v>
      </c>
      <c r="B149" t="s">
        <v>219</v>
      </c>
      <c r="C149" t="s">
        <v>220</v>
      </c>
      <c r="D149" t="s">
        <v>221</v>
      </c>
      <c r="E149" t="s">
        <v>135</v>
      </c>
      <c r="F149" t="s">
        <v>63</v>
      </c>
      <c r="G149" t="s">
        <v>222</v>
      </c>
      <c r="H149" t="s">
        <v>223</v>
      </c>
      <c r="I149" t="s">
        <v>230</v>
      </c>
      <c r="J149" t="s">
        <v>148</v>
      </c>
      <c r="K149" t="s">
        <v>91</v>
      </c>
      <c r="L149" t="s">
        <v>231</v>
      </c>
      <c r="M149" t="s">
        <v>17</v>
      </c>
      <c r="N149" t="s">
        <v>141</v>
      </c>
      <c r="O149" t="s">
        <v>20</v>
      </c>
      <c r="P149">
        <v>58</v>
      </c>
      <c r="Q149" s="17">
        <v>58</v>
      </c>
      <c r="R149">
        <v>58</v>
      </c>
      <c r="S149">
        <v>0</v>
      </c>
      <c r="T149">
        <v>0</v>
      </c>
      <c r="U149">
        <v>105.71428571</v>
      </c>
      <c r="V149">
        <v>0.02431423</v>
      </c>
      <c r="W149">
        <v>58</v>
      </c>
      <c r="X149">
        <v>51.32743363</v>
      </c>
      <c r="Y149">
        <v>0.25</v>
      </c>
      <c r="Z149">
        <v>1.13</v>
      </c>
      <c r="AA149" s="2">
        <v>0</v>
      </c>
      <c r="AB149" s="2">
        <v>5</v>
      </c>
      <c r="AC149" s="2">
        <v>7</v>
      </c>
      <c r="AD149" s="2">
        <v>7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</row>
    <row r="150" spans="1:40">
      <c r="A150" t="s">
        <v>131</v>
      </c>
      <c r="B150" t="s">
        <v>186</v>
      </c>
      <c r="C150" t="s">
        <v>187</v>
      </c>
      <c r="D150" t="s">
        <v>188</v>
      </c>
      <c r="E150" t="s">
        <v>135</v>
      </c>
      <c r="F150" t="s">
        <v>64</v>
      </c>
      <c r="G150" t="s">
        <v>189</v>
      </c>
      <c r="H150" t="s">
        <v>190</v>
      </c>
      <c r="I150" t="s">
        <v>215</v>
      </c>
      <c r="J150" t="s">
        <v>148</v>
      </c>
      <c r="K150" t="s">
        <v>76</v>
      </c>
      <c r="L150" t="s">
        <v>216</v>
      </c>
      <c r="M150" t="s">
        <v>17</v>
      </c>
      <c r="N150" t="s">
        <v>141</v>
      </c>
      <c r="O150" t="s">
        <v>20</v>
      </c>
      <c r="P150">
        <v>56</v>
      </c>
      <c r="Q150" s="17">
        <v>54</v>
      </c>
      <c r="R150">
        <v>54</v>
      </c>
      <c r="S150">
        <v>0.03571429</v>
      </c>
      <c r="T150">
        <v>2</v>
      </c>
      <c r="U150">
        <v>11.9122807</v>
      </c>
      <c r="V150">
        <v>-0.01204086</v>
      </c>
      <c r="W150">
        <v>54</v>
      </c>
      <c r="X150">
        <v>14.21319797</v>
      </c>
      <c r="Y150">
        <v>3.07142857</v>
      </c>
      <c r="Z150">
        <v>3.79928571</v>
      </c>
      <c r="AA150" s="2">
        <v>7</v>
      </c>
      <c r="AB150" s="2">
        <v>28</v>
      </c>
      <c r="AC150" s="2">
        <v>45</v>
      </c>
      <c r="AD150" s="2">
        <v>89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70</v>
      </c>
      <c r="AN150">
        <v>0</v>
      </c>
    </row>
    <row r="151" spans="1:40">
      <c r="A151" t="s">
        <v>131</v>
      </c>
      <c r="B151" t="s">
        <v>142</v>
      </c>
      <c r="C151" t="s">
        <v>143</v>
      </c>
      <c r="D151" t="s">
        <v>144</v>
      </c>
      <c r="E151" t="s">
        <v>135</v>
      </c>
      <c r="F151" t="s">
        <v>19</v>
      </c>
      <c r="G151" t="s">
        <v>145</v>
      </c>
      <c r="H151" t="s">
        <v>146</v>
      </c>
      <c r="I151" t="s">
        <v>292</v>
      </c>
      <c r="J151" t="s">
        <v>280</v>
      </c>
      <c r="K151" t="s">
        <v>45</v>
      </c>
      <c r="L151" t="s">
        <v>293</v>
      </c>
      <c r="M151" t="s">
        <v>17</v>
      </c>
      <c r="N151" t="s">
        <v>141</v>
      </c>
      <c r="O151" t="s">
        <v>20</v>
      </c>
      <c r="P151">
        <v>56</v>
      </c>
      <c r="Q151" s="17">
        <v>55</v>
      </c>
      <c r="R151">
        <v>55</v>
      </c>
      <c r="S151">
        <v>0.01785714</v>
      </c>
      <c r="T151">
        <v>1</v>
      </c>
      <c r="U151">
        <v>5.6119403</v>
      </c>
      <c r="V151">
        <v>-0.09282332</v>
      </c>
      <c r="W151">
        <v>55</v>
      </c>
      <c r="X151">
        <v>5.58821395</v>
      </c>
      <c r="Y151">
        <v>9.03571429</v>
      </c>
      <c r="Z151">
        <v>9.84214286</v>
      </c>
      <c r="AA151" s="2">
        <v>14</v>
      </c>
      <c r="AB151" s="2">
        <v>112</v>
      </c>
      <c r="AC151" s="2">
        <v>164</v>
      </c>
      <c r="AD151" s="2">
        <v>264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7</v>
      </c>
      <c r="AM151">
        <v>0</v>
      </c>
      <c r="AN151">
        <v>0</v>
      </c>
    </row>
    <row r="152" spans="1:40">
      <c r="A152" t="s">
        <v>131</v>
      </c>
      <c r="B152" t="s">
        <v>219</v>
      </c>
      <c r="C152" t="s">
        <v>220</v>
      </c>
      <c r="D152" t="s">
        <v>221</v>
      </c>
      <c r="E152" t="s">
        <v>135</v>
      </c>
      <c r="F152" t="s">
        <v>63</v>
      </c>
      <c r="G152" t="s">
        <v>222</v>
      </c>
      <c r="H152" t="s">
        <v>223</v>
      </c>
      <c r="I152" t="s">
        <v>203</v>
      </c>
      <c r="J152" t="s">
        <v>139</v>
      </c>
      <c r="K152" t="s">
        <v>88</v>
      </c>
      <c r="L152" t="s">
        <v>204</v>
      </c>
      <c r="M152" t="s">
        <v>17</v>
      </c>
      <c r="N152" t="s">
        <v>141</v>
      </c>
      <c r="O152" t="s">
        <v>20</v>
      </c>
      <c r="P152">
        <v>56</v>
      </c>
      <c r="Q152" s="17">
        <v>56</v>
      </c>
      <c r="R152">
        <v>55</v>
      </c>
      <c r="S152">
        <v>0</v>
      </c>
      <c r="T152">
        <v>0</v>
      </c>
      <c r="U152">
        <v>12.67741935</v>
      </c>
      <c r="V152">
        <v>-0.01123236</v>
      </c>
      <c r="W152">
        <v>55</v>
      </c>
      <c r="X152">
        <v>11.90292163</v>
      </c>
      <c r="Y152">
        <v>2.21428571</v>
      </c>
      <c r="Z152">
        <v>4.62071429</v>
      </c>
      <c r="AA152" s="2">
        <v>2</v>
      </c>
      <c r="AB152" s="2">
        <v>28</v>
      </c>
      <c r="AC152" s="2">
        <v>53</v>
      </c>
      <c r="AD152" s="2">
        <v>62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69</v>
      </c>
      <c r="AN152">
        <v>0</v>
      </c>
    </row>
    <row r="153" spans="1:40">
      <c r="A153" t="s">
        <v>131</v>
      </c>
      <c r="B153" t="s">
        <v>159</v>
      </c>
      <c r="C153" t="s">
        <v>160</v>
      </c>
      <c r="D153" t="s">
        <v>161</v>
      </c>
      <c r="E153" t="s">
        <v>135</v>
      </c>
      <c r="F153" t="s">
        <v>59</v>
      </c>
      <c r="G153" t="s">
        <v>162</v>
      </c>
      <c r="H153" t="s">
        <v>163</v>
      </c>
      <c r="I153" t="s">
        <v>201</v>
      </c>
      <c r="J153" t="s">
        <v>148</v>
      </c>
      <c r="K153" t="s">
        <v>67</v>
      </c>
      <c r="L153" t="s">
        <v>202</v>
      </c>
      <c r="M153" t="s">
        <v>17</v>
      </c>
      <c r="N153" t="s">
        <v>141</v>
      </c>
      <c r="O153" t="s">
        <v>20</v>
      </c>
      <c r="P153">
        <v>56</v>
      </c>
      <c r="Q153" s="17">
        <v>56</v>
      </c>
      <c r="R153">
        <v>55</v>
      </c>
      <c r="S153">
        <v>0</v>
      </c>
      <c r="T153">
        <v>0</v>
      </c>
      <c r="U153">
        <v>86.41666667</v>
      </c>
      <c r="V153">
        <v>0.03259243</v>
      </c>
      <c r="W153">
        <v>55</v>
      </c>
      <c r="X153">
        <v>31.14256825</v>
      </c>
      <c r="Y153">
        <v>0.42857143</v>
      </c>
      <c r="Z153">
        <v>1.76607143</v>
      </c>
      <c r="AA153" s="2">
        <v>1</v>
      </c>
      <c r="AB153" s="2">
        <v>6</v>
      </c>
      <c r="AC153" s="2">
        <v>9</v>
      </c>
      <c r="AD153" s="2">
        <v>12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8</v>
      </c>
      <c r="AN153">
        <v>0</v>
      </c>
    </row>
    <row r="154" spans="1:40">
      <c r="A154" t="s">
        <v>131</v>
      </c>
      <c r="B154" t="s">
        <v>224</v>
      </c>
      <c r="C154" t="s">
        <v>225</v>
      </c>
      <c r="D154" t="s">
        <v>226</v>
      </c>
      <c r="E154" t="s">
        <v>227</v>
      </c>
      <c r="F154" t="s">
        <v>68</v>
      </c>
      <c r="G154" t="s">
        <v>228</v>
      </c>
      <c r="H154" t="s">
        <v>229</v>
      </c>
      <c r="I154" t="s">
        <v>138</v>
      </c>
      <c r="J154" t="s">
        <v>139</v>
      </c>
      <c r="K154" t="s">
        <v>97</v>
      </c>
      <c r="L154" t="s">
        <v>140</v>
      </c>
      <c r="M154" t="s">
        <v>25</v>
      </c>
      <c r="N154" t="s">
        <v>141</v>
      </c>
      <c r="O154" t="s">
        <v>20</v>
      </c>
      <c r="P154">
        <v>55</v>
      </c>
      <c r="Q154" s="17">
        <v>55</v>
      </c>
      <c r="R154">
        <v>54</v>
      </c>
      <c r="S154">
        <v>0</v>
      </c>
      <c r="T154">
        <v>0</v>
      </c>
      <c r="U154">
        <v>5.79928315</v>
      </c>
      <c r="V154">
        <v>-0.12716816</v>
      </c>
      <c r="W154">
        <v>54</v>
      </c>
      <c r="X154">
        <v>4.64131135</v>
      </c>
      <c r="Y154">
        <v>11.67857143</v>
      </c>
      <c r="Z154">
        <v>11.63464286</v>
      </c>
      <c r="AA154" s="2">
        <v>18</v>
      </c>
      <c r="AB154" s="2">
        <v>141</v>
      </c>
      <c r="AC154" s="2">
        <v>185</v>
      </c>
      <c r="AD154" s="2">
        <v>335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103</v>
      </c>
      <c r="AM154">
        <v>213</v>
      </c>
      <c r="AN154">
        <v>0</v>
      </c>
    </row>
    <row r="155" spans="1:40">
      <c r="A155" t="s">
        <v>131</v>
      </c>
      <c r="B155" t="s">
        <v>232</v>
      </c>
      <c r="C155" t="s">
        <v>233</v>
      </c>
      <c r="D155" t="s">
        <v>234</v>
      </c>
      <c r="E155" t="s">
        <v>135</v>
      </c>
      <c r="F155" t="s">
        <v>23</v>
      </c>
      <c r="G155" t="s">
        <v>235</v>
      </c>
      <c r="H155" t="s">
        <v>236</v>
      </c>
      <c r="I155" t="s">
        <v>203</v>
      </c>
      <c r="J155" t="s">
        <v>139</v>
      </c>
      <c r="K155" t="s">
        <v>88</v>
      </c>
      <c r="L155" t="s">
        <v>204</v>
      </c>
      <c r="M155" t="s">
        <v>17</v>
      </c>
      <c r="N155" t="s">
        <v>141</v>
      </c>
      <c r="O155" t="s">
        <v>20</v>
      </c>
      <c r="P155">
        <v>55</v>
      </c>
      <c r="Q155" s="17">
        <v>55</v>
      </c>
      <c r="R155">
        <v>55</v>
      </c>
      <c r="S155">
        <v>0</v>
      </c>
      <c r="T155">
        <v>0</v>
      </c>
      <c r="U155">
        <v>43.11538462</v>
      </c>
      <c r="V155">
        <v>0.02640308</v>
      </c>
      <c r="W155">
        <v>55</v>
      </c>
      <c r="X155">
        <v>24.00249377</v>
      </c>
      <c r="Y155">
        <v>1.39285714</v>
      </c>
      <c r="Z155">
        <v>2.29142857</v>
      </c>
      <c r="AA155" s="2">
        <v>2</v>
      </c>
      <c r="AB155" s="2">
        <v>5</v>
      </c>
      <c r="AC155" s="2">
        <v>13</v>
      </c>
      <c r="AD155" s="2">
        <v>42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15</v>
      </c>
      <c r="AN155">
        <v>0</v>
      </c>
    </row>
    <row r="156" spans="1:40">
      <c r="A156" t="s">
        <v>131</v>
      </c>
      <c r="B156" t="s">
        <v>242</v>
      </c>
      <c r="C156" t="s">
        <v>243</v>
      </c>
      <c r="D156" t="s">
        <v>244</v>
      </c>
      <c r="E156" t="s">
        <v>135</v>
      </c>
      <c r="F156" t="s">
        <v>24</v>
      </c>
      <c r="G156" t="s">
        <v>245</v>
      </c>
      <c r="H156" t="s">
        <v>246</v>
      </c>
      <c r="I156" t="s">
        <v>164</v>
      </c>
      <c r="J156" t="s">
        <v>148</v>
      </c>
      <c r="K156" t="s">
        <v>94</v>
      </c>
      <c r="L156" t="s">
        <v>165</v>
      </c>
      <c r="M156" t="s">
        <v>25</v>
      </c>
      <c r="N156" t="s">
        <v>141</v>
      </c>
      <c r="O156" t="s">
        <v>20</v>
      </c>
      <c r="P156">
        <v>54</v>
      </c>
      <c r="Q156" s="17">
        <v>52</v>
      </c>
      <c r="R156">
        <v>52</v>
      </c>
      <c r="S156">
        <v>0.03703704</v>
      </c>
      <c r="T156">
        <v>2</v>
      </c>
      <c r="U156">
        <v>8.3255814</v>
      </c>
      <c r="V156">
        <v>-0.01514469</v>
      </c>
      <c r="W156">
        <v>52</v>
      </c>
      <c r="X156">
        <v>24.70308789</v>
      </c>
      <c r="Y156">
        <v>1.82142857</v>
      </c>
      <c r="Z156">
        <v>2.105</v>
      </c>
      <c r="AA156" s="2">
        <v>3</v>
      </c>
      <c r="AB156" s="2">
        <v>11</v>
      </c>
      <c r="AC156" s="2">
        <v>25</v>
      </c>
      <c r="AD156" s="2">
        <v>51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</row>
    <row r="157" spans="1:40">
      <c r="A157" t="s">
        <v>131</v>
      </c>
      <c r="B157" t="s">
        <v>269</v>
      </c>
      <c r="C157" t="s">
        <v>270</v>
      </c>
      <c r="D157" t="s">
        <v>271</v>
      </c>
      <c r="E157" t="s">
        <v>135</v>
      </c>
      <c r="F157" t="s">
        <v>60</v>
      </c>
      <c r="G157" t="s">
        <v>272</v>
      </c>
      <c r="H157" t="s">
        <v>273</v>
      </c>
      <c r="I157" t="s">
        <v>150</v>
      </c>
      <c r="J157" t="s">
        <v>148</v>
      </c>
      <c r="K157" t="s">
        <v>83</v>
      </c>
      <c r="L157" t="s">
        <v>151</v>
      </c>
      <c r="M157" t="s">
        <v>17</v>
      </c>
      <c r="N157" t="s">
        <v>141</v>
      </c>
      <c r="O157" t="s">
        <v>20</v>
      </c>
      <c r="P157">
        <v>53</v>
      </c>
      <c r="Q157" s="17">
        <v>53</v>
      </c>
      <c r="R157">
        <v>51</v>
      </c>
      <c r="S157">
        <v>0</v>
      </c>
      <c r="T157">
        <v>0</v>
      </c>
      <c r="U157">
        <v>15.9122807</v>
      </c>
      <c r="V157">
        <v>-0.00306802</v>
      </c>
      <c r="W157">
        <v>51</v>
      </c>
      <c r="X157">
        <v>11.45607702</v>
      </c>
      <c r="Y157">
        <v>3.82142857</v>
      </c>
      <c r="Z157">
        <v>4.45178571</v>
      </c>
      <c r="AA157" s="2">
        <v>7</v>
      </c>
      <c r="AB157" s="2">
        <v>44</v>
      </c>
      <c r="AC157" s="2">
        <v>57</v>
      </c>
      <c r="AD157" s="2">
        <v>108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74</v>
      </c>
      <c r="AN157">
        <v>0</v>
      </c>
    </row>
    <row r="158" spans="1:40">
      <c r="A158" t="s">
        <v>131</v>
      </c>
      <c r="B158" t="s">
        <v>210</v>
      </c>
      <c r="C158" t="s">
        <v>211</v>
      </c>
      <c r="D158" t="s">
        <v>212</v>
      </c>
      <c r="E158" t="s">
        <v>135</v>
      </c>
      <c r="F158" t="s">
        <v>16</v>
      </c>
      <c r="G158" t="s">
        <v>213</v>
      </c>
      <c r="H158" t="s">
        <v>214</v>
      </c>
      <c r="I158" t="s">
        <v>175</v>
      </c>
      <c r="J158" t="s">
        <v>139</v>
      </c>
      <c r="K158" t="s">
        <v>74</v>
      </c>
      <c r="L158" t="s">
        <v>176</v>
      </c>
      <c r="M158" t="s">
        <v>17</v>
      </c>
      <c r="N158" t="s">
        <v>141</v>
      </c>
      <c r="O158" t="s">
        <v>20</v>
      </c>
      <c r="P158">
        <v>53</v>
      </c>
      <c r="Q158" s="17">
        <v>53</v>
      </c>
      <c r="R158">
        <v>53</v>
      </c>
      <c r="S158">
        <v>0</v>
      </c>
      <c r="T158">
        <v>0</v>
      </c>
      <c r="U158">
        <v>22.88461538</v>
      </c>
      <c r="V158">
        <v>0.0114673</v>
      </c>
      <c r="W158">
        <v>53</v>
      </c>
      <c r="X158">
        <v>23.56677783</v>
      </c>
      <c r="Y158">
        <v>2.25</v>
      </c>
      <c r="Z158">
        <v>2.24892857</v>
      </c>
      <c r="AA158" s="2">
        <v>3</v>
      </c>
      <c r="AB158" s="2">
        <v>16</v>
      </c>
      <c r="AC158" s="2">
        <v>29</v>
      </c>
      <c r="AD158" s="2">
        <v>66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30</v>
      </c>
      <c r="AN158">
        <v>0</v>
      </c>
    </row>
    <row r="159" spans="1:40">
      <c r="A159" t="s">
        <v>131</v>
      </c>
      <c r="B159" t="s">
        <v>132</v>
      </c>
      <c r="C159" t="s">
        <v>133</v>
      </c>
      <c r="D159" t="s">
        <v>134</v>
      </c>
      <c r="E159" t="s">
        <v>135</v>
      </c>
      <c r="F159" t="s">
        <v>66</v>
      </c>
      <c r="G159" t="s">
        <v>136</v>
      </c>
      <c r="H159" t="s">
        <v>137</v>
      </c>
      <c r="I159" t="s">
        <v>201</v>
      </c>
      <c r="J159" t="s">
        <v>148</v>
      </c>
      <c r="K159" t="s">
        <v>67</v>
      </c>
      <c r="L159" t="s">
        <v>202</v>
      </c>
      <c r="M159" t="s">
        <v>25</v>
      </c>
      <c r="N159" t="s">
        <v>141</v>
      </c>
      <c r="O159" t="s">
        <v>20</v>
      </c>
      <c r="P159">
        <v>52</v>
      </c>
      <c r="Q159" s="17">
        <v>52</v>
      </c>
      <c r="R159">
        <v>52</v>
      </c>
      <c r="S159">
        <v>0</v>
      </c>
      <c r="T159">
        <v>0</v>
      </c>
      <c r="U159">
        <v>52.21428571</v>
      </c>
      <c r="V159">
        <v>0.01921504</v>
      </c>
      <c r="W159">
        <v>52</v>
      </c>
      <c r="X159">
        <v>20.91653498</v>
      </c>
      <c r="Y159">
        <v>0.89285714</v>
      </c>
      <c r="Z159">
        <v>2.48607143</v>
      </c>
      <c r="AA159" s="2">
        <v>0</v>
      </c>
      <c r="AB159" s="2">
        <v>6</v>
      </c>
      <c r="AC159" s="2">
        <v>9</v>
      </c>
      <c r="AD159" s="2">
        <v>26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</row>
    <row r="160" spans="1:40">
      <c r="A160" t="s">
        <v>131</v>
      </c>
      <c r="B160" t="s">
        <v>186</v>
      </c>
      <c r="C160" t="s">
        <v>187</v>
      </c>
      <c r="D160" t="s">
        <v>188</v>
      </c>
      <c r="E160" t="s">
        <v>135</v>
      </c>
      <c r="F160" t="s">
        <v>64</v>
      </c>
      <c r="G160" t="s">
        <v>189</v>
      </c>
      <c r="H160" t="s">
        <v>190</v>
      </c>
      <c r="I160" t="s">
        <v>175</v>
      </c>
      <c r="J160" t="s">
        <v>139</v>
      </c>
      <c r="K160" t="s">
        <v>74</v>
      </c>
      <c r="L160" t="s">
        <v>176</v>
      </c>
      <c r="M160" t="s">
        <v>17</v>
      </c>
      <c r="N160" t="s">
        <v>141</v>
      </c>
      <c r="O160" t="s">
        <v>20</v>
      </c>
      <c r="P160">
        <v>52</v>
      </c>
      <c r="Q160" s="17">
        <v>52</v>
      </c>
      <c r="R160">
        <v>51</v>
      </c>
      <c r="S160">
        <v>0</v>
      </c>
      <c r="T160">
        <v>0</v>
      </c>
      <c r="U160">
        <v>23.1372549</v>
      </c>
      <c r="V160">
        <v>0.01175329</v>
      </c>
      <c r="W160">
        <v>51</v>
      </c>
      <c r="X160">
        <v>14.55212473</v>
      </c>
      <c r="Y160">
        <v>2.57142857</v>
      </c>
      <c r="Z160">
        <v>3.50464286</v>
      </c>
      <c r="AA160" s="2">
        <v>2</v>
      </c>
      <c r="AB160" s="2">
        <v>16</v>
      </c>
      <c r="AC160" s="2">
        <v>30</v>
      </c>
      <c r="AD160" s="2">
        <v>76</v>
      </c>
      <c r="AE160">
        <v>0</v>
      </c>
      <c r="AF160">
        <v>0</v>
      </c>
      <c r="AG160">
        <v>0</v>
      </c>
      <c r="AH160">
        <v>24</v>
      </c>
      <c r="AI160">
        <v>0</v>
      </c>
      <c r="AJ160">
        <v>0</v>
      </c>
      <c r="AK160">
        <v>0</v>
      </c>
      <c r="AL160">
        <v>0</v>
      </c>
      <c r="AM160">
        <v>49</v>
      </c>
      <c r="AN160">
        <v>0</v>
      </c>
    </row>
    <row r="161" spans="1:40">
      <c r="A161" t="s">
        <v>131</v>
      </c>
      <c r="B161" t="s">
        <v>269</v>
      </c>
      <c r="C161" t="s">
        <v>270</v>
      </c>
      <c r="D161" t="s">
        <v>271</v>
      </c>
      <c r="E161" t="s">
        <v>135</v>
      </c>
      <c r="F161" t="s">
        <v>60</v>
      </c>
      <c r="G161" t="s">
        <v>272</v>
      </c>
      <c r="H161" t="s">
        <v>273</v>
      </c>
      <c r="I161" t="s">
        <v>164</v>
      </c>
      <c r="J161" t="s">
        <v>148</v>
      </c>
      <c r="K161" t="s">
        <v>94</v>
      </c>
      <c r="L161" t="s">
        <v>165</v>
      </c>
      <c r="M161" t="s">
        <v>17</v>
      </c>
      <c r="N161" t="s">
        <v>141</v>
      </c>
      <c r="O161" t="s">
        <v>20</v>
      </c>
      <c r="P161">
        <v>52</v>
      </c>
      <c r="Q161" s="17">
        <v>52</v>
      </c>
      <c r="R161">
        <v>51</v>
      </c>
      <c r="S161">
        <v>0</v>
      </c>
      <c r="T161">
        <v>0</v>
      </c>
      <c r="U161">
        <v>11.98148148</v>
      </c>
      <c r="V161">
        <v>-0.01125874</v>
      </c>
      <c r="W161">
        <v>51</v>
      </c>
      <c r="X161">
        <v>26.81690141</v>
      </c>
      <c r="Y161">
        <v>2.57142857</v>
      </c>
      <c r="Z161">
        <v>1.90178571</v>
      </c>
      <c r="AA161" s="2">
        <v>2</v>
      </c>
      <c r="AB161" s="2">
        <v>25</v>
      </c>
      <c r="AC161" s="2">
        <v>51</v>
      </c>
      <c r="AD161" s="2">
        <v>72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31</v>
      </c>
      <c r="AN161">
        <v>0</v>
      </c>
    </row>
    <row r="162" spans="1:40">
      <c r="A162" t="s">
        <v>131</v>
      </c>
      <c r="B162" t="s">
        <v>232</v>
      </c>
      <c r="C162" t="s">
        <v>233</v>
      </c>
      <c r="D162" t="s">
        <v>234</v>
      </c>
      <c r="E162" t="s">
        <v>135</v>
      </c>
      <c r="F162" t="s">
        <v>23</v>
      </c>
      <c r="G162" t="s">
        <v>235</v>
      </c>
      <c r="H162" t="s">
        <v>236</v>
      </c>
      <c r="I162" t="s">
        <v>164</v>
      </c>
      <c r="J162" t="s">
        <v>148</v>
      </c>
      <c r="K162" t="s">
        <v>94</v>
      </c>
      <c r="L162" t="s">
        <v>165</v>
      </c>
      <c r="M162" t="s">
        <v>17</v>
      </c>
      <c r="N162" t="s">
        <v>141</v>
      </c>
      <c r="O162" t="s">
        <v>20</v>
      </c>
      <c r="P162">
        <v>51</v>
      </c>
      <c r="Q162" s="17">
        <v>51</v>
      </c>
      <c r="R162">
        <v>51</v>
      </c>
      <c r="S162">
        <v>0</v>
      </c>
      <c r="T162">
        <v>0</v>
      </c>
      <c r="U162">
        <v>79.7</v>
      </c>
      <c r="V162">
        <v>0.02451979</v>
      </c>
      <c r="W162">
        <v>51</v>
      </c>
      <c r="X162">
        <v>47.44186047</v>
      </c>
      <c r="Y162">
        <v>0.39285714</v>
      </c>
      <c r="Z162">
        <v>1.075</v>
      </c>
      <c r="AA162" s="2">
        <v>0</v>
      </c>
      <c r="AB162" s="2">
        <v>0</v>
      </c>
      <c r="AC162" s="2">
        <v>5</v>
      </c>
      <c r="AD162" s="2">
        <v>15</v>
      </c>
      <c r="AE162">
        <v>6</v>
      </c>
      <c r="AF162">
        <v>0.11764706</v>
      </c>
      <c r="AG162">
        <v>6</v>
      </c>
      <c r="AH162">
        <v>10</v>
      </c>
      <c r="AI162">
        <v>21.12</v>
      </c>
      <c r="AJ162">
        <v>0</v>
      </c>
      <c r="AK162">
        <v>0</v>
      </c>
      <c r="AL162">
        <v>0</v>
      </c>
      <c r="AM162">
        <v>0</v>
      </c>
      <c r="AN162">
        <v>0</v>
      </c>
    </row>
    <row r="163" spans="1:40">
      <c r="A163" t="s">
        <v>131</v>
      </c>
      <c r="B163" t="s">
        <v>166</v>
      </c>
      <c r="C163" t="s">
        <v>167</v>
      </c>
      <c r="D163" t="s">
        <v>168</v>
      </c>
      <c r="E163" t="s">
        <v>135</v>
      </c>
      <c r="F163" t="s">
        <v>65</v>
      </c>
      <c r="G163" t="s">
        <v>169</v>
      </c>
      <c r="H163" t="s">
        <v>170</v>
      </c>
      <c r="I163" t="s">
        <v>201</v>
      </c>
      <c r="J163" t="s">
        <v>148</v>
      </c>
      <c r="K163" t="s">
        <v>67</v>
      </c>
      <c r="L163" t="s">
        <v>202</v>
      </c>
      <c r="M163" t="s">
        <v>17</v>
      </c>
      <c r="N163" t="s">
        <v>141</v>
      </c>
      <c r="O163" t="s">
        <v>20</v>
      </c>
      <c r="P163">
        <v>51</v>
      </c>
      <c r="Q163" s="17">
        <v>51</v>
      </c>
      <c r="R163">
        <v>51</v>
      </c>
      <c r="S163">
        <v>0</v>
      </c>
      <c r="T163">
        <v>0</v>
      </c>
      <c r="U163">
        <v>23.54054054</v>
      </c>
      <c r="V163">
        <v>0.00910897</v>
      </c>
      <c r="W163">
        <v>51</v>
      </c>
      <c r="X163">
        <v>40.15748031</v>
      </c>
      <c r="Y163">
        <v>1.32142857</v>
      </c>
      <c r="Z163">
        <v>1.27</v>
      </c>
      <c r="AA163" s="2">
        <v>1</v>
      </c>
      <c r="AB163" s="2">
        <v>25</v>
      </c>
      <c r="AC163" s="2">
        <v>28</v>
      </c>
      <c r="AD163" s="2">
        <v>37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13</v>
      </c>
      <c r="AN163">
        <v>0</v>
      </c>
    </row>
    <row r="164" spans="1:40">
      <c r="A164" t="s">
        <v>131</v>
      </c>
      <c r="B164" t="s">
        <v>132</v>
      </c>
      <c r="C164" t="s">
        <v>133</v>
      </c>
      <c r="D164" t="s">
        <v>134</v>
      </c>
      <c r="E164" t="s">
        <v>135</v>
      </c>
      <c r="F164" t="s">
        <v>66</v>
      </c>
      <c r="G164" t="s">
        <v>136</v>
      </c>
      <c r="H164" t="s">
        <v>137</v>
      </c>
      <c r="I164" t="s">
        <v>217</v>
      </c>
      <c r="J164" t="s">
        <v>148</v>
      </c>
      <c r="K164" t="s">
        <v>84</v>
      </c>
      <c r="L164" t="s">
        <v>218</v>
      </c>
      <c r="M164" t="s">
        <v>25</v>
      </c>
      <c r="N164" t="s">
        <v>141</v>
      </c>
      <c r="O164" t="s">
        <v>20</v>
      </c>
      <c r="P164">
        <v>50</v>
      </c>
      <c r="Q164" s="17">
        <v>50</v>
      </c>
      <c r="R164">
        <v>48</v>
      </c>
      <c r="S164">
        <v>0</v>
      </c>
      <c r="T164">
        <v>0</v>
      </c>
      <c r="U164">
        <v>15.13888889</v>
      </c>
      <c r="V164">
        <v>-0.0030309</v>
      </c>
      <c r="W164">
        <v>48</v>
      </c>
      <c r="X164">
        <v>19.05842314</v>
      </c>
      <c r="Y164">
        <v>1.46428571</v>
      </c>
      <c r="Z164">
        <v>2.51857143</v>
      </c>
      <c r="AA164" s="2">
        <v>1</v>
      </c>
      <c r="AB164" s="2">
        <v>12</v>
      </c>
      <c r="AC164" s="2">
        <v>25</v>
      </c>
      <c r="AD164" s="2">
        <v>51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</row>
    <row r="165" spans="1:40">
      <c r="A165" t="s">
        <v>131</v>
      </c>
      <c r="B165" t="s">
        <v>269</v>
      </c>
      <c r="C165" t="s">
        <v>270</v>
      </c>
      <c r="D165" t="s">
        <v>271</v>
      </c>
      <c r="E165" t="s">
        <v>135</v>
      </c>
      <c r="F165" t="s">
        <v>60</v>
      </c>
      <c r="G165" t="s">
        <v>272</v>
      </c>
      <c r="H165" t="s">
        <v>273</v>
      </c>
      <c r="I165" t="s">
        <v>201</v>
      </c>
      <c r="J165" t="s">
        <v>148</v>
      </c>
      <c r="K165" t="s">
        <v>67</v>
      </c>
      <c r="L165" t="s">
        <v>202</v>
      </c>
      <c r="M165" t="s">
        <v>17</v>
      </c>
      <c r="N165" t="s">
        <v>141</v>
      </c>
      <c r="O165" t="s">
        <v>20</v>
      </c>
      <c r="P165">
        <v>50</v>
      </c>
      <c r="Q165" s="17">
        <v>50</v>
      </c>
      <c r="R165">
        <v>50</v>
      </c>
      <c r="S165">
        <v>0</v>
      </c>
      <c r="T165">
        <v>0</v>
      </c>
      <c r="U165">
        <v>10.86206897</v>
      </c>
      <c r="V165">
        <v>-0.00731658</v>
      </c>
      <c r="W165">
        <v>50</v>
      </c>
      <c r="X165">
        <v>45.41031463</v>
      </c>
      <c r="Y165">
        <v>1.10714286</v>
      </c>
      <c r="Z165">
        <v>1.10107143</v>
      </c>
      <c r="AA165" s="2">
        <v>3</v>
      </c>
      <c r="AB165" s="2">
        <v>9</v>
      </c>
      <c r="AC165" s="2">
        <v>16</v>
      </c>
      <c r="AD165" s="2">
        <v>31</v>
      </c>
      <c r="AE165">
        <v>0</v>
      </c>
      <c r="AF165">
        <v>0</v>
      </c>
      <c r="AG165">
        <v>0</v>
      </c>
      <c r="AH165">
        <v>0</v>
      </c>
      <c r="AI165">
        <v>0.2</v>
      </c>
      <c r="AJ165">
        <v>0</v>
      </c>
      <c r="AK165">
        <v>0</v>
      </c>
      <c r="AL165">
        <v>0</v>
      </c>
      <c r="AM165">
        <v>3</v>
      </c>
      <c r="AN165">
        <v>0</v>
      </c>
    </row>
    <row r="166" spans="1:40">
      <c r="A166" t="s">
        <v>131</v>
      </c>
      <c r="B166" t="s">
        <v>237</v>
      </c>
      <c r="C166" t="s">
        <v>238</v>
      </c>
      <c r="D166" t="s">
        <v>239</v>
      </c>
      <c r="E166" t="s">
        <v>135</v>
      </c>
      <c r="F166" t="s">
        <v>62</v>
      </c>
      <c r="G166" t="s">
        <v>240</v>
      </c>
      <c r="H166" t="s">
        <v>241</v>
      </c>
      <c r="I166" t="s">
        <v>215</v>
      </c>
      <c r="J166" t="s">
        <v>148</v>
      </c>
      <c r="K166" t="s">
        <v>76</v>
      </c>
      <c r="L166" t="s">
        <v>216</v>
      </c>
      <c r="M166" t="s">
        <v>17</v>
      </c>
      <c r="N166" t="s">
        <v>141</v>
      </c>
      <c r="O166" t="s">
        <v>20</v>
      </c>
      <c r="P166">
        <v>49</v>
      </c>
      <c r="Q166" s="17">
        <v>48</v>
      </c>
      <c r="R166">
        <v>48</v>
      </c>
      <c r="S166">
        <v>0.02040816</v>
      </c>
      <c r="T166">
        <v>1</v>
      </c>
      <c r="U166">
        <v>10.88888889</v>
      </c>
      <c r="V166">
        <v>-0.00678299</v>
      </c>
      <c r="W166">
        <v>48</v>
      </c>
      <c r="X166">
        <v>29.77403633</v>
      </c>
      <c r="Y166">
        <v>1.35714286</v>
      </c>
      <c r="Z166">
        <v>1.61214286</v>
      </c>
      <c r="AA166" s="2">
        <v>3</v>
      </c>
      <c r="AB166" s="2">
        <v>7</v>
      </c>
      <c r="AC166" s="2">
        <v>7</v>
      </c>
      <c r="AD166" s="2">
        <v>40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12</v>
      </c>
      <c r="AN166">
        <v>0</v>
      </c>
    </row>
    <row r="167" spans="1:40">
      <c r="A167" t="s">
        <v>131</v>
      </c>
      <c r="B167" t="s">
        <v>132</v>
      </c>
      <c r="C167" t="s">
        <v>133</v>
      </c>
      <c r="D167" t="s">
        <v>134</v>
      </c>
      <c r="E167" t="s">
        <v>135</v>
      </c>
      <c r="F167" t="s">
        <v>66</v>
      </c>
      <c r="G167" t="s">
        <v>136</v>
      </c>
      <c r="H167" t="s">
        <v>137</v>
      </c>
      <c r="I167" t="s">
        <v>203</v>
      </c>
      <c r="J167" t="s">
        <v>139</v>
      </c>
      <c r="K167" t="s">
        <v>88</v>
      </c>
      <c r="L167" t="s">
        <v>204</v>
      </c>
      <c r="M167" t="s">
        <v>25</v>
      </c>
      <c r="N167" t="s">
        <v>141</v>
      </c>
      <c r="O167" t="s">
        <v>20</v>
      </c>
      <c r="P167">
        <v>48</v>
      </c>
      <c r="Q167" s="17">
        <v>48</v>
      </c>
      <c r="R167">
        <v>47</v>
      </c>
      <c r="S167">
        <v>0</v>
      </c>
      <c r="T167">
        <v>0</v>
      </c>
      <c r="U167">
        <v>19</v>
      </c>
      <c r="V167">
        <v>0.00189319</v>
      </c>
      <c r="W167">
        <v>47</v>
      </c>
      <c r="X167">
        <v>21.30484054</v>
      </c>
      <c r="Y167">
        <v>1.35714286</v>
      </c>
      <c r="Z167">
        <v>2.20607143</v>
      </c>
      <c r="AA167" s="2">
        <v>2</v>
      </c>
      <c r="AB167" s="2">
        <v>11</v>
      </c>
      <c r="AC167" s="2">
        <v>14</v>
      </c>
      <c r="AD167" s="2">
        <v>43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</row>
    <row r="168" spans="1:40">
      <c r="A168" t="s">
        <v>131</v>
      </c>
      <c r="B168" t="s">
        <v>132</v>
      </c>
      <c r="C168" t="s">
        <v>133</v>
      </c>
      <c r="D168" t="s">
        <v>134</v>
      </c>
      <c r="E168" t="s">
        <v>135</v>
      </c>
      <c r="F168" t="s">
        <v>66</v>
      </c>
      <c r="G168" t="s">
        <v>136</v>
      </c>
      <c r="H168" t="s">
        <v>137</v>
      </c>
      <c r="I168" t="s">
        <v>152</v>
      </c>
      <c r="J168" t="s">
        <v>148</v>
      </c>
      <c r="K168" t="s">
        <v>79</v>
      </c>
      <c r="L168" t="s">
        <v>153</v>
      </c>
      <c r="M168" t="s">
        <v>25</v>
      </c>
      <c r="N168" t="s">
        <v>141</v>
      </c>
      <c r="O168" t="s">
        <v>20</v>
      </c>
      <c r="P168">
        <v>48</v>
      </c>
      <c r="Q168" s="17">
        <v>48</v>
      </c>
      <c r="R168">
        <v>43</v>
      </c>
      <c r="S168">
        <v>0</v>
      </c>
      <c r="T168">
        <v>0</v>
      </c>
      <c r="U168">
        <v>14.64705882</v>
      </c>
      <c r="V168">
        <v>-0.0035198</v>
      </c>
      <c r="W168">
        <v>43</v>
      </c>
      <c r="X168">
        <v>18.53448276</v>
      </c>
      <c r="Y168">
        <v>1.71428571</v>
      </c>
      <c r="Z168">
        <v>2.32</v>
      </c>
      <c r="AA168" s="2">
        <v>2</v>
      </c>
      <c r="AB168" s="2">
        <v>7</v>
      </c>
      <c r="AC168" s="2">
        <v>15</v>
      </c>
      <c r="AD168" s="2">
        <v>51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</row>
    <row r="169" spans="1:40">
      <c r="A169" t="s">
        <v>131</v>
      </c>
      <c r="B169" t="s">
        <v>166</v>
      </c>
      <c r="C169" t="s">
        <v>167</v>
      </c>
      <c r="D169" t="s">
        <v>168</v>
      </c>
      <c r="E169" t="s">
        <v>135</v>
      </c>
      <c r="F169" t="s">
        <v>65</v>
      </c>
      <c r="G169" t="s">
        <v>169</v>
      </c>
      <c r="H169" t="s">
        <v>170</v>
      </c>
      <c r="I169" t="s">
        <v>171</v>
      </c>
      <c r="J169" t="s">
        <v>148</v>
      </c>
      <c r="K169" t="s">
        <v>75</v>
      </c>
      <c r="L169" t="s">
        <v>172</v>
      </c>
      <c r="M169" t="s">
        <v>17</v>
      </c>
      <c r="N169" t="s">
        <v>141</v>
      </c>
      <c r="O169" t="s">
        <v>20</v>
      </c>
      <c r="P169">
        <v>48</v>
      </c>
      <c r="Q169" s="17">
        <v>48</v>
      </c>
      <c r="R169">
        <v>48</v>
      </c>
      <c r="S169">
        <v>0</v>
      </c>
      <c r="T169">
        <v>0</v>
      </c>
      <c r="U169">
        <v>91.5</v>
      </c>
      <c r="V169">
        <v>0.02332221</v>
      </c>
      <c r="W169">
        <v>48</v>
      </c>
      <c r="X169">
        <v>71.0359408</v>
      </c>
      <c r="Y169">
        <v>0.28571429</v>
      </c>
      <c r="Z169">
        <v>0.67571429</v>
      </c>
      <c r="AA169" s="2">
        <v>1</v>
      </c>
      <c r="AB169" s="2">
        <v>2</v>
      </c>
      <c r="AC169" s="2">
        <v>7</v>
      </c>
      <c r="AD169" s="2">
        <v>8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</row>
    <row r="170" spans="1:40">
      <c r="A170" t="s">
        <v>131</v>
      </c>
      <c r="B170" t="s">
        <v>269</v>
      </c>
      <c r="C170" t="s">
        <v>270</v>
      </c>
      <c r="D170" t="s">
        <v>271</v>
      </c>
      <c r="E170" t="s">
        <v>135</v>
      </c>
      <c r="F170" t="s">
        <v>60</v>
      </c>
      <c r="G170" t="s">
        <v>272</v>
      </c>
      <c r="H170" t="s">
        <v>273</v>
      </c>
      <c r="I170" t="s">
        <v>171</v>
      </c>
      <c r="J170" t="s">
        <v>148</v>
      </c>
      <c r="K170" t="s">
        <v>75</v>
      </c>
      <c r="L170" t="s">
        <v>172</v>
      </c>
      <c r="M170" t="s">
        <v>17</v>
      </c>
      <c r="N170" t="s">
        <v>141</v>
      </c>
      <c r="O170" t="s">
        <v>20</v>
      </c>
      <c r="P170">
        <v>47</v>
      </c>
      <c r="Q170" s="17">
        <v>47</v>
      </c>
      <c r="R170">
        <v>46</v>
      </c>
      <c r="S170">
        <v>0</v>
      </c>
      <c r="T170">
        <v>0</v>
      </c>
      <c r="U170">
        <v>8.90909091</v>
      </c>
      <c r="V170">
        <v>-0.00723755</v>
      </c>
      <c r="W170">
        <v>46</v>
      </c>
      <c r="X170">
        <v>75.58685446</v>
      </c>
      <c r="Y170">
        <v>0.78571429</v>
      </c>
      <c r="Z170">
        <v>0.60857143</v>
      </c>
      <c r="AA170" s="2">
        <v>2</v>
      </c>
      <c r="AB170" s="2">
        <v>7</v>
      </c>
      <c r="AC170" s="2">
        <v>20</v>
      </c>
      <c r="AD170" s="2">
        <v>22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</v>
      </c>
      <c r="AN170">
        <v>0</v>
      </c>
    </row>
    <row r="171" spans="1:40">
      <c r="A171" t="s">
        <v>131</v>
      </c>
      <c r="B171" t="s">
        <v>269</v>
      </c>
      <c r="C171" t="s">
        <v>270</v>
      </c>
      <c r="D171" t="s">
        <v>271</v>
      </c>
      <c r="E171" t="s">
        <v>135</v>
      </c>
      <c r="F171" t="s">
        <v>60</v>
      </c>
      <c r="G171" t="s">
        <v>272</v>
      </c>
      <c r="H171" t="s">
        <v>273</v>
      </c>
      <c r="I171" t="s">
        <v>199</v>
      </c>
      <c r="J171" t="s">
        <v>148</v>
      </c>
      <c r="K171" t="s">
        <v>78</v>
      </c>
      <c r="L171" t="s">
        <v>200</v>
      </c>
      <c r="M171" t="s">
        <v>17</v>
      </c>
      <c r="N171" t="s">
        <v>141</v>
      </c>
      <c r="O171" t="s">
        <v>20</v>
      </c>
      <c r="P171">
        <v>45</v>
      </c>
      <c r="Q171" s="17">
        <v>45</v>
      </c>
      <c r="R171">
        <v>45</v>
      </c>
      <c r="S171">
        <v>0</v>
      </c>
      <c r="T171">
        <v>0</v>
      </c>
      <c r="U171">
        <v>12.46666667</v>
      </c>
      <c r="V171">
        <v>-0.00567673</v>
      </c>
      <c r="W171">
        <v>45</v>
      </c>
      <c r="X171">
        <v>64.18746816</v>
      </c>
      <c r="Y171">
        <v>1.07142857</v>
      </c>
      <c r="Z171">
        <v>0.70107143</v>
      </c>
      <c r="AA171" s="2">
        <v>1</v>
      </c>
      <c r="AB171" s="2">
        <v>5</v>
      </c>
      <c r="AC171" s="2">
        <v>19</v>
      </c>
      <c r="AD171" s="2">
        <v>30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8</v>
      </c>
      <c r="AN171">
        <v>0</v>
      </c>
    </row>
    <row r="172" spans="1:40">
      <c r="A172" t="s">
        <v>131</v>
      </c>
      <c r="B172" t="s">
        <v>242</v>
      </c>
      <c r="C172" t="s">
        <v>243</v>
      </c>
      <c r="D172" t="s">
        <v>244</v>
      </c>
      <c r="E172" t="s">
        <v>135</v>
      </c>
      <c r="F172" t="s">
        <v>24</v>
      </c>
      <c r="G172" t="s">
        <v>245</v>
      </c>
      <c r="H172" t="s">
        <v>246</v>
      </c>
      <c r="I172" t="s">
        <v>147</v>
      </c>
      <c r="J172" t="s">
        <v>148</v>
      </c>
      <c r="K172" t="s">
        <v>58</v>
      </c>
      <c r="L172" t="s">
        <v>149</v>
      </c>
      <c r="M172" t="s">
        <v>25</v>
      </c>
      <c r="N172" t="s">
        <v>141</v>
      </c>
      <c r="O172" t="s">
        <v>20</v>
      </c>
      <c r="P172">
        <v>45</v>
      </c>
      <c r="Q172" s="17">
        <v>43</v>
      </c>
      <c r="R172">
        <v>43</v>
      </c>
      <c r="S172">
        <v>0.04444444</v>
      </c>
      <c r="T172">
        <v>2</v>
      </c>
      <c r="U172">
        <v>21.95652174</v>
      </c>
      <c r="V172">
        <v>0.00422735</v>
      </c>
      <c r="W172">
        <v>43</v>
      </c>
      <c r="X172">
        <v>32.2442421</v>
      </c>
      <c r="Y172">
        <v>1.14285714</v>
      </c>
      <c r="Z172">
        <v>1.33357143</v>
      </c>
      <c r="AA172" s="2">
        <v>0</v>
      </c>
      <c r="AB172" s="2">
        <v>1</v>
      </c>
      <c r="AC172" s="2">
        <v>7</v>
      </c>
      <c r="AD172" s="2">
        <v>35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</row>
    <row r="173" spans="1:40">
      <c r="A173" t="s">
        <v>131</v>
      </c>
      <c r="B173" t="s">
        <v>191</v>
      </c>
      <c r="C173" t="s">
        <v>192</v>
      </c>
      <c r="D173" t="s">
        <v>193</v>
      </c>
      <c r="E173" t="s">
        <v>135</v>
      </c>
      <c r="F173" t="s">
        <v>49</v>
      </c>
      <c r="G173" t="s">
        <v>194</v>
      </c>
      <c r="H173" t="s">
        <v>195</v>
      </c>
      <c r="I173" t="s">
        <v>150</v>
      </c>
      <c r="J173" t="s">
        <v>148</v>
      </c>
      <c r="K173" t="s">
        <v>83</v>
      </c>
      <c r="L173" t="s">
        <v>151</v>
      </c>
      <c r="M173" t="s">
        <v>25</v>
      </c>
      <c r="N173" t="s">
        <v>141</v>
      </c>
      <c r="O173" t="s">
        <v>20</v>
      </c>
      <c r="P173">
        <v>45</v>
      </c>
      <c r="Q173" s="17">
        <v>45</v>
      </c>
      <c r="R173">
        <v>44</v>
      </c>
      <c r="S173">
        <v>0</v>
      </c>
      <c r="T173">
        <v>0</v>
      </c>
      <c r="U173">
        <v>21.03846154</v>
      </c>
      <c r="V173">
        <v>0.00384107</v>
      </c>
      <c r="W173">
        <v>44</v>
      </c>
      <c r="X173">
        <v>20.00324728</v>
      </c>
      <c r="Y173">
        <v>1.92857143</v>
      </c>
      <c r="Z173">
        <v>2.19964286</v>
      </c>
      <c r="AA173" s="2">
        <v>2</v>
      </c>
      <c r="AB173" s="2">
        <v>11</v>
      </c>
      <c r="AC173" s="2">
        <v>19</v>
      </c>
      <c r="AD173" s="2">
        <v>55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28</v>
      </c>
      <c r="AM173">
        <v>0</v>
      </c>
      <c r="AN173">
        <v>0</v>
      </c>
    </row>
    <row r="174" spans="1:40">
      <c r="A174" t="s">
        <v>131</v>
      </c>
      <c r="B174" t="s">
        <v>191</v>
      </c>
      <c r="C174" t="s">
        <v>192</v>
      </c>
      <c r="D174" t="s">
        <v>193</v>
      </c>
      <c r="E174" t="s">
        <v>135</v>
      </c>
      <c r="F174" t="s">
        <v>49</v>
      </c>
      <c r="G174" t="s">
        <v>194</v>
      </c>
      <c r="H174" t="s">
        <v>195</v>
      </c>
      <c r="I174" t="s">
        <v>164</v>
      </c>
      <c r="J174" t="s">
        <v>148</v>
      </c>
      <c r="K174" t="s">
        <v>94</v>
      </c>
      <c r="L174" t="s">
        <v>165</v>
      </c>
      <c r="M174" t="s">
        <v>25</v>
      </c>
      <c r="N174" t="s">
        <v>141</v>
      </c>
      <c r="O174" t="s">
        <v>20</v>
      </c>
      <c r="P174">
        <v>45</v>
      </c>
      <c r="Q174" s="17">
        <v>45</v>
      </c>
      <c r="R174">
        <v>45</v>
      </c>
      <c r="S174">
        <v>0</v>
      </c>
      <c r="T174">
        <v>0</v>
      </c>
      <c r="U174">
        <v>19.92857143</v>
      </c>
      <c r="V174">
        <v>0.00291524</v>
      </c>
      <c r="W174">
        <v>45</v>
      </c>
      <c r="X174">
        <v>20.45786654</v>
      </c>
      <c r="Y174">
        <v>1.82142857</v>
      </c>
      <c r="Z174">
        <v>2.19964286</v>
      </c>
      <c r="AA174" s="2">
        <v>0</v>
      </c>
      <c r="AB174" s="2">
        <v>8</v>
      </c>
      <c r="AC174" s="2">
        <v>16</v>
      </c>
      <c r="AD174" s="2">
        <v>54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</row>
    <row r="175" spans="1:40">
      <c r="A175" t="s">
        <v>131</v>
      </c>
      <c r="B175" t="s">
        <v>166</v>
      </c>
      <c r="C175" t="s">
        <v>167</v>
      </c>
      <c r="D175" t="s">
        <v>168</v>
      </c>
      <c r="E175" t="s">
        <v>135</v>
      </c>
      <c r="F175" t="s">
        <v>65</v>
      </c>
      <c r="G175" t="s">
        <v>169</v>
      </c>
      <c r="H175" t="s">
        <v>170</v>
      </c>
      <c r="I175" t="s">
        <v>173</v>
      </c>
      <c r="J175" t="s">
        <v>148</v>
      </c>
      <c r="K175" t="s">
        <v>98</v>
      </c>
      <c r="L175" t="s">
        <v>174</v>
      </c>
      <c r="M175" t="s">
        <v>17</v>
      </c>
      <c r="N175" t="s">
        <v>141</v>
      </c>
      <c r="O175" t="s">
        <v>20</v>
      </c>
      <c r="P175">
        <v>45</v>
      </c>
      <c r="Q175" s="17">
        <v>45</v>
      </c>
      <c r="R175">
        <v>45</v>
      </c>
      <c r="S175">
        <v>0</v>
      </c>
      <c r="T175">
        <v>0</v>
      </c>
      <c r="U175">
        <v>19.33333333</v>
      </c>
      <c r="V175">
        <v>0.00387747</v>
      </c>
      <c r="W175">
        <v>45</v>
      </c>
      <c r="X175">
        <v>18.98448094</v>
      </c>
      <c r="Y175">
        <v>1.71428571</v>
      </c>
      <c r="Z175">
        <v>2.37035714</v>
      </c>
      <c r="AA175" s="2">
        <v>0</v>
      </c>
      <c r="AB175" s="2">
        <v>3</v>
      </c>
      <c r="AC175" s="2">
        <v>36</v>
      </c>
      <c r="AD175" s="2">
        <v>48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133</v>
      </c>
      <c r="AN175">
        <v>0</v>
      </c>
    </row>
    <row r="176" spans="1:40">
      <c r="A176" t="s">
        <v>131</v>
      </c>
      <c r="B176" t="s">
        <v>132</v>
      </c>
      <c r="C176" t="s">
        <v>133</v>
      </c>
      <c r="D176" t="s">
        <v>134</v>
      </c>
      <c r="E176" t="s">
        <v>135</v>
      </c>
      <c r="F176" t="s">
        <v>66</v>
      </c>
      <c r="G176" t="s">
        <v>136</v>
      </c>
      <c r="H176" t="s">
        <v>137</v>
      </c>
      <c r="I176" t="s">
        <v>294</v>
      </c>
      <c r="J176" t="s">
        <v>148</v>
      </c>
      <c r="K176" t="s">
        <v>99</v>
      </c>
      <c r="L176" t="s">
        <v>295</v>
      </c>
      <c r="M176" t="s">
        <v>25</v>
      </c>
      <c r="N176" t="s">
        <v>141</v>
      </c>
      <c r="O176" t="s">
        <v>20</v>
      </c>
      <c r="P176">
        <v>44</v>
      </c>
      <c r="Q176" s="17">
        <v>44</v>
      </c>
      <c r="R176">
        <v>43</v>
      </c>
      <c r="S176">
        <v>0</v>
      </c>
      <c r="T176">
        <v>0</v>
      </c>
      <c r="U176">
        <v>112.625</v>
      </c>
      <c r="V176">
        <v>0.02996034</v>
      </c>
      <c r="W176">
        <v>43</v>
      </c>
      <c r="X176">
        <v>22.42085661</v>
      </c>
      <c r="Y176">
        <v>0.46428571</v>
      </c>
      <c r="Z176">
        <v>1.91785714</v>
      </c>
      <c r="AA176" s="2">
        <v>0</v>
      </c>
      <c r="AB176" s="2">
        <v>4</v>
      </c>
      <c r="AC176" s="2">
        <v>4</v>
      </c>
      <c r="AD176" s="2">
        <v>15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</row>
    <row r="177" spans="1:40">
      <c r="A177" t="s">
        <v>131</v>
      </c>
      <c r="B177" t="s">
        <v>232</v>
      </c>
      <c r="C177" t="s">
        <v>233</v>
      </c>
      <c r="D177" t="s">
        <v>234</v>
      </c>
      <c r="E177" t="s">
        <v>135</v>
      </c>
      <c r="F177" t="s">
        <v>23</v>
      </c>
      <c r="G177" t="s">
        <v>235</v>
      </c>
      <c r="H177" t="s">
        <v>236</v>
      </c>
      <c r="I177" t="s">
        <v>217</v>
      </c>
      <c r="J177" t="s">
        <v>148</v>
      </c>
      <c r="K177" t="s">
        <v>84</v>
      </c>
      <c r="L177" t="s">
        <v>218</v>
      </c>
      <c r="M177" t="s">
        <v>17</v>
      </c>
      <c r="N177" t="s">
        <v>141</v>
      </c>
      <c r="O177" t="s">
        <v>20</v>
      </c>
      <c r="P177">
        <v>44</v>
      </c>
      <c r="Q177" s="17">
        <v>44</v>
      </c>
      <c r="R177">
        <v>44</v>
      </c>
      <c r="S177">
        <v>0</v>
      </c>
      <c r="T177">
        <v>0</v>
      </c>
      <c r="U177">
        <v>15.12121212</v>
      </c>
      <c r="V177">
        <v>-0.00560915</v>
      </c>
      <c r="W177">
        <v>44</v>
      </c>
      <c r="X177">
        <v>10.19361244</v>
      </c>
      <c r="Y177">
        <v>3.21428571</v>
      </c>
      <c r="Z177">
        <v>4.31642857</v>
      </c>
      <c r="AA177" s="2">
        <v>2</v>
      </c>
      <c r="AB177" s="2">
        <v>14</v>
      </c>
      <c r="AC177" s="2">
        <v>41</v>
      </c>
      <c r="AD177" s="2">
        <v>93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105</v>
      </c>
      <c r="AN177">
        <v>0</v>
      </c>
    </row>
    <row r="178" spans="1:40">
      <c r="A178" t="s">
        <v>131</v>
      </c>
      <c r="B178" t="s">
        <v>237</v>
      </c>
      <c r="C178" t="s">
        <v>238</v>
      </c>
      <c r="D178" t="s">
        <v>239</v>
      </c>
      <c r="E178" t="s">
        <v>135</v>
      </c>
      <c r="F178" t="s">
        <v>62</v>
      </c>
      <c r="G178" t="s">
        <v>240</v>
      </c>
      <c r="H178" t="s">
        <v>241</v>
      </c>
      <c r="I178" t="s">
        <v>152</v>
      </c>
      <c r="J178" t="s">
        <v>148</v>
      </c>
      <c r="K178" t="s">
        <v>79</v>
      </c>
      <c r="L178" t="s">
        <v>153</v>
      </c>
      <c r="M178" t="s">
        <v>17</v>
      </c>
      <c r="N178" t="s">
        <v>141</v>
      </c>
      <c r="O178" t="s">
        <v>20</v>
      </c>
      <c r="P178">
        <v>44</v>
      </c>
      <c r="Q178" s="17">
        <v>43</v>
      </c>
      <c r="R178">
        <v>43</v>
      </c>
      <c r="S178">
        <v>0.02272727</v>
      </c>
      <c r="T178">
        <v>1</v>
      </c>
      <c r="U178">
        <v>19.64705882</v>
      </c>
      <c r="V178">
        <v>0.00633734</v>
      </c>
      <c r="W178">
        <v>43</v>
      </c>
      <c r="X178">
        <v>16.04905359</v>
      </c>
      <c r="Y178">
        <v>3.42857143</v>
      </c>
      <c r="Z178">
        <v>2.67928571</v>
      </c>
      <c r="AA178" s="2">
        <v>4</v>
      </c>
      <c r="AB178" s="2">
        <v>15</v>
      </c>
      <c r="AC178" s="2">
        <v>39</v>
      </c>
      <c r="AD178" s="2">
        <v>100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64</v>
      </c>
      <c r="AN178">
        <v>0</v>
      </c>
    </row>
    <row r="179" spans="1:40">
      <c r="A179" t="s">
        <v>131</v>
      </c>
      <c r="B179" t="s">
        <v>191</v>
      </c>
      <c r="C179" t="s">
        <v>192</v>
      </c>
      <c r="D179" t="s">
        <v>193</v>
      </c>
      <c r="E179" t="s">
        <v>135</v>
      </c>
      <c r="F179" t="s">
        <v>49</v>
      </c>
      <c r="G179" t="s">
        <v>194</v>
      </c>
      <c r="H179" t="s">
        <v>195</v>
      </c>
      <c r="I179" t="s">
        <v>257</v>
      </c>
      <c r="J179" t="s">
        <v>148</v>
      </c>
      <c r="K179" t="s">
        <v>86</v>
      </c>
      <c r="L179" t="s">
        <v>258</v>
      </c>
      <c r="M179" t="s">
        <v>25</v>
      </c>
      <c r="N179" t="s">
        <v>141</v>
      </c>
      <c r="O179" t="s">
        <v>20</v>
      </c>
      <c r="P179">
        <v>43</v>
      </c>
      <c r="Q179" s="17">
        <v>43</v>
      </c>
      <c r="R179">
        <v>43</v>
      </c>
      <c r="S179">
        <v>0</v>
      </c>
      <c r="T179">
        <v>0</v>
      </c>
      <c r="U179">
        <v>25.95454545</v>
      </c>
      <c r="V179">
        <v>0.00750012</v>
      </c>
      <c r="W179">
        <v>43</v>
      </c>
      <c r="X179">
        <v>22.40416822</v>
      </c>
      <c r="Y179">
        <v>1.75</v>
      </c>
      <c r="Z179">
        <v>1.91928571</v>
      </c>
      <c r="AA179" s="2">
        <v>2</v>
      </c>
      <c r="AB179" s="2">
        <v>8</v>
      </c>
      <c r="AC179" s="2">
        <v>15</v>
      </c>
      <c r="AD179" s="2">
        <v>50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</row>
    <row r="180" spans="1:40">
      <c r="A180" t="s">
        <v>131</v>
      </c>
      <c r="B180" t="s">
        <v>166</v>
      </c>
      <c r="C180" t="s">
        <v>167</v>
      </c>
      <c r="D180" t="s">
        <v>168</v>
      </c>
      <c r="E180" t="s">
        <v>135</v>
      </c>
      <c r="F180" t="s">
        <v>65</v>
      </c>
      <c r="G180" t="s">
        <v>169</v>
      </c>
      <c r="H180" t="s">
        <v>170</v>
      </c>
      <c r="I180" t="s">
        <v>177</v>
      </c>
      <c r="J180" t="s">
        <v>148</v>
      </c>
      <c r="K180" t="s">
        <v>69</v>
      </c>
      <c r="L180" t="s">
        <v>178</v>
      </c>
      <c r="M180" t="s">
        <v>17</v>
      </c>
      <c r="N180" t="s">
        <v>141</v>
      </c>
      <c r="O180" t="s">
        <v>20</v>
      </c>
      <c r="P180">
        <v>43</v>
      </c>
      <c r="Q180" s="17">
        <v>43</v>
      </c>
      <c r="R180">
        <v>43</v>
      </c>
      <c r="S180">
        <v>0</v>
      </c>
      <c r="T180">
        <v>0</v>
      </c>
      <c r="U180">
        <v>58.94444444</v>
      </c>
      <c r="V180">
        <v>0.02946916</v>
      </c>
      <c r="W180">
        <v>43</v>
      </c>
      <c r="X180">
        <v>31.75105485</v>
      </c>
      <c r="Y180">
        <v>0.64285714</v>
      </c>
      <c r="Z180">
        <v>1.35428571</v>
      </c>
      <c r="AA180" s="2">
        <v>0</v>
      </c>
      <c r="AB180" s="2">
        <v>7</v>
      </c>
      <c r="AC180" s="2">
        <v>14</v>
      </c>
      <c r="AD180" s="2">
        <v>18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15</v>
      </c>
      <c r="AN180">
        <v>0</v>
      </c>
    </row>
    <row r="181" spans="1:40">
      <c r="A181" t="s">
        <v>131</v>
      </c>
      <c r="B181" t="s">
        <v>142</v>
      </c>
      <c r="C181" t="s">
        <v>143</v>
      </c>
      <c r="D181" t="s">
        <v>144</v>
      </c>
      <c r="E181" t="s">
        <v>135</v>
      </c>
      <c r="F181" t="s">
        <v>19</v>
      </c>
      <c r="G181" t="s">
        <v>145</v>
      </c>
      <c r="H181" t="s">
        <v>146</v>
      </c>
      <c r="I181" t="s">
        <v>296</v>
      </c>
      <c r="J181" t="s">
        <v>280</v>
      </c>
      <c r="K181" t="s">
        <v>33</v>
      </c>
      <c r="L181" t="s">
        <v>297</v>
      </c>
      <c r="M181" t="s">
        <v>17</v>
      </c>
      <c r="N181" t="s">
        <v>141</v>
      </c>
      <c r="O181" t="s">
        <v>20</v>
      </c>
      <c r="P181">
        <v>42</v>
      </c>
      <c r="Q181" s="17">
        <v>41</v>
      </c>
      <c r="R181">
        <v>41</v>
      </c>
      <c r="S181">
        <v>0.02380952</v>
      </c>
      <c r="T181">
        <v>1</v>
      </c>
      <c r="U181">
        <v>4.40625</v>
      </c>
      <c r="V181">
        <v>-0.08139231</v>
      </c>
      <c r="W181">
        <v>41</v>
      </c>
      <c r="X181">
        <v>5.73369294</v>
      </c>
      <c r="Y181">
        <v>7.17857143</v>
      </c>
      <c r="Z181">
        <v>7.15071429</v>
      </c>
      <c r="AA181" s="2">
        <v>5</v>
      </c>
      <c r="AB181" s="2">
        <v>65</v>
      </c>
      <c r="AC181" s="2">
        <v>109</v>
      </c>
      <c r="AD181" s="2">
        <v>208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45</v>
      </c>
      <c r="AM181">
        <v>0</v>
      </c>
      <c r="AN181">
        <v>0</v>
      </c>
    </row>
    <row r="182" spans="1:40">
      <c r="A182" t="s">
        <v>131</v>
      </c>
      <c r="B182" t="s">
        <v>205</v>
      </c>
      <c r="C182" t="s">
        <v>206</v>
      </c>
      <c r="D182" t="s">
        <v>207</v>
      </c>
      <c r="E182" t="s">
        <v>135</v>
      </c>
      <c r="F182" t="s">
        <v>61</v>
      </c>
      <c r="G182" t="s">
        <v>208</v>
      </c>
      <c r="H182" t="s">
        <v>209</v>
      </c>
      <c r="I182" t="s">
        <v>175</v>
      </c>
      <c r="J182" t="s">
        <v>139</v>
      </c>
      <c r="K182" t="s">
        <v>74</v>
      </c>
      <c r="L182" t="s">
        <v>176</v>
      </c>
      <c r="M182" t="s">
        <v>17</v>
      </c>
      <c r="N182" t="s">
        <v>141</v>
      </c>
      <c r="O182" t="s">
        <v>20</v>
      </c>
      <c r="P182">
        <v>41</v>
      </c>
      <c r="Q182" s="17">
        <v>41</v>
      </c>
      <c r="R182">
        <v>40</v>
      </c>
      <c r="S182">
        <v>0</v>
      </c>
      <c r="T182">
        <v>0</v>
      </c>
      <c r="U182">
        <v>22.48275862</v>
      </c>
      <c r="V182">
        <v>0.00593132</v>
      </c>
      <c r="W182">
        <v>40</v>
      </c>
      <c r="X182">
        <v>19.99285969</v>
      </c>
      <c r="Y182">
        <v>1.28571429</v>
      </c>
      <c r="Z182">
        <v>2.00071429</v>
      </c>
      <c r="AA182" s="2">
        <v>2</v>
      </c>
      <c r="AB182" s="2">
        <v>8</v>
      </c>
      <c r="AC182" s="2">
        <v>20</v>
      </c>
      <c r="AD182" s="2">
        <v>39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21</v>
      </c>
      <c r="AN182">
        <v>0</v>
      </c>
    </row>
    <row r="183" spans="1:40">
      <c r="A183" t="s">
        <v>131</v>
      </c>
      <c r="B183" t="s">
        <v>298</v>
      </c>
      <c r="C183" t="s">
        <v>299</v>
      </c>
      <c r="D183" t="s">
        <v>300</v>
      </c>
      <c r="E183" t="s">
        <v>135</v>
      </c>
      <c r="F183" t="s">
        <v>77</v>
      </c>
      <c r="G183" t="s">
        <v>301</v>
      </c>
      <c r="H183" t="s">
        <v>302</v>
      </c>
      <c r="I183" t="s">
        <v>138</v>
      </c>
      <c r="J183" t="s">
        <v>139</v>
      </c>
      <c r="K183" t="s">
        <v>97</v>
      </c>
      <c r="L183" t="s">
        <v>140</v>
      </c>
      <c r="M183" t="s">
        <v>25</v>
      </c>
      <c r="N183" t="s">
        <v>141</v>
      </c>
      <c r="O183" t="s">
        <v>20</v>
      </c>
      <c r="P183">
        <v>40</v>
      </c>
      <c r="Q183" s="17">
        <v>40</v>
      </c>
      <c r="R183">
        <v>38</v>
      </c>
      <c r="S183">
        <v>0</v>
      </c>
      <c r="T183">
        <v>0</v>
      </c>
      <c r="U183">
        <v>17.06666667</v>
      </c>
      <c r="V183">
        <v>-0.00025157</v>
      </c>
      <c r="W183">
        <v>38</v>
      </c>
      <c r="X183">
        <v>19.13324942</v>
      </c>
      <c r="Y183">
        <v>1.67857143</v>
      </c>
      <c r="Z183">
        <v>1.98607143</v>
      </c>
      <c r="AA183" s="2">
        <v>2</v>
      </c>
      <c r="AB183" s="2">
        <v>12</v>
      </c>
      <c r="AC183" s="2">
        <v>21</v>
      </c>
      <c r="AD183" s="2">
        <v>50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31</v>
      </c>
      <c r="AN183">
        <v>0</v>
      </c>
    </row>
    <row r="184" spans="1:40">
      <c r="A184" t="s">
        <v>131</v>
      </c>
      <c r="B184" t="s">
        <v>232</v>
      </c>
      <c r="C184" t="s">
        <v>233</v>
      </c>
      <c r="D184" t="s">
        <v>234</v>
      </c>
      <c r="E184" t="s">
        <v>135</v>
      </c>
      <c r="F184" t="s">
        <v>23</v>
      </c>
      <c r="G184" t="s">
        <v>235</v>
      </c>
      <c r="H184" t="s">
        <v>236</v>
      </c>
      <c r="I184" t="s">
        <v>184</v>
      </c>
      <c r="J184" t="s">
        <v>139</v>
      </c>
      <c r="K184" t="s">
        <v>80</v>
      </c>
      <c r="L184" t="s">
        <v>185</v>
      </c>
      <c r="M184" t="s">
        <v>17</v>
      </c>
      <c r="N184" t="s">
        <v>141</v>
      </c>
      <c r="O184" t="s">
        <v>20</v>
      </c>
      <c r="P184">
        <v>40</v>
      </c>
      <c r="Q184" s="17">
        <v>40</v>
      </c>
      <c r="R184">
        <v>40</v>
      </c>
      <c r="S184">
        <v>0</v>
      </c>
      <c r="T184">
        <v>0</v>
      </c>
      <c r="U184">
        <v>24.775</v>
      </c>
      <c r="V184">
        <v>0.01179066</v>
      </c>
      <c r="W184">
        <v>40</v>
      </c>
      <c r="X184">
        <v>11.12214499</v>
      </c>
      <c r="Y184">
        <v>1.89285714</v>
      </c>
      <c r="Z184">
        <v>3.59642857</v>
      </c>
      <c r="AA184" s="2">
        <v>1</v>
      </c>
      <c r="AB184" s="2">
        <v>11</v>
      </c>
      <c r="AC184" s="2">
        <v>24</v>
      </c>
      <c r="AD184" s="2">
        <v>60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90</v>
      </c>
      <c r="AN184">
        <v>0</v>
      </c>
    </row>
    <row r="185" spans="1:40">
      <c r="A185" t="s">
        <v>131</v>
      </c>
      <c r="B185" t="s">
        <v>232</v>
      </c>
      <c r="C185" t="s">
        <v>233</v>
      </c>
      <c r="D185" t="s">
        <v>234</v>
      </c>
      <c r="E185" t="s">
        <v>135</v>
      </c>
      <c r="F185" t="s">
        <v>23</v>
      </c>
      <c r="G185" t="s">
        <v>235</v>
      </c>
      <c r="H185" t="s">
        <v>236</v>
      </c>
      <c r="I185" t="s">
        <v>152</v>
      </c>
      <c r="J185" t="s">
        <v>148</v>
      </c>
      <c r="K185" t="s">
        <v>79</v>
      </c>
      <c r="L185" t="s">
        <v>153</v>
      </c>
      <c r="M185" t="s">
        <v>17</v>
      </c>
      <c r="N185" t="s">
        <v>141</v>
      </c>
      <c r="O185" t="s">
        <v>20</v>
      </c>
      <c r="P185">
        <v>40</v>
      </c>
      <c r="Q185" s="17">
        <v>40</v>
      </c>
      <c r="R185">
        <v>40</v>
      </c>
      <c r="S185">
        <v>0</v>
      </c>
      <c r="T185">
        <v>0</v>
      </c>
      <c r="U185">
        <v>22.97142857</v>
      </c>
      <c r="V185">
        <v>0.00783269</v>
      </c>
      <c r="W185">
        <v>40</v>
      </c>
      <c r="X185">
        <v>47.88371099</v>
      </c>
      <c r="Y185">
        <v>1.25</v>
      </c>
      <c r="Z185">
        <v>0.83535714</v>
      </c>
      <c r="AA185" s="2">
        <v>2</v>
      </c>
      <c r="AB185" s="2">
        <v>7</v>
      </c>
      <c r="AC185" s="2">
        <v>31</v>
      </c>
      <c r="AD185" s="2">
        <v>35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10</v>
      </c>
      <c r="AN185">
        <v>0</v>
      </c>
    </row>
    <row r="186" spans="1:40">
      <c r="A186" t="s">
        <v>131</v>
      </c>
      <c r="B186" t="s">
        <v>232</v>
      </c>
      <c r="C186" t="s">
        <v>233</v>
      </c>
      <c r="D186" t="s">
        <v>234</v>
      </c>
      <c r="E186" t="s">
        <v>135</v>
      </c>
      <c r="F186" t="s">
        <v>23</v>
      </c>
      <c r="G186" t="s">
        <v>235</v>
      </c>
      <c r="H186" t="s">
        <v>236</v>
      </c>
      <c r="I186" t="s">
        <v>147</v>
      </c>
      <c r="J186" t="s">
        <v>148</v>
      </c>
      <c r="K186" t="s">
        <v>58</v>
      </c>
      <c r="L186" t="s">
        <v>149</v>
      </c>
      <c r="M186" t="s">
        <v>17</v>
      </c>
      <c r="N186" t="s">
        <v>141</v>
      </c>
      <c r="O186" t="s">
        <v>20</v>
      </c>
      <c r="P186">
        <v>40</v>
      </c>
      <c r="Q186" s="17">
        <v>40</v>
      </c>
      <c r="R186">
        <v>40</v>
      </c>
      <c r="S186">
        <v>0</v>
      </c>
      <c r="T186">
        <v>0</v>
      </c>
      <c r="U186">
        <v>91.09090909</v>
      </c>
      <c r="V186">
        <v>0.03189505</v>
      </c>
      <c r="W186">
        <v>40</v>
      </c>
      <c r="X186">
        <v>35.18693057</v>
      </c>
      <c r="Y186">
        <v>0.57142857</v>
      </c>
      <c r="Z186">
        <v>1.13678571</v>
      </c>
      <c r="AA186" s="2">
        <v>1</v>
      </c>
      <c r="AB186" s="2">
        <v>5</v>
      </c>
      <c r="AC186" s="2">
        <v>6</v>
      </c>
      <c r="AD186" s="2">
        <v>21</v>
      </c>
      <c r="AE186">
        <v>0</v>
      </c>
      <c r="AF186">
        <v>0</v>
      </c>
      <c r="AG186">
        <v>0</v>
      </c>
      <c r="AH186">
        <v>0</v>
      </c>
      <c r="AI186">
        <v>5.24</v>
      </c>
      <c r="AJ186">
        <v>0</v>
      </c>
      <c r="AK186">
        <v>0</v>
      </c>
      <c r="AL186">
        <v>0</v>
      </c>
      <c r="AM186">
        <v>5</v>
      </c>
      <c r="AN186">
        <v>0</v>
      </c>
    </row>
    <row r="187" spans="1:40">
      <c r="A187" t="s">
        <v>131</v>
      </c>
      <c r="B187" t="s">
        <v>232</v>
      </c>
      <c r="C187" t="s">
        <v>233</v>
      </c>
      <c r="D187" t="s">
        <v>234</v>
      </c>
      <c r="E187" t="s">
        <v>135</v>
      </c>
      <c r="F187" t="s">
        <v>23</v>
      </c>
      <c r="G187" t="s">
        <v>235</v>
      </c>
      <c r="H187" t="s">
        <v>236</v>
      </c>
      <c r="I187" t="s">
        <v>138</v>
      </c>
      <c r="J187" t="s">
        <v>139</v>
      </c>
      <c r="K187" t="s">
        <v>97</v>
      </c>
      <c r="L187" t="s">
        <v>140</v>
      </c>
      <c r="M187" t="s">
        <v>17</v>
      </c>
      <c r="N187" t="s">
        <v>141</v>
      </c>
      <c r="O187" t="s">
        <v>20</v>
      </c>
      <c r="P187">
        <v>40</v>
      </c>
      <c r="Q187" s="17">
        <v>40</v>
      </c>
      <c r="R187">
        <v>39</v>
      </c>
      <c r="S187">
        <v>0</v>
      </c>
      <c r="T187">
        <v>0</v>
      </c>
      <c r="U187">
        <v>33.14285714</v>
      </c>
      <c r="V187">
        <v>0.02183081</v>
      </c>
      <c r="W187">
        <v>39</v>
      </c>
      <c r="X187">
        <v>17.12941176</v>
      </c>
      <c r="Y187">
        <v>1.5</v>
      </c>
      <c r="Z187">
        <v>2.27678571</v>
      </c>
      <c r="AA187" s="2">
        <v>2</v>
      </c>
      <c r="AB187" s="2">
        <v>9</v>
      </c>
      <c r="AC187" s="2">
        <v>18</v>
      </c>
      <c r="AD187" s="2">
        <v>42</v>
      </c>
      <c r="AE187">
        <v>0</v>
      </c>
      <c r="AF187">
        <v>0</v>
      </c>
      <c r="AG187">
        <v>0</v>
      </c>
      <c r="AH187">
        <v>40</v>
      </c>
      <c r="AI187">
        <v>0</v>
      </c>
      <c r="AJ187">
        <v>0</v>
      </c>
      <c r="AK187">
        <v>0</v>
      </c>
      <c r="AL187">
        <v>0</v>
      </c>
      <c r="AM187">
        <v>35</v>
      </c>
      <c r="AN187">
        <v>0</v>
      </c>
    </row>
    <row r="188" spans="1:40">
      <c r="A188" t="s">
        <v>131</v>
      </c>
      <c r="B188" t="s">
        <v>179</v>
      </c>
      <c r="C188" t="s">
        <v>180</v>
      </c>
      <c r="D188" t="s">
        <v>181</v>
      </c>
      <c r="E188" t="s">
        <v>135</v>
      </c>
      <c r="F188" t="s">
        <v>21</v>
      </c>
      <c r="G188" t="s">
        <v>182</v>
      </c>
      <c r="H188" t="s">
        <v>183</v>
      </c>
      <c r="I188" t="s">
        <v>201</v>
      </c>
      <c r="J188" t="s">
        <v>148</v>
      </c>
      <c r="K188" t="s">
        <v>67</v>
      </c>
      <c r="L188" t="s">
        <v>202</v>
      </c>
      <c r="M188" t="s">
        <v>17</v>
      </c>
      <c r="N188" t="s">
        <v>141</v>
      </c>
      <c r="O188" t="s">
        <v>20</v>
      </c>
      <c r="P188">
        <v>40</v>
      </c>
      <c r="Q188" s="17">
        <v>40</v>
      </c>
      <c r="R188">
        <v>40</v>
      </c>
      <c r="S188">
        <v>0</v>
      </c>
      <c r="T188">
        <v>0</v>
      </c>
      <c r="U188">
        <v>8.24590164</v>
      </c>
      <c r="V188">
        <v>-0.02169087</v>
      </c>
      <c r="W188">
        <v>40</v>
      </c>
      <c r="X188">
        <v>15.54044679</v>
      </c>
      <c r="Y188">
        <v>2.5</v>
      </c>
      <c r="Z188">
        <v>2.57392857</v>
      </c>
      <c r="AA188" s="2">
        <v>6</v>
      </c>
      <c r="AB188" s="2">
        <v>24</v>
      </c>
      <c r="AC188" s="2">
        <v>43</v>
      </c>
      <c r="AD188" s="2">
        <v>70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53</v>
      </c>
      <c r="AN188">
        <v>0</v>
      </c>
    </row>
    <row r="189" spans="1:40">
      <c r="A189" t="s">
        <v>131</v>
      </c>
      <c r="B189" t="s">
        <v>247</v>
      </c>
      <c r="C189" t="s">
        <v>248</v>
      </c>
      <c r="D189" t="s">
        <v>249</v>
      </c>
      <c r="E189" t="s">
        <v>135</v>
      </c>
      <c r="F189" t="s">
        <v>48</v>
      </c>
      <c r="G189" t="s">
        <v>250</v>
      </c>
      <c r="H189" t="s">
        <v>251</v>
      </c>
      <c r="I189" t="s">
        <v>196</v>
      </c>
      <c r="J189" t="s">
        <v>197</v>
      </c>
      <c r="K189" t="s">
        <v>96</v>
      </c>
      <c r="L189" t="s">
        <v>198</v>
      </c>
      <c r="M189" t="s">
        <v>25</v>
      </c>
      <c r="N189" t="s">
        <v>141</v>
      </c>
      <c r="P189">
        <v>40</v>
      </c>
      <c r="Q189" s="17">
        <v>40</v>
      </c>
      <c r="R189">
        <v>40</v>
      </c>
      <c r="S189">
        <v>0</v>
      </c>
      <c r="T189">
        <v>0</v>
      </c>
      <c r="U189">
        <v>-99</v>
      </c>
      <c r="W189">
        <v>40</v>
      </c>
      <c r="X189">
        <v>-99</v>
      </c>
      <c r="Y189">
        <v>0</v>
      </c>
      <c r="AA189" s="2">
        <v>0</v>
      </c>
      <c r="AB189" s="2">
        <v>0</v>
      </c>
      <c r="AC189" s="2">
        <v>0</v>
      </c>
      <c r="AD189" s="2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126</v>
      </c>
      <c r="AN189">
        <v>0</v>
      </c>
    </row>
    <row r="190" spans="1:40">
      <c r="A190" t="s">
        <v>131</v>
      </c>
      <c r="B190" t="s">
        <v>132</v>
      </c>
      <c r="C190" t="s">
        <v>133</v>
      </c>
      <c r="D190" t="s">
        <v>134</v>
      </c>
      <c r="E190" t="s">
        <v>135</v>
      </c>
      <c r="F190" t="s">
        <v>66</v>
      </c>
      <c r="G190" t="s">
        <v>136</v>
      </c>
      <c r="H190" t="s">
        <v>137</v>
      </c>
      <c r="I190" t="s">
        <v>257</v>
      </c>
      <c r="J190" t="s">
        <v>148</v>
      </c>
      <c r="K190" t="s">
        <v>86</v>
      </c>
      <c r="L190" t="s">
        <v>258</v>
      </c>
      <c r="M190" t="s">
        <v>25</v>
      </c>
      <c r="N190" t="s">
        <v>141</v>
      </c>
      <c r="O190" t="s">
        <v>20</v>
      </c>
      <c r="P190">
        <v>39</v>
      </c>
      <c r="Q190" s="17">
        <v>39</v>
      </c>
      <c r="R190">
        <v>39</v>
      </c>
      <c r="S190">
        <v>0</v>
      </c>
      <c r="T190">
        <v>0</v>
      </c>
      <c r="U190">
        <v>48</v>
      </c>
      <c r="V190">
        <v>0.02052026</v>
      </c>
      <c r="W190">
        <v>39</v>
      </c>
      <c r="X190">
        <v>15.49595573</v>
      </c>
      <c r="Y190">
        <v>0.71428571</v>
      </c>
      <c r="Z190">
        <v>2.51678571</v>
      </c>
      <c r="AA190" s="2">
        <v>0</v>
      </c>
      <c r="AB190" s="2">
        <v>8</v>
      </c>
      <c r="AC190" s="2">
        <v>10</v>
      </c>
      <c r="AD190" s="2">
        <v>24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</row>
    <row r="191" spans="1:40">
      <c r="A191" t="s">
        <v>131</v>
      </c>
      <c r="B191" t="s">
        <v>232</v>
      </c>
      <c r="C191" t="s">
        <v>233</v>
      </c>
      <c r="D191" t="s">
        <v>234</v>
      </c>
      <c r="E191" t="s">
        <v>135</v>
      </c>
      <c r="F191" t="s">
        <v>23</v>
      </c>
      <c r="G191" t="s">
        <v>235</v>
      </c>
      <c r="H191" t="s">
        <v>236</v>
      </c>
      <c r="I191" t="s">
        <v>171</v>
      </c>
      <c r="J191" t="s">
        <v>148</v>
      </c>
      <c r="K191" t="s">
        <v>75</v>
      </c>
      <c r="L191" t="s">
        <v>172</v>
      </c>
      <c r="M191" t="s">
        <v>17</v>
      </c>
      <c r="N191" t="s">
        <v>141</v>
      </c>
      <c r="O191" t="s">
        <v>20</v>
      </c>
      <c r="P191">
        <v>39</v>
      </c>
      <c r="Q191" s="17">
        <v>39</v>
      </c>
      <c r="R191">
        <v>39</v>
      </c>
      <c r="S191">
        <v>0</v>
      </c>
      <c r="T191">
        <v>0</v>
      </c>
      <c r="U191">
        <v>86.54545455</v>
      </c>
      <c r="V191">
        <v>0.02993087</v>
      </c>
      <c r="W191">
        <v>39</v>
      </c>
      <c r="X191">
        <v>32.57756563</v>
      </c>
      <c r="Y191">
        <v>0.64285714</v>
      </c>
      <c r="Z191">
        <v>1.19714286</v>
      </c>
      <c r="AA191" s="2">
        <v>1</v>
      </c>
      <c r="AB191" s="2">
        <v>3</v>
      </c>
      <c r="AC191" s="2">
        <v>5</v>
      </c>
      <c r="AD191" s="2">
        <v>22</v>
      </c>
      <c r="AE191">
        <v>0</v>
      </c>
      <c r="AF191">
        <v>0</v>
      </c>
      <c r="AG191">
        <v>0</v>
      </c>
      <c r="AH191">
        <v>9</v>
      </c>
      <c r="AI191">
        <v>1.6</v>
      </c>
      <c r="AJ191">
        <v>0</v>
      </c>
      <c r="AK191">
        <v>0</v>
      </c>
      <c r="AL191">
        <v>0</v>
      </c>
      <c r="AM191">
        <v>15</v>
      </c>
      <c r="AN191">
        <v>0</v>
      </c>
    </row>
    <row r="192" spans="1:40">
      <c r="A192" t="s">
        <v>131</v>
      </c>
      <c r="B192" t="s">
        <v>232</v>
      </c>
      <c r="C192" t="s">
        <v>233</v>
      </c>
      <c r="D192" t="s">
        <v>234</v>
      </c>
      <c r="E192" t="s">
        <v>135</v>
      </c>
      <c r="F192" t="s">
        <v>23</v>
      </c>
      <c r="G192" t="s">
        <v>235</v>
      </c>
      <c r="H192" t="s">
        <v>236</v>
      </c>
      <c r="I192" t="s">
        <v>199</v>
      </c>
      <c r="J192" t="s">
        <v>148</v>
      </c>
      <c r="K192" t="s">
        <v>78</v>
      </c>
      <c r="L192" t="s">
        <v>200</v>
      </c>
      <c r="M192" t="s">
        <v>17</v>
      </c>
      <c r="N192" t="s">
        <v>141</v>
      </c>
      <c r="O192" t="s">
        <v>20</v>
      </c>
      <c r="P192">
        <v>39</v>
      </c>
      <c r="Q192" s="17">
        <v>39</v>
      </c>
      <c r="R192">
        <v>38</v>
      </c>
      <c r="S192">
        <v>0</v>
      </c>
      <c r="T192">
        <v>0</v>
      </c>
      <c r="U192">
        <v>16.64705882</v>
      </c>
      <c r="V192">
        <v>-0.0008461</v>
      </c>
      <c r="W192">
        <v>38</v>
      </c>
      <c r="X192">
        <v>27.54336008</v>
      </c>
      <c r="Y192">
        <v>1.78571429</v>
      </c>
      <c r="Z192">
        <v>1.37964286</v>
      </c>
      <c r="AA192" s="2">
        <v>0</v>
      </c>
      <c r="AB192" s="2">
        <v>9</v>
      </c>
      <c r="AC192" s="2">
        <v>23</v>
      </c>
      <c r="AD192" s="2">
        <v>53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10</v>
      </c>
      <c r="AN192">
        <v>0</v>
      </c>
    </row>
    <row r="193" spans="1:40">
      <c r="A193" t="s">
        <v>131</v>
      </c>
      <c r="B193" t="s">
        <v>269</v>
      </c>
      <c r="C193" t="s">
        <v>270</v>
      </c>
      <c r="D193" t="s">
        <v>271</v>
      </c>
      <c r="E193" t="s">
        <v>135</v>
      </c>
      <c r="F193" t="s">
        <v>60</v>
      </c>
      <c r="G193" t="s">
        <v>272</v>
      </c>
      <c r="H193" t="s">
        <v>273</v>
      </c>
      <c r="I193" t="s">
        <v>147</v>
      </c>
      <c r="J193" t="s">
        <v>148</v>
      </c>
      <c r="K193" t="s">
        <v>58</v>
      </c>
      <c r="L193" t="s">
        <v>149</v>
      </c>
      <c r="M193" t="s">
        <v>17</v>
      </c>
      <c r="N193" t="s">
        <v>141</v>
      </c>
      <c r="O193" t="s">
        <v>20</v>
      </c>
      <c r="P193">
        <v>39</v>
      </c>
      <c r="Q193" s="17">
        <v>39</v>
      </c>
      <c r="R193">
        <v>38</v>
      </c>
      <c r="S193">
        <v>0</v>
      </c>
      <c r="T193">
        <v>0</v>
      </c>
      <c r="U193">
        <v>11.2</v>
      </c>
      <c r="V193">
        <v>-0.00956459</v>
      </c>
      <c r="W193">
        <v>38</v>
      </c>
      <c r="X193">
        <v>28.24528803</v>
      </c>
      <c r="Y193">
        <v>1.85714286</v>
      </c>
      <c r="Z193">
        <v>1.34535714</v>
      </c>
      <c r="AA193" s="2">
        <v>7</v>
      </c>
      <c r="AB193" s="2">
        <v>20</v>
      </c>
      <c r="AC193" s="2">
        <v>33</v>
      </c>
      <c r="AD193" s="2">
        <v>52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19</v>
      </c>
      <c r="AN193">
        <v>0</v>
      </c>
    </row>
    <row r="194" spans="1:40">
      <c r="A194" t="s">
        <v>131</v>
      </c>
      <c r="B194" t="s">
        <v>142</v>
      </c>
      <c r="C194" t="s">
        <v>143</v>
      </c>
      <c r="D194" t="s">
        <v>144</v>
      </c>
      <c r="E194" t="s">
        <v>135</v>
      </c>
      <c r="F194" t="s">
        <v>19</v>
      </c>
      <c r="G194" t="s">
        <v>145</v>
      </c>
      <c r="H194" t="s">
        <v>146</v>
      </c>
      <c r="I194" t="s">
        <v>303</v>
      </c>
      <c r="J194" t="s">
        <v>280</v>
      </c>
      <c r="K194" t="s">
        <v>100</v>
      </c>
      <c r="L194" t="s">
        <v>304</v>
      </c>
      <c r="M194" t="s">
        <v>17</v>
      </c>
      <c r="N194" t="s">
        <v>141</v>
      </c>
      <c r="O194" t="s">
        <v>20</v>
      </c>
      <c r="P194">
        <v>39</v>
      </c>
      <c r="Q194" s="17">
        <v>39</v>
      </c>
      <c r="R194">
        <v>39</v>
      </c>
      <c r="S194">
        <v>0</v>
      </c>
      <c r="T194">
        <v>0</v>
      </c>
      <c r="U194">
        <v>9.26041667</v>
      </c>
      <c r="V194">
        <v>-0.03034477</v>
      </c>
      <c r="W194">
        <v>39</v>
      </c>
      <c r="X194">
        <v>10.26026496</v>
      </c>
      <c r="Y194">
        <v>3.67857143</v>
      </c>
      <c r="Z194">
        <v>3.80107143</v>
      </c>
      <c r="AA194" s="2">
        <v>9</v>
      </c>
      <c r="AB194" s="2">
        <v>57</v>
      </c>
      <c r="AC194" s="2">
        <v>80</v>
      </c>
      <c r="AD194" s="2">
        <v>103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</row>
    <row r="195" spans="1:40">
      <c r="A195" t="s">
        <v>131</v>
      </c>
      <c r="B195" t="s">
        <v>142</v>
      </c>
      <c r="C195" t="s">
        <v>143</v>
      </c>
      <c r="D195" t="s">
        <v>144</v>
      </c>
      <c r="E195" t="s">
        <v>135</v>
      </c>
      <c r="F195" t="s">
        <v>19</v>
      </c>
      <c r="G195" t="s">
        <v>145</v>
      </c>
      <c r="H195" t="s">
        <v>146</v>
      </c>
      <c r="I195" t="s">
        <v>305</v>
      </c>
      <c r="J195" t="s">
        <v>280</v>
      </c>
      <c r="K195" t="s">
        <v>41</v>
      </c>
      <c r="L195" t="s">
        <v>306</v>
      </c>
      <c r="M195" t="s">
        <v>17</v>
      </c>
      <c r="N195" t="s">
        <v>141</v>
      </c>
      <c r="O195" t="s">
        <v>20</v>
      </c>
      <c r="P195">
        <v>39</v>
      </c>
      <c r="Q195" s="17">
        <v>38</v>
      </c>
      <c r="R195">
        <v>38</v>
      </c>
      <c r="S195">
        <v>0.02564103</v>
      </c>
      <c r="T195">
        <v>1</v>
      </c>
      <c r="U195">
        <v>8.79166667</v>
      </c>
      <c r="V195">
        <v>-0.0160289</v>
      </c>
      <c r="W195">
        <v>38</v>
      </c>
      <c r="X195">
        <v>13.26187212</v>
      </c>
      <c r="Y195">
        <v>2.28571429</v>
      </c>
      <c r="Z195">
        <v>2.86535714</v>
      </c>
      <c r="AA195" s="2">
        <v>3</v>
      </c>
      <c r="AB195" s="2">
        <v>16</v>
      </c>
      <c r="AC195" s="2">
        <v>38</v>
      </c>
      <c r="AD195" s="2">
        <v>65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>
      <c r="A196" t="s">
        <v>131</v>
      </c>
      <c r="B196" t="s">
        <v>166</v>
      </c>
      <c r="C196" t="s">
        <v>167</v>
      </c>
      <c r="D196" t="s">
        <v>168</v>
      </c>
      <c r="E196" t="s">
        <v>135</v>
      </c>
      <c r="F196" t="s">
        <v>65</v>
      </c>
      <c r="G196" t="s">
        <v>169</v>
      </c>
      <c r="H196" t="s">
        <v>170</v>
      </c>
      <c r="I196" t="s">
        <v>152</v>
      </c>
      <c r="J196" t="s">
        <v>148</v>
      </c>
      <c r="K196" t="s">
        <v>79</v>
      </c>
      <c r="L196" t="s">
        <v>153</v>
      </c>
      <c r="M196" t="s">
        <v>17</v>
      </c>
      <c r="N196" t="s">
        <v>141</v>
      </c>
      <c r="O196" t="s">
        <v>20</v>
      </c>
      <c r="P196">
        <v>39</v>
      </c>
      <c r="Q196" s="17">
        <v>39</v>
      </c>
      <c r="R196">
        <v>0</v>
      </c>
      <c r="S196">
        <v>0</v>
      </c>
      <c r="T196">
        <v>0</v>
      </c>
      <c r="U196">
        <v>18.2244898</v>
      </c>
      <c r="V196">
        <v>0.00182081</v>
      </c>
      <c r="W196">
        <v>39</v>
      </c>
      <c r="X196">
        <v>0</v>
      </c>
      <c r="Y196">
        <v>1.82142857</v>
      </c>
      <c r="Z196">
        <v>2.45678571</v>
      </c>
      <c r="AA196" s="2">
        <v>1</v>
      </c>
      <c r="AB196" s="2">
        <v>7</v>
      </c>
      <c r="AC196" s="2">
        <v>42</v>
      </c>
      <c r="AD196" s="2">
        <v>51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136</v>
      </c>
      <c r="AN196">
        <v>0</v>
      </c>
    </row>
    <row r="197" spans="1:40">
      <c r="A197" t="s">
        <v>131</v>
      </c>
      <c r="B197" t="s">
        <v>210</v>
      </c>
      <c r="C197" t="s">
        <v>211</v>
      </c>
      <c r="D197" t="s">
        <v>212</v>
      </c>
      <c r="E197" t="s">
        <v>135</v>
      </c>
      <c r="F197" t="s">
        <v>16</v>
      </c>
      <c r="G197" t="s">
        <v>213</v>
      </c>
      <c r="H197" t="s">
        <v>214</v>
      </c>
      <c r="I197" t="s">
        <v>173</v>
      </c>
      <c r="J197" t="s">
        <v>148</v>
      </c>
      <c r="K197" t="s">
        <v>98</v>
      </c>
      <c r="L197" t="s">
        <v>174</v>
      </c>
      <c r="M197" t="s">
        <v>17</v>
      </c>
      <c r="N197" t="s">
        <v>141</v>
      </c>
      <c r="O197" t="s">
        <v>20</v>
      </c>
      <c r="P197">
        <v>37</v>
      </c>
      <c r="Q197" s="17">
        <v>37</v>
      </c>
      <c r="R197">
        <v>37</v>
      </c>
      <c r="S197">
        <v>0</v>
      </c>
      <c r="T197">
        <v>0</v>
      </c>
      <c r="U197">
        <v>13.90588235</v>
      </c>
      <c r="V197">
        <v>-0.01129925</v>
      </c>
      <c r="W197">
        <v>37</v>
      </c>
      <c r="X197">
        <v>6.64699089</v>
      </c>
      <c r="Y197">
        <v>3.57142857</v>
      </c>
      <c r="Z197">
        <v>5.56642857</v>
      </c>
      <c r="AA197" s="2">
        <v>3</v>
      </c>
      <c r="AB197" s="2">
        <v>34</v>
      </c>
      <c r="AC197" s="2">
        <v>60</v>
      </c>
      <c r="AD197" s="2">
        <v>107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189</v>
      </c>
      <c r="AN197">
        <v>0</v>
      </c>
    </row>
    <row r="198" spans="1:40">
      <c r="A198" t="s">
        <v>131</v>
      </c>
      <c r="B198" t="s">
        <v>210</v>
      </c>
      <c r="C198" t="s">
        <v>211</v>
      </c>
      <c r="D198" t="s">
        <v>212</v>
      </c>
      <c r="E198" t="s">
        <v>135</v>
      </c>
      <c r="F198" t="s">
        <v>16</v>
      </c>
      <c r="G198" t="s">
        <v>213</v>
      </c>
      <c r="H198" t="s">
        <v>214</v>
      </c>
      <c r="I198" t="s">
        <v>138</v>
      </c>
      <c r="J198" t="s">
        <v>139</v>
      </c>
      <c r="K198" t="s">
        <v>97</v>
      </c>
      <c r="L198" t="s">
        <v>140</v>
      </c>
      <c r="M198" t="s">
        <v>17</v>
      </c>
      <c r="N198" t="s">
        <v>141</v>
      </c>
      <c r="O198" t="s">
        <v>20</v>
      </c>
      <c r="P198">
        <v>37</v>
      </c>
      <c r="Q198" s="17">
        <v>37</v>
      </c>
      <c r="R198">
        <v>34</v>
      </c>
      <c r="S198">
        <v>0</v>
      </c>
      <c r="T198">
        <v>0</v>
      </c>
      <c r="U198">
        <v>23.66153846</v>
      </c>
      <c r="V198">
        <v>0.0163295</v>
      </c>
      <c r="W198">
        <v>34</v>
      </c>
      <c r="X198">
        <v>8.11455847</v>
      </c>
      <c r="Y198">
        <v>2.57142857</v>
      </c>
      <c r="Z198">
        <v>4.19</v>
      </c>
      <c r="AA198" s="2">
        <v>6</v>
      </c>
      <c r="AB198" s="2">
        <v>26</v>
      </c>
      <c r="AC198" s="2">
        <v>45</v>
      </c>
      <c r="AD198" s="2">
        <v>74</v>
      </c>
      <c r="AE198">
        <v>0</v>
      </c>
      <c r="AF198">
        <v>0</v>
      </c>
      <c r="AG198">
        <v>0</v>
      </c>
      <c r="AH198">
        <v>37</v>
      </c>
      <c r="AI198">
        <v>0</v>
      </c>
      <c r="AJ198">
        <v>0</v>
      </c>
      <c r="AK198">
        <v>0</v>
      </c>
      <c r="AL198">
        <v>0</v>
      </c>
      <c r="AM198">
        <v>60</v>
      </c>
      <c r="AN198">
        <v>0</v>
      </c>
    </row>
    <row r="199" spans="1:40">
      <c r="A199" t="s">
        <v>131</v>
      </c>
      <c r="B199" t="s">
        <v>242</v>
      </c>
      <c r="C199" t="s">
        <v>243</v>
      </c>
      <c r="D199" t="s">
        <v>244</v>
      </c>
      <c r="E199" t="s">
        <v>135</v>
      </c>
      <c r="F199" t="s">
        <v>24</v>
      </c>
      <c r="G199" t="s">
        <v>245</v>
      </c>
      <c r="H199" t="s">
        <v>246</v>
      </c>
      <c r="I199" t="s">
        <v>307</v>
      </c>
      <c r="J199" t="s">
        <v>280</v>
      </c>
      <c r="K199" t="s">
        <v>37</v>
      </c>
      <c r="L199" t="s">
        <v>308</v>
      </c>
      <c r="M199" t="s">
        <v>25</v>
      </c>
      <c r="N199" t="s">
        <v>141</v>
      </c>
      <c r="O199" t="s">
        <v>20</v>
      </c>
      <c r="P199">
        <v>37</v>
      </c>
      <c r="Q199" s="17">
        <v>35</v>
      </c>
      <c r="R199">
        <v>35</v>
      </c>
      <c r="S199">
        <v>0.05405405</v>
      </c>
      <c r="T199">
        <v>2</v>
      </c>
      <c r="U199">
        <v>8.81578947</v>
      </c>
      <c r="V199">
        <v>-0.01264851</v>
      </c>
      <c r="W199">
        <v>35</v>
      </c>
      <c r="X199">
        <v>16.66099966</v>
      </c>
      <c r="Y199">
        <v>1.39285714</v>
      </c>
      <c r="Z199">
        <v>2.10071429</v>
      </c>
      <c r="AA199" s="2">
        <v>2</v>
      </c>
      <c r="AB199" s="2">
        <v>6</v>
      </c>
      <c r="AC199" s="2">
        <v>19</v>
      </c>
      <c r="AD199" s="2">
        <v>39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>
      <c r="A200" t="s">
        <v>131</v>
      </c>
      <c r="B200" t="s">
        <v>142</v>
      </c>
      <c r="C200" t="s">
        <v>143</v>
      </c>
      <c r="D200" t="s">
        <v>144</v>
      </c>
      <c r="E200" t="s">
        <v>135</v>
      </c>
      <c r="F200" t="s">
        <v>19</v>
      </c>
      <c r="G200" t="s">
        <v>145</v>
      </c>
      <c r="H200" t="s">
        <v>146</v>
      </c>
      <c r="I200" t="s">
        <v>309</v>
      </c>
      <c r="J200" t="s">
        <v>280</v>
      </c>
      <c r="K200" t="s">
        <v>35</v>
      </c>
      <c r="L200" t="s">
        <v>310</v>
      </c>
      <c r="M200" t="s">
        <v>17</v>
      </c>
      <c r="N200" t="s">
        <v>141</v>
      </c>
      <c r="O200" t="s">
        <v>20</v>
      </c>
      <c r="P200">
        <v>37</v>
      </c>
      <c r="Q200" s="17">
        <v>36</v>
      </c>
      <c r="R200">
        <v>36</v>
      </c>
      <c r="S200">
        <v>0.02702703</v>
      </c>
      <c r="T200">
        <v>1</v>
      </c>
      <c r="U200">
        <v>10.05172414</v>
      </c>
      <c r="V200">
        <v>-0.0164996</v>
      </c>
      <c r="W200">
        <v>36</v>
      </c>
      <c r="X200">
        <v>10.94581388</v>
      </c>
      <c r="Y200">
        <v>2.89285714</v>
      </c>
      <c r="Z200">
        <v>3.28892857</v>
      </c>
      <c r="AA200" s="2">
        <v>0</v>
      </c>
      <c r="AB200" s="2">
        <v>30</v>
      </c>
      <c r="AC200" s="2">
        <v>46</v>
      </c>
      <c r="AD200" s="2">
        <v>85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</row>
    <row r="201" spans="1:40">
      <c r="A201" t="s">
        <v>131</v>
      </c>
      <c r="B201" t="s">
        <v>242</v>
      </c>
      <c r="C201" t="s">
        <v>243</v>
      </c>
      <c r="D201" t="s">
        <v>244</v>
      </c>
      <c r="E201" t="s">
        <v>135</v>
      </c>
      <c r="F201" t="s">
        <v>24</v>
      </c>
      <c r="G201" t="s">
        <v>245</v>
      </c>
      <c r="H201" t="s">
        <v>246</v>
      </c>
      <c r="I201" t="s">
        <v>311</v>
      </c>
      <c r="J201" t="s">
        <v>139</v>
      </c>
      <c r="K201" t="s">
        <v>57</v>
      </c>
      <c r="L201" t="s">
        <v>312</v>
      </c>
      <c r="M201" t="s">
        <v>25</v>
      </c>
      <c r="N201" t="s">
        <v>141</v>
      </c>
      <c r="O201" t="s">
        <v>52</v>
      </c>
      <c r="P201">
        <v>36</v>
      </c>
      <c r="Q201" s="17">
        <v>35</v>
      </c>
      <c r="R201">
        <v>26</v>
      </c>
      <c r="S201">
        <v>0.02777778</v>
      </c>
      <c r="T201">
        <v>1</v>
      </c>
      <c r="U201">
        <v>9.84375</v>
      </c>
      <c r="V201">
        <v>-0.00935557</v>
      </c>
      <c r="W201">
        <v>26</v>
      </c>
      <c r="X201">
        <v>21.98067633</v>
      </c>
      <c r="Y201">
        <v>1.39285714</v>
      </c>
      <c r="Z201">
        <v>1.18285714</v>
      </c>
      <c r="AA201" s="2">
        <v>0</v>
      </c>
      <c r="AB201" s="2">
        <v>2</v>
      </c>
      <c r="AC201" s="2">
        <v>20</v>
      </c>
      <c r="AD201" s="2">
        <v>40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</row>
    <row r="202" spans="1:40">
      <c r="A202" t="s">
        <v>131</v>
      </c>
      <c r="B202" t="s">
        <v>237</v>
      </c>
      <c r="C202" t="s">
        <v>238</v>
      </c>
      <c r="D202" t="s">
        <v>239</v>
      </c>
      <c r="E202" t="s">
        <v>135</v>
      </c>
      <c r="F202" t="s">
        <v>62</v>
      </c>
      <c r="G202" t="s">
        <v>240</v>
      </c>
      <c r="H202" t="s">
        <v>241</v>
      </c>
      <c r="I202" t="s">
        <v>177</v>
      </c>
      <c r="J202" t="s">
        <v>148</v>
      </c>
      <c r="K202" t="s">
        <v>69</v>
      </c>
      <c r="L202" t="s">
        <v>178</v>
      </c>
      <c r="M202" t="s">
        <v>17</v>
      </c>
      <c r="N202" t="s">
        <v>141</v>
      </c>
      <c r="O202" t="s">
        <v>20</v>
      </c>
      <c r="P202">
        <v>36</v>
      </c>
      <c r="Q202" s="17">
        <v>36</v>
      </c>
      <c r="R202">
        <v>36</v>
      </c>
      <c r="S202">
        <v>0</v>
      </c>
      <c r="T202">
        <v>0</v>
      </c>
      <c r="U202">
        <v>22.54</v>
      </c>
      <c r="V202">
        <v>0.01034746</v>
      </c>
      <c r="W202">
        <v>36</v>
      </c>
      <c r="X202">
        <v>14.88262218</v>
      </c>
      <c r="Y202">
        <v>2.14285714</v>
      </c>
      <c r="Z202">
        <v>2.41892857</v>
      </c>
      <c r="AA202" s="2">
        <v>4</v>
      </c>
      <c r="AB202" s="2">
        <v>16</v>
      </c>
      <c r="AC202" s="2">
        <v>26</v>
      </c>
      <c r="AD202" s="2">
        <v>60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29</v>
      </c>
      <c r="AN202">
        <v>0</v>
      </c>
    </row>
    <row r="203" spans="1:40">
      <c r="A203" t="s">
        <v>131</v>
      </c>
      <c r="B203" t="s">
        <v>219</v>
      </c>
      <c r="C203" t="s">
        <v>220</v>
      </c>
      <c r="D203" t="s">
        <v>221</v>
      </c>
      <c r="E203" t="s">
        <v>135</v>
      </c>
      <c r="F203" t="s">
        <v>63</v>
      </c>
      <c r="G203" t="s">
        <v>222</v>
      </c>
      <c r="H203" t="s">
        <v>223</v>
      </c>
      <c r="I203" t="s">
        <v>175</v>
      </c>
      <c r="J203" t="s">
        <v>139</v>
      </c>
      <c r="K203" t="s">
        <v>74</v>
      </c>
      <c r="L203" t="s">
        <v>176</v>
      </c>
      <c r="M203" t="s">
        <v>17</v>
      </c>
      <c r="N203" t="s">
        <v>141</v>
      </c>
      <c r="O203" t="s">
        <v>20</v>
      </c>
      <c r="P203">
        <v>36</v>
      </c>
      <c r="Q203" s="17">
        <v>36</v>
      </c>
      <c r="R203">
        <v>36</v>
      </c>
      <c r="S203">
        <v>0</v>
      </c>
      <c r="T203">
        <v>0</v>
      </c>
      <c r="U203">
        <v>6.12195122</v>
      </c>
      <c r="V203">
        <v>-0.03604324</v>
      </c>
      <c r="W203">
        <v>36</v>
      </c>
      <c r="X203">
        <v>10.59602649</v>
      </c>
      <c r="Y203">
        <v>2.96428571</v>
      </c>
      <c r="Z203">
        <v>3.3975</v>
      </c>
      <c r="AA203" s="2">
        <v>13</v>
      </c>
      <c r="AB203" s="2">
        <v>34</v>
      </c>
      <c r="AC203" s="2">
        <v>50</v>
      </c>
      <c r="AD203" s="2">
        <v>83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33</v>
      </c>
      <c r="AN203">
        <v>0</v>
      </c>
    </row>
    <row r="204" spans="1:40">
      <c r="A204" t="s">
        <v>131</v>
      </c>
      <c r="B204" t="s">
        <v>210</v>
      </c>
      <c r="C204" t="s">
        <v>211</v>
      </c>
      <c r="D204" t="s">
        <v>212</v>
      </c>
      <c r="E204" t="s">
        <v>135</v>
      </c>
      <c r="F204" t="s">
        <v>16</v>
      </c>
      <c r="G204" t="s">
        <v>213</v>
      </c>
      <c r="H204" t="s">
        <v>214</v>
      </c>
      <c r="I204" t="s">
        <v>177</v>
      </c>
      <c r="J204" t="s">
        <v>148</v>
      </c>
      <c r="K204" t="s">
        <v>69</v>
      </c>
      <c r="L204" t="s">
        <v>178</v>
      </c>
      <c r="M204" t="s">
        <v>17</v>
      </c>
      <c r="N204" t="s">
        <v>141</v>
      </c>
      <c r="O204" t="s">
        <v>20</v>
      </c>
      <c r="P204">
        <v>35</v>
      </c>
      <c r="Q204" s="17">
        <v>35</v>
      </c>
      <c r="R204">
        <v>35</v>
      </c>
      <c r="S204">
        <v>0</v>
      </c>
      <c r="T204">
        <v>0</v>
      </c>
      <c r="U204">
        <v>23.01785714</v>
      </c>
      <c r="V204">
        <v>0.01264498</v>
      </c>
      <c r="W204">
        <v>35</v>
      </c>
      <c r="X204">
        <v>9.81963928</v>
      </c>
      <c r="Y204">
        <v>2.17857143</v>
      </c>
      <c r="Z204">
        <v>3.56428571</v>
      </c>
      <c r="AA204" s="2">
        <v>7</v>
      </c>
      <c r="AB204" s="2">
        <v>19</v>
      </c>
      <c r="AC204" s="2">
        <v>37</v>
      </c>
      <c r="AD204" s="2">
        <v>64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76</v>
      </c>
      <c r="AN204">
        <v>0</v>
      </c>
    </row>
    <row r="205" spans="1:40">
      <c r="A205" t="s">
        <v>131</v>
      </c>
      <c r="B205" t="s">
        <v>210</v>
      </c>
      <c r="C205" t="s">
        <v>211</v>
      </c>
      <c r="D205" t="s">
        <v>212</v>
      </c>
      <c r="E205" t="s">
        <v>135</v>
      </c>
      <c r="F205" t="s">
        <v>16</v>
      </c>
      <c r="G205" t="s">
        <v>213</v>
      </c>
      <c r="H205" t="s">
        <v>214</v>
      </c>
      <c r="I205" t="s">
        <v>215</v>
      </c>
      <c r="J205" t="s">
        <v>148</v>
      </c>
      <c r="K205" t="s">
        <v>76</v>
      </c>
      <c r="L205" t="s">
        <v>216</v>
      </c>
      <c r="M205" t="s">
        <v>17</v>
      </c>
      <c r="N205" t="s">
        <v>141</v>
      </c>
      <c r="O205" t="s">
        <v>20</v>
      </c>
      <c r="P205">
        <v>35</v>
      </c>
      <c r="Q205" s="17">
        <v>35</v>
      </c>
      <c r="R205">
        <v>34</v>
      </c>
      <c r="S205">
        <v>0</v>
      </c>
      <c r="T205">
        <v>0</v>
      </c>
      <c r="U205">
        <v>24.05</v>
      </c>
      <c r="V205">
        <v>0.02133385</v>
      </c>
      <c r="W205">
        <v>34</v>
      </c>
      <c r="X205">
        <v>9.54290297</v>
      </c>
      <c r="Y205">
        <v>3.10714286</v>
      </c>
      <c r="Z205">
        <v>3.56285714</v>
      </c>
      <c r="AA205" s="2">
        <v>3</v>
      </c>
      <c r="AB205" s="2">
        <v>54</v>
      </c>
      <c r="AC205" s="2">
        <v>65</v>
      </c>
      <c r="AD205" s="2">
        <v>89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97</v>
      </c>
      <c r="AN205">
        <v>0</v>
      </c>
    </row>
    <row r="206" spans="1:40">
      <c r="A206" t="s">
        <v>131</v>
      </c>
      <c r="B206" t="s">
        <v>142</v>
      </c>
      <c r="C206" t="s">
        <v>143</v>
      </c>
      <c r="D206" t="s">
        <v>144</v>
      </c>
      <c r="E206" t="s">
        <v>135</v>
      </c>
      <c r="F206" t="s">
        <v>19</v>
      </c>
      <c r="G206" t="s">
        <v>145</v>
      </c>
      <c r="H206" t="s">
        <v>146</v>
      </c>
      <c r="I206" t="s">
        <v>313</v>
      </c>
      <c r="J206" t="s">
        <v>280</v>
      </c>
      <c r="K206" t="s">
        <v>26</v>
      </c>
      <c r="L206" t="s">
        <v>314</v>
      </c>
      <c r="M206" t="s">
        <v>17</v>
      </c>
      <c r="N206" t="s">
        <v>141</v>
      </c>
      <c r="O206" t="s">
        <v>20</v>
      </c>
      <c r="P206">
        <v>35</v>
      </c>
      <c r="Q206" s="17">
        <v>34</v>
      </c>
      <c r="R206">
        <v>34</v>
      </c>
      <c r="S206">
        <v>0.02857143</v>
      </c>
      <c r="T206">
        <v>1</v>
      </c>
      <c r="U206">
        <v>5.21875</v>
      </c>
      <c r="V206">
        <v>-0.03038689</v>
      </c>
      <c r="W206">
        <v>34</v>
      </c>
      <c r="X206">
        <v>7.69230769</v>
      </c>
      <c r="Y206">
        <v>2.39285714</v>
      </c>
      <c r="Z206">
        <v>4.42</v>
      </c>
      <c r="AA206" s="2">
        <v>2</v>
      </c>
      <c r="AB206" s="2">
        <v>30</v>
      </c>
      <c r="AC206" s="2">
        <v>45</v>
      </c>
      <c r="AD206" s="2">
        <v>67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9</v>
      </c>
      <c r="AM206">
        <v>0</v>
      </c>
      <c r="AN206">
        <v>0</v>
      </c>
    </row>
    <row r="207" spans="1:40">
      <c r="A207" t="s">
        <v>131</v>
      </c>
      <c r="B207" t="s">
        <v>132</v>
      </c>
      <c r="C207" t="s">
        <v>133</v>
      </c>
      <c r="D207" t="s">
        <v>134</v>
      </c>
      <c r="E207" t="s">
        <v>135</v>
      </c>
      <c r="F207" t="s">
        <v>66</v>
      </c>
      <c r="G207" t="s">
        <v>136</v>
      </c>
      <c r="H207" t="s">
        <v>137</v>
      </c>
      <c r="I207" t="s">
        <v>184</v>
      </c>
      <c r="J207" t="s">
        <v>139</v>
      </c>
      <c r="K207" t="s">
        <v>80</v>
      </c>
      <c r="L207" t="s">
        <v>185</v>
      </c>
      <c r="M207" t="s">
        <v>25</v>
      </c>
      <c r="N207" t="s">
        <v>141</v>
      </c>
      <c r="O207" t="s">
        <v>20</v>
      </c>
      <c r="P207">
        <v>34</v>
      </c>
      <c r="Q207" s="17">
        <v>24</v>
      </c>
      <c r="R207">
        <v>24</v>
      </c>
      <c r="S207">
        <v>0.29411765</v>
      </c>
      <c r="T207">
        <v>10</v>
      </c>
      <c r="U207">
        <v>6.03571429</v>
      </c>
      <c r="V207">
        <v>-0.02477975</v>
      </c>
      <c r="W207">
        <v>24</v>
      </c>
      <c r="X207">
        <v>15.03019459</v>
      </c>
      <c r="Y207">
        <v>2</v>
      </c>
      <c r="Z207">
        <v>1.59678571</v>
      </c>
      <c r="AA207" s="2">
        <v>0</v>
      </c>
      <c r="AB207" s="2">
        <v>20</v>
      </c>
      <c r="AC207" s="2">
        <v>34</v>
      </c>
      <c r="AD207" s="2">
        <v>56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</row>
    <row r="208" spans="1:40">
      <c r="A208" t="s">
        <v>131</v>
      </c>
      <c r="B208" t="s">
        <v>237</v>
      </c>
      <c r="C208" t="s">
        <v>238</v>
      </c>
      <c r="D208" t="s">
        <v>239</v>
      </c>
      <c r="E208" t="s">
        <v>135</v>
      </c>
      <c r="F208" t="s">
        <v>62</v>
      </c>
      <c r="G208" t="s">
        <v>240</v>
      </c>
      <c r="H208" t="s">
        <v>241</v>
      </c>
      <c r="I208" t="s">
        <v>230</v>
      </c>
      <c r="J208" t="s">
        <v>148</v>
      </c>
      <c r="K208" t="s">
        <v>91</v>
      </c>
      <c r="L208" t="s">
        <v>231</v>
      </c>
      <c r="M208" t="s">
        <v>17</v>
      </c>
      <c r="N208" t="s">
        <v>141</v>
      </c>
      <c r="O208" t="s">
        <v>20</v>
      </c>
      <c r="P208">
        <v>34</v>
      </c>
      <c r="Q208" s="17">
        <v>34</v>
      </c>
      <c r="R208">
        <v>33</v>
      </c>
      <c r="S208">
        <v>0</v>
      </c>
      <c r="T208">
        <v>0</v>
      </c>
      <c r="U208">
        <v>43.6</v>
      </c>
      <c r="V208">
        <v>0.02068616</v>
      </c>
      <c r="W208">
        <v>33</v>
      </c>
      <c r="X208">
        <v>29.97080765</v>
      </c>
      <c r="Y208">
        <v>0.96428571</v>
      </c>
      <c r="Z208">
        <v>1.10107143</v>
      </c>
      <c r="AA208" s="2">
        <v>2</v>
      </c>
      <c r="AB208" s="2">
        <v>7</v>
      </c>
      <c r="AC208" s="2">
        <v>13</v>
      </c>
      <c r="AD208" s="2">
        <v>29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17</v>
      </c>
      <c r="AN208">
        <v>0</v>
      </c>
    </row>
    <row r="209" spans="1:40">
      <c r="A209" t="s">
        <v>131</v>
      </c>
      <c r="B209" t="s">
        <v>242</v>
      </c>
      <c r="C209" t="s">
        <v>243</v>
      </c>
      <c r="D209" t="s">
        <v>244</v>
      </c>
      <c r="E209" t="s">
        <v>135</v>
      </c>
      <c r="F209" t="s">
        <v>24</v>
      </c>
      <c r="G209" t="s">
        <v>245</v>
      </c>
      <c r="H209" t="s">
        <v>246</v>
      </c>
      <c r="I209" t="s">
        <v>175</v>
      </c>
      <c r="J209" t="s">
        <v>139</v>
      </c>
      <c r="K209" t="s">
        <v>74</v>
      </c>
      <c r="L209" t="s">
        <v>176</v>
      </c>
      <c r="M209" t="s">
        <v>25</v>
      </c>
      <c r="N209" t="s">
        <v>141</v>
      </c>
      <c r="O209" t="s">
        <v>52</v>
      </c>
      <c r="P209">
        <v>33</v>
      </c>
      <c r="Q209" s="17">
        <v>33</v>
      </c>
      <c r="R209">
        <v>33</v>
      </c>
      <c r="S209">
        <v>0</v>
      </c>
      <c r="T209">
        <v>0</v>
      </c>
      <c r="U209">
        <v>7.74074074</v>
      </c>
      <c r="V209">
        <v>-0.01012418</v>
      </c>
      <c r="W209">
        <v>33</v>
      </c>
      <c r="X209">
        <v>32.11678832</v>
      </c>
      <c r="Y209">
        <v>1.14285714</v>
      </c>
      <c r="Z209">
        <v>1.0275</v>
      </c>
      <c r="AA209" s="2">
        <v>3</v>
      </c>
      <c r="AB209" s="2">
        <v>11</v>
      </c>
      <c r="AC209" s="2">
        <v>23</v>
      </c>
      <c r="AD209" s="2">
        <v>35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</row>
    <row r="210" spans="1:40">
      <c r="A210" t="s">
        <v>131</v>
      </c>
      <c r="B210" t="s">
        <v>142</v>
      </c>
      <c r="C210" t="s">
        <v>143</v>
      </c>
      <c r="D210" t="s">
        <v>144</v>
      </c>
      <c r="E210" t="s">
        <v>135</v>
      </c>
      <c r="F210" t="s">
        <v>19</v>
      </c>
      <c r="G210" t="s">
        <v>145</v>
      </c>
      <c r="H210" t="s">
        <v>146</v>
      </c>
      <c r="I210" t="s">
        <v>307</v>
      </c>
      <c r="J210" t="s">
        <v>280</v>
      </c>
      <c r="K210" t="s">
        <v>37</v>
      </c>
      <c r="L210" t="s">
        <v>308</v>
      </c>
      <c r="M210" t="s">
        <v>17</v>
      </c>
      <c r="N210" t="s">
        <v>141</v>
      </c>
      <c r="O210" t="s">
        <v>20</v>
      </c>
      <c r="P210">
        <v>33</v>
      </c>
      <c r="Q210" s="17">
        <v>32</v>
      </c>
      <c r="R210">
        <v>32</v>
      </c>
      <c r="S210">
        <v>0.03030303</v>
      </c>
      <c r="T210">
        <v>1</v>
      </c>
      <c r="U210">
        <v>4.015625</v>
      </c>
      <c r="V210">
        <v>-0.06700486</v>
      </c>
      <c r="W210">
        <v>32</v>
      </c>
      <c r="X210">
        <v>5.8896996</v>
      </c>
      <c r="Y210">
        <v>4.64285714</v>
      </c>
      <c r="Z210">
        <v>5.43321429</v>
      </c>
      <c r="AA210" s="2">
        <v>6</v>
      </c>
      <c r="AB210" s="2">
        <v>81</v>
      </c>
      <c r="AC210" s="2">
        <v>109</v>
      </c>
      <c r="AD210" s="2">
        <v>130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</row>
    <row r="211" spans="1:40">
      <c r="A211" t="s">
        <v>131</v>
      </c>
      <c r="B211" t="s">
        <v>191</v>
      </c>
      <c r="C211" t="s">
        <v>192</v>
      </c>
      <c r="D211" t="s">
        <v>193</v>
      </c>
      <c r="E211" t="s">
        <v>135</v>
      </c>
      <c r="F211" t="s">
        <v>49</v>
      </c>
      <c r="G211" t="s">
        <v>194</v>
      </c>
      <c r="H211" t="s">
        <v>195</v>
      </c>
      <c r="I211" t="s">
        <v>203</v>
      </c>
      <c r="J211" t="s">
        <v>139</v>
      </c>
      <c r="K211" t="s">
        <v>88</v>
      </c>
      <c r="L211" t="s">
        <v>204</v>
      </c>
      <c r="M211" t="s">
        <v>25</v>
      </c>
      <c r="N211" t="s">
        <v>141</v>
      </c>
      <c r="O211" t="s">
        <v>20</v>
      </c>
      <c r="P211">
        <v>33</v>
      </c>
      <c r="Q211" s="17">
        <v>33</v>
      </c>
      <c r="R211">
        <v>33</v>
      </c>
      <c r="S211">
        <v>0</v>
      </c>
      <c r="T211">
        <v>0</v>
      </c>
      <c r="U211">
        <v>42.13333333</v>
      </c>
      <c r="V211">
        <v>0.0146472</v>
      </c>
      <c r="W211">
        <v>33</v>
      </c>
      <c r="X211">
        <v>19.17808219</v>
      </c>
      <c r="Y211">
        <v>1.39285714</v>
      </c>
      <c r="Z211">
        <v>1.72071429</v>
      </c>
      <c r="AA211" s="2">
        <v>2</v>
      </c>
      <c r="AB211" s="2">
        <v>4</v>
      </c>
      <c r="AC211" s="2">
        <v>11</v>
      </c>
      <c r="AD211" s="2">
        <v>41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</row>
    <row r="212" spans="1:40">
      <c r="A212" t="s">
        <v>131</v>
      </c>
      <c r="B212" t="s">
        <v>191</v>
      </c>
      <c r="C212" t="s">
        <v>192</v>
      </c>
      <c r="D212" t="s">
        <v>193</v>
      </c>
      <c r="E212" t="s">
        <v>135</v>
      </c>
      <c r="F212" t="s">
        <v>49</v>
      </c>
      <c r="G212" t="s">
        <v>194</v>
      </c>
      <c r="H212" t="s">
        <v>195</v>
      </c>
      <c r="I212" t="s">
        <v>184</v>
      </c>
      <c r="J212" t="s">
        <v>139</v>
      </c>
      <c r="K212" t="s">
        <v>80</v>
      </c>
      <c r="L212" t="s">
        <v>185</v>
      </c>
      <c r="M212" t="s">
        <v>25</v>
      </c>
      <c r="N212" t="s">
        <v>141</v>
      </c>
      <c r="O212" t="s">
        <v>20</v>
      </c>
      <c r="P212">
        <v>32</v>
      </c>
      <c r="Q212" s="17">
        <v>32</v>
      </c>
      <c r="R212">
        <v>32</v>
      </c>
      <c r="S212">
        <v>0</v>
      </c>
      <c r="T212">
        <v>0</v>
      </c>
      <c r="U212">
        <v>34.68421053</v>
      </c>
      <c r="V212">
        <v>0.01299436</v>
      </c>
      <c r="W212">
        <v>32</v>
      </c>
      <c r="X212">
        <v>19.99553671</v>
      </c>
      <c r="Y212">
        <v>1.60714286</v>
      </c>
      <c r="Z212">
        <v>1.60035714</v>
      </c>
      <c r="AA212" s="2">
        <v>1</v>
      </c>
      <c r="AB212" s="2">
        <v>10</v>
      </c>
      <c r="AC212" s="2">
        <v>14</v>
      </c>
      <c r="AD212" s="2">
        <v>45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</row>
    <row r="213" spans="1:40">
      <c r="A213" t="s">
        <v>131</v>
      </c>
      <c r="B213" t="s">
        <v>315</v>
      </c>
      <c r="C213" t="s">
        <v>316</v>
      </c>
      <c r="D213" t="s">
        <v>317</v>
      </c>
      <c r="E213" t="s">
        <v>135</v>
      </c>
      <c r="F213" t="s">
        <v>42</v>
      </c>
      <c r="G213" t="s">
        <v>318</v>
      </c>
      <c r="H213" t="s">
        <v>319</v>
      </c>
      <c r="I213" t="s">
        <v>138</v>
      </c>
      <c r="J213" t="s">
        <v>139</v>
      </c>
      <c r="K213" t="s">
        <v>97</v>
      </c>
      <c r="L213" t="s">
        <v>140</v>
      </c>
      <c r="M213" t="s">
        <v>25</v>
      </c>
      <c r="N213" t="s">
        <v>141</v>
      </c>
      <c r="O213" t="s">
        <v>20</v>
      </c>
      <c r="P213">
        <v>32</v>
      </c>
      <c r="Q213" s="17">
        <v>32</v>
      </c>
      <c r="R213">
        <v>30</v>
      </c>
      <c r="S213">
        <v>0</v>
      </c>
      <c r="T213">
        <v>0</v>
      </c>
      <c r="U213">
        <v>41.57894737</v>
      </c>
      <c r="V213">
        <v>0.01814212</v>
      </c>
      <c r="W213">
        <v>30</v>
      </c>
      <c r="X213">
        <v>12.52609603</v>
      </c>
      <c r="Y213">
        <v>0.78571429</v>
      </c>
      <c r="Z213">
        <v>2.395</v>
      </c>
      <c r="AA213" s="2">
        <v>2</v>
      </c>
      <c r="AB213" s="2">
        <v>10</v>
      </c>
      <c r="AC213" s="2">
        <v>11</v>
      </c>
      <c r="AD213" s="2">
        <v>23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40</v>
      </c>
      <c r="AN213">
        <v>0</v>
      </c>
    </row>
    <row r="214" spans="1:40">
      <c r="A214" t="s">
        <v>131</v>
      </c>
      <c r="B214" t="s">
        <v>232</v>
      </c>
      <c r="C214" t="s">
        <v>233</v>
      </c>
      <c r="D214" t="s">
        <v>234</v>
      </c>
      <c r="E214" t="s">
        <v>135</v>
      </c>
      <c r="F214" t="s">
        <v>23</v>
      </c>
      <c r="G214" t="s">
        <v>235</v>
      </c>
      <c r="H214" t="s">
        <v>236</v>
      </c>
      <c r="I214" t="s">
        <v>215</v>
      </c>
      <c r="J214" t="s">
        <v>148</v>
      </c>
      <c r="K214" t="s">
        <v>76</v>
      </c>
      <c r="L214" t="s">
        <v>216</v>
      </c>
      <c r="M214" t="s">
        <v>17</v>
      </c>
      <c r="N214" t="s">
        <v>141</v>
      </c>
      <c r="O214" t="s">
        <v>20</v>
      </c>
      <c r="P214">
        <v>31</v>
      </c>
      <c r="Q214" s="17">
        <v>31</v>
      </c>
      <c r="R214">
        <v>31</v>
      </c>
      <c r="S214">
        <v>0</v>
      </c>
      <c r="T214">
        <v>0</v>
      </c>
      <c r="U214">
        <v>66.44444444</v>
      </c>
      <c r="V214">
        <v>0.01738079</v>
      </c>
      <c r="W214">
        <v>31</v>
      </c>
      <c r="X214">
        <v>32.46073298</v>
      </c>
      <c r="Y214">
        <v>0.53571429</v>
      </c>
      <c r="Z214">
        <v>0.955</v>
      </c>
      <c r="AA214" s="2">
        <v>0</v>
      </c>
      <c r="AB214" s="2">
        <v>3</v>
      </c>
      <c r="AC214" s="2">
        <v>6</v>
      </c>
      <c r="AD214" s="2">
        <v>15</v>
      </c>
      <c r="AE214">
        <v>0</v>
      </c>
      <c r="AF214">
        <v>0</v>
      </c>
      <c r="AG214">
        <v>0</v>
      </c>
      <c r="AH214">
        <v>21</v>
      </c>
      <c r="AI214">
        <v>0.72</v>
      </c>
      <c r="AJ214">
        <v>0</v>
      </c>
      <c r="AK214">
        <v>0</v>
      </c>
      <c r="AL214">
        <v>0</v>
      </c>
      <c r="AM214">
        <v>10</v>
      </c>
      <c r="AN214">
        <v>0</v>
      </c>
    </row>
    <row r="215" spans="1:40">
      <c r="A215" t="s">
        <v>131</v>
      </c>
      <c r="B215" t="s">
        <v>232</v>
      </c>
      <c r="C215" t="s">
        <v>233</v>
      </c>
      <c r="D215" t="s">
        <v>234</v>
      </c>
      <c r="E215" t="s">
        <v>135</v>
      </c>
      <c r="F215" t="s">
        <v>23</v>
      </c>
      <c r="G215" t="s">
        <v>235</v>
      </c>
      <c r="H215" t="s">
        <v>236</v>
      </c>
      <c r="I215" t="s">
        <v>173</v>
      </c>
      <c r="J215" t="s">
        <v>148</v>
      </c>
      <c r="K215" t="s">
        <v>98</v>
      </c>
      <c r="L215" t="s">
        <v>174</v>
      </c>
      <c r="M215" t="s">
        <v>17</v>
      </c>
      <c r="N215" t="s">
        <v>141</v>
      </c>
      <c r="O215" t="s">
        <v>20</v>
      </c>
      <c r="P215">
        <v>30</v>
      </c>
      <c r="Q215" s="17">
        <v>30</v>
      </c>
      <c r="R215">
        <v>30</v>
      </c>
      <c r="S215">
        <v>0</v>
      </c>
      <c r="T215">
        <v>0</v>
      </c>
      <c r="U215">
        <v>31.65625</v>
      </c>
      <c r="V215">
        <v>0.01808693</v>
      </c>
      <c r="W215">
        <v>30</v>
      </c>
      <c r="X215">
        <v>10.42312942</v>
      </c>
      <c r="Y215">
        <v>1.71428571</v>
      </c>
      <c r="Z215">
        <v>2.87821429</v>
      </c>
      <c r="AA215" s="2">
        <v>1</v>
      </c>
      <c r="AB215" s="2">
        <v>11</v>
      </c>
      <c r="AC215" s="2">
        <v>24</v>
      </c>
      <c r="AD215" s="2">
        <v>49</v>
      </c>
      <c r="AE215">
        <v>0</v>
      </c>
      <c r="AF215">
        <v>0</v>
      </c>
      <c r="AG215">
        <v>0</v>
      </c>
      <c r="AH215">
        <v>29</v>
      </c>
      <c r="AI215">
        <v>0</v>
      </c>
      <c r="AJ215">
        <v>0</v>
      </c>
      <c r="AK215">
        <v>0</v>
      </c>
      <c r="AL215">
        <v>0</v>
      </c>
      <c r="AM215">
        <v>75</v>
      </c>
      <c r="AN215">
        <v>0</v>
      </c>
    </row>
    <row r="216" spans="1:40">
      <c r="A216" t="s">
        <v>131</v>
      </c>
      <c r="B216" t="s">
        <v>142</v>
      </c>
      <c r="C216" t="s">
        <v>143</v>
      </c>
      <c r="D216" t="s">
        <v>144</v>
      </c>
      <c r="E216" t="s">
        <v>135</v>
      </c>
      <c r="F216" t="s">
        <v>19</v>
      </c>
      <c r="G216" t="s">
        <v>145</v>
      </c>
      <c r="H216" t="s">
        <v>146</v>
      </c>
      <c r="I216" t="s">
        <v>320</v>
      </c>
      <c r="J216" t="s">
        <v>280</v>
      </c>
      <c r="K216" t="s">
        <v>15</v>
      </c>
      <c r="L216" t="s">
        <v>321</v>
      </c>
      <c r="M216" t="s">
        <v>17</v>
      </c>
      <c r="N216" t="s">
        <v>141</v>
      </c>
      <c r="O216" t="s">
        <v>20</v>
      </c>
      <c r="P216">
        <v>30</v>
      </c>
      <c r="Q216" s="17">
        <v>29</v>
      </c>
      <c r="R216">
        <v>29</v>
      </c>
      <c r="S216">
        <v>0.03333333</v>
      </c>
      <c r="T216">
        <v>1</v>
      </c>
      <c r="U216">
        <v>8.69677419</v>
      </c>
      <c r="V216">
        <v>-0.05255987</v>
      </c>
      <c r="W216">
        <v>29</v>
      </c>
      <c r="X216">
        <v>3.14095621</v>
      </c>
      <c r="Y216">
        <v>7.35714286</v>
      </c>
      <c r="Z216">
        <v>9.23285714</v>
      </c>
      <c r="AA216" s="2">
        <v>14</v>
      </c>
      <c r="AB216" s="2">
        <v>71</v>
      </c>
      <c r="AC216" s="2">
        <v>114</v>
      </c>
      <c r="AD216" s="2">
        <v>222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84</v>
      </c>
      <c r="AM216">
        <v>0</v>
      </c>
      <c r="AN216">
        <v>0</v>
      </c>
    </row>
    <row r="217" spans="1:40">
      <c r="A217" t="s">
        <v>131</v>
      </c>
      <c r="B217" t="s">
        <v>142</v>
      </c>
      <c r="C217" t="s">
        <v>143</v>
      </c>
      <c r="D217" t="s">
        <v>144</v>
      </c>
      <c r="E217" t="s">
        <v>135</v>
      </c>
      <c r="F217" t="s">
        <v>19</v>
      </c>
      <c r="G217" t="s">
        <v>145</v>
      </c>
      <c r="H217" t="s">
        <v>146</v>
      </c>
      <c r="I217" t="s">
        <v>322</v>
      </c>
      <c r="J217" t="s">
        <v>280</v>
      </c>
      <c r="K217" t="s">
        <v>27</v>
      </c>
      <c r="L217" t="s">
        <v>323</v>
      </c>
      <c r="M217" t="s">
        <v>17</v>
      </c>
      <c r="N217" t="s">
        <v>141</v>
      </c>
      <c r="O217" t="s">
        <v>20</v>
      </c>
      <c r="P217">
        <v>30</v>
      </c>
      <c r="Q217" s="17">
        <v>29</v>
      </c>
      <c r="R217">
        <v>29</v>
      </c>
      <c r="S217">
        <v>0.03333333</v>
      </c>
      <c r="T217">
        <v>1</v>
      </c>
      <c r="U217">
        <v>5.23493976</v>
      </c>
      <c r="V217">
        <v>-0.07902751</v>
      </c>
      <c r="W217">
        <v>29</v>
      </c>
      <c r="X217">
        <v>3.50407802</v>
      </c>
      <c r="Y217">
        <v>7.75</v>
      </c>
      <c r="Z217">
        <v>8.27607143</v>
      </c>
      <c r="AA217" s="2">
        <v>33</v>
      </c>
      <c r="AB217" s="2">
        <v>73</v>
      </c>
      <c r="AC217" s="2">
        <v>129</v>
      </c>
      <c r="AD217" s="2">
        <v>231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22</v>
      </c>
      <c r="AM217">
        <v>0</v>
      </c>
      <c r="AN217">
        <v>0</v>
      </c>
    </row>
    <row r="218" spans="1:40">
      <c r="A218" t="s">
        <v>131</v>
      </c>
      <c r="B218" t="s">
        <v>166</v>
      </c>
      <c r="C218" t="s">
        <v>167</v>
      </c>
      <c r="D218" t="s">
        <v>168</v>
      </c>
      <c r="E218" t="s">
        <v>135</v>
      </c>
      <c r="F218" t="s">
        <v>65</v>
      </c>
      <c r="G218" t="s">
        <v>169</v>
      </c>
      <c r="H218" t="s">
        <v>170</v>
      </c>
      <c r="I218" t="s">
        <v>203</v>
      </c>
      <c r="J218" t="s">
        <v>139</v>
      </c>
      <c r="K218" t="s">
        <v>88</v>
      </c>
      <c r="L218" t="s">
        <v>204</v>
      </c>
      <c r="M218" t="s">
        <v>17</v>
      </c>
      <c r="N218" t="s">
        <v>141</v>
      </c>
      <c r="O218" t="s">
        <v>20</v>
      </c>
      <c r="P218">
        <v>30</v>
      </c>
      <c r="Q218" s="17">
        <v>30</v>
      </c>
      <c r="R218">
        <v>30</v>
      </c>
      <c r="S218">
        <v>0</v>
      </c>
      <c r="T218">
        <v>0</v>
      </c>
      <c r="U218">
        <v>11.40677966</v>
      </c>
      <c r="V218">
        <v>-0.01363815</v>
      </c>
      <c r="W218">
        <v>30</v>
      </c>
      <c r="X218">
        <v>9.08795846</v>
      </c>
      <c r="Y218">
        <v>2.14285714</v>
      </c>
      <c r="Z218">
        <v>3.30107143</v>
      </c>
      <c r="AA218" s="2">
        <v>0</v>
      </c>
      <c r="AB218" s="2">
        <v>10</v>
      </c>
      <c r="AC218" s="2">
        <v>48</v>
      </c>
      <c r="AD218" s="2">
        <v>60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120</v>
      </c>
      <c r="AN218">
        <v>0</v>
      </c>
    </row>
    <row r="219" spans="1:40">
      <c r="A219" t="s">
        <v>131</v>
      </c>
      <c r="B219" t="s">
        <v>269</v>
      </c>
      <c r="C219" t="s">
        <v>270</v>
      </c>
      <c r="D219" t="s">
        <v>271</v>
      </c>
      <c r="E219" t="s">
        <v>135</v>
      </c>
      <c r="F219" t="s">
        <v>60</v>
      </c>
      <c r="G219" t="s">
        <v>272</v>
      </c>
      <c r="H219" t="s">
        <v>273</v>
      </c>
      <c r="I219" t="s">
        <v>215</v>
      </c>
      <c r="J219" t="s">
        <v>148</v>
      </c>
      <c r="K219" t="s">
        <v>76</v>
      </c>
      <c r="L219" t="s">
        <v>216</v>
      </c>
      <c r="M219" t="s">
        <v>17</v>
      </c>
      <c r="N219" t="s">
        <v>141</v>
      </c>
      <c r="O219" t="s">
        <v>20</v>
      </c>
      <c r="P219">
        <v>29</v>
      </c>
      <c r="Q219" s="17">
        <v>29</v>
      </c>
      <c r="R219">
        <v>29</v>
      </c>
      <c r="S219">
        <v>0</v>
      </c>
      <c r="T219">
        <v>0</v>
      </c>
      <c r="U219">
        <v>12.1025641</v>
      </c>
      <c r="V219">
        <v>-0.00794081</v>
      </c>
      <c r="W219">
        <v>29</v>
      </c>
      <c r="X219">
        <v>22.55555556</v>
      </c>
      <c r="Y219">
        <v>1.42857143</v>
      </c>
      <c r="Z219">
        <v>1.28571429</v>
      </c>
      <c r="AA219" s="2">
        <v>0</v>
      </c>
      <c r="AB219" s="2">
        <v>19</v>
      </c>
      <c r="AC219" s="2">
        <v>32</v>
      </c>
      <c r="AD219" s="2">
        <v>40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28</v>
      </c>
      <c r="AN219">
        <v>0</v>
      </c>
    </row>
    <row r="220" spans="1:40">
      <c r="A220" t="s">
        <v>131</v>
      </c>
      <c r="B220" t="s">
        <v>179</v>
      </c>
      <c r="C220" t="s">
        <v>180</v>
      </c>
      <c r="D220" t="s">
        <v>181</v>
      </c>
      <c r="E220" t="s">
        <v>135</v>
      </c>
      <c r="F220" t="s">
        <v>21</v>
      </c>
      <c r="G220" t="s">
        <v>182</v>
      </c>
      <c r="H220" t="s">
        <v>183</v>
      </c>
      <c r="I220" t="s">
        <v>320</v>
      </c>
      <c r="J220" t="s">
        <v>280</v>
      </c>
      <c r="K220" t="s">
        <v>15</v>
      </c>
      <c r="L220" t="s">
        <v>321</v>
      </c>
      <c r="M220" t="s">
        <v>17</v>
      </c>
      <c r="N220" t="s">
        <v>141</v>
      </c>
      <c r="O220" t="s">
        <v>20</v>
      </c>
      <c r="P220">
        <v>29</v>
      </c>
      <c r="Q220" s="17">
        <v>29</v>
      </c>
      <c r="R220">
        <v>29</v>
      </c>
      <c r="S220">
        <v>0</v>
      </c>
      <c r="T220">
        <v>0</v>
      </c>
      <c r="U220">
        <v>3.75384615</v>
      </c>
      <c r="V220">
        <v>-0.03461137</v>
      </c>
      <c r="W220">
        <v>29</v>
      </c>
      <c r="X220">
        <v>9.70595267</v>
      </c>
      <c r="Y220">
        <v>3.82142857</v>
      </c>
      <c r="Z220">
        <v>2.98785714</v>
      </c>
      <c r="AA220" s="2">
        <v>5</v>
      </c>
      <c r="AB220" s="2">
        <v>34</v>
      </c>
      <c r="AC220" s="2">
        <v>57</v>
      </c>
      <c r="AD220" s="2">
        <v>117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</row>
    <row r="221" spans="1:40">
      <c r="A221" t="s">
        <v>131</v>
      </c>
      <c r="B221" t="s">
        <v>179</v>
      </c>
      <c r="C221" t="s">
        <v>180</v>
      </c>
      <c r="D221" t="s">
        <v>181</v>
      </c>
      <c r="E221" t="s">
        <v>135</v>
      </c>
      <c r="F221" t="s">
        <v>21</v>
      </c>
      <c r="G221" t="s">
        <v>182</v>
      </c>
      <c r="H221" t="s">
        <v>183</v>
      </c>
      <c r="I221" t="s">
        <v>230</v>
      </c>
      <c r="J221" t="s">
        <v>148</v>
      </c>
      <c r="K221" t="s">
        <v>91</v>
      </c>
      <c r="L221" t="s">
        <v>231</v>
      </c>
      <c r="M221" t="s">
        <v>17</v>
      </c>
      <c r="N221" t="s">
        <v>141</v>
      </c>
      <c r="O221" t="s">
        <v>20</v>
      </c>
      <c r="P221">
        <v>29</v>
      </c>
      <c r="Q221" s="17">
        <v>29</v>
      </c>
      <c r="R221">
        <v>27</v>
      </c>
      <c r="S221">
        <v>0</v>
      </c>
      <c r="T221">
        <v>0</v>
      </c>
      <c r="U221">
        <v>12.40151515</v>
      </c>
      <c r="V221">
        <v>-0.02541765</v>
      </c>
      <c r="W221">
        <v>27</v>
      </c>
      <c r="X221">
        <v>3.87255404</v>
      </c>
      <c r="Y221">
        <v>5.5</v>
      </c>
      <c r="Z221">
        <v>6.97214286</v>
      </c>
      <c r="AA221" s="2">
        <v>8</v>
      </c>
      <c r="AB221" s="2">
        <v>45</v>
      </c>
      <c r="AC221" s="2">
        <v>91</v>
      </c>
      <c r="AD221" s="2">
        <v>164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323</v>
      </c>
      <c r="AN221">
        <v>0</v>
      </c>
    </row>
    <row r="222" spans="1:40">
      <c r="A222" t="s">
        <v>131</v>
      </c>
      <c r="B222" t="s">
        <v>191</v>
      </c>
      <c r="C222" t="s">
        <v>192</v>
      </c>
      <c r="D222" t="s">
        <v>193</v>
      </c>
      <c r="E222" t="s">
        <v>135</v>
      </c>
      <c r="F222" t="s">
        <v>49</v>
      </c>
      <c r="G222" t="s">
        <v>194</v>
      </c>
      <c r="H222" t="s">
        <v>195</v>
      </c>
      <c r="I222" t="s">
        <v>217</v>
      </c>
      <c r="J222" t="s">
        <v>148</v>
      </c>
      <c r="K222" t="s">
        <v>84</v>
      </c>
      <c r="L222" t="s">
        <v>218</v>
      </c>
      <c r="M222" t="s">
        <v>25</v>
      </c>
      <c r="N222" t="s">
        <v>141</v>
      </c>
      <c r="O222" t="s">
        <v>20</v>
      </c>
      <c r="P222">
        <v>29</v>
      </c>
      <c r="Q222" s="17">
        <v>29</v>
      </c>
      <c r="R222">
        <v>29</v>
      </c>
      <c r="S222">
        <v>0</v>
      </c>
      <c r="T222">
        <v>0</v>
      </c>
      <c r="U222">
        <v>14.74074074</v>
      </c>
      <c r="V222">
        <v>-0.00269494</v>
      </c>
      <c r="W222">
        <v>29</v>
      </c>
      <c r="X222">
        <v>14.50258975</v>
      </c>
      <c r="Y222">
        <v>1.78571429</v>
      </c>
      <c r="Z222">
        <v>1.99964286</v>
      </c>
      <c r="AA222" s="2">
        <v>1</v>
      </c>
      <c r="AB222" s="2">
        <v>7</v>
      </c>
      <c r="AC222" s="2">
        <v>17</v>
      </c>
      <c r="AD222" s="2">
        <v>51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18</v>
      </c>
      <c r="AM222">
        <v>0</v>
      </c>
      <c r="AN222">
        <v>0</v>
      </c>
    </row>
    <row r="223" spans="1:40">
      <c r="A223" t="s">
        <v>131</v>
      </c>
      <c r="B223" t="s">
        <v>237</v>
      </c>
      <c r="C223" t="s">
        <v>238</v>
      </c>
      <c r="D223" t="s">
        <v>239</v>
      </c>
      <c r="E223" t="s">
        <v>135</v>
      </c>
      <c r="F223" t="s">
        <v>62</v>
      </c>
      <c r="G223" t="s">
        <v>240</v>
      </c>
      <c r="H223" t="s">
        <v>241</v>
      </c>
      <c r="I223" t="s">
        <v>171</v>
      </c>
      <c r="J223" t="s">
        <v>148</v>
      </c>
      <c r="K223" t="s">
        <v>75</v>
      </c>
      <c r="L223" t="s">
        <v>172</v>
      </c>
      <c r="M223" t="s">
        <v>17</v>
      </c>
      <c r="N223" t="s">
        <v>141</v>
      </c>
      <c r="O223" t="s">
        <v>20</v>
      </c>
      <c r="P223">
        <v>29</v>
      </c>
      <c r="Q223" s="17">
        <v>29</v>
      </c>
      <c r="R223">
        <v>29</v>
      </c>
      <c r="S223">
        <v>0</v>
      </c>
      <c r="T223">
        <v>0</v>
      </c>
      <c r="U223">
        <v>22.72</v>
      </c>
      <c r="V223">
        <v>0.00534552</v>
      </c>
      <c r="W223">
        <v>29</v>
      </c>
      <c r="X223">
        <v>29.78723404</v>
      </c>
      <c r="Y223">
        <v>0.89285714</v>
      </c>
      <c r="Z223">
        <v>0.97357143</v>
      </c>
      <c r="AA223" s="2">
        <v>2</v>
      </c>
      <c r="AB223" s="2">
        <v>9</v>
      </c>
      <c r="AC223" s="2">
        <v>24</v>
      </c>
      <c r="AD223" s="2">
        <v>25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8</v>
      </c>
      <c r="AN223">
        <v>0</v>
      </c>
    </row>
    <row r="224" spans="1:40">
      <c r="A224" t="s">
        <v>131</v>
      </c>
      <c r="B224" t="s">
        <v>159</v>
      </c>
      <c r="C224" t="s">
        <v>160</v>
      </c>
      <c r="D224" t="s">
        <v>161</v>
      </c>
      <c r="E224" t="s">
        <v>135</v>
      </c>
      <c r="F224" t="s">
        <v>59</v>
      </c>
      <c r="G224" t="s">
        <v>162</v>
      </c>
      <c r="H224" t="s">
        <v>163</v>
      </c>
      <c r="I224" t="s">
        <v>177</v>
      </c>
      <c r="J224" t="s">
        <v>148</v>
      </c>
      <c r="K224" t="s">
        <v>69</v>
      </c>
      <c r="L224" t="s">
        <v>178</v>
      </c>
      <c r="M224" t="s">
        <v>17</v>
      </c>
      <c r="N224" t="s">
        <v>141</v>
      </c>
      <c r="O224" t="s">
        <v>20</v>
      </c>
      <c r="P224">
        <v>29</v>
      </c>
      <c r="Q224" s="17">
        <v>29</v>
      </c>
      <c r="R224">
        <v>29</v>
      </c>
      <c r="S224">
        <v>0</v>
      </c>
      <c r="T224">
        <v>0</v>
      </c>
      <c r="U224">
        <v>13.54385965</v>
      </c>
      <c r="V224">
        <v>-0.00838089</v>
      </c>
      <c r="W224">
        <v>29</v>
      </c>
      <c r="X224">
        <v>4.57748464</v>
      </c>
      <c r="Y224">
        <v>2.10714286</v>
      </c>
      <c r="Z224">
        <v>6.33535714</v>
      </c>
      <c r="AA224" s="2">
        <v>3</v>
      </c>
      <c r="AB224" s="2">
        <v>13</v>
      </c>
      <c r="AC224" s="2">
        <v>34</v>
      </c>
      <c r="AD224" s="2">
        <v>59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226</v>
      </c>
      <c r="AN224">
        <v>0</v>
      </c>
    </row>
    <row r="225" spans="1:40">
      <c r="A225" t="s">
        <v>131</v>
      </c>
      <c r="B225" t="s">
        <v>242</v>
      </c>
      <c r="C225" t="s">
        <v>243</v>
      </c>
      <c r="D225" t="s">
        <v>244</v>
      </c>
      <c r="E225" t="s">
        <v>135</v>
      </c>
      <c r="F225" t="s">
        <v>24</v>
      </c>
      <c r="G225" t="s">
        <v>245</v>
      </c>
      <c r="H225" t="s">
        <v>246</v>
      </c>
      <c r="I225" t="s">
        <v>171</v>
      </c>
      <c r="J225" t="s">
        <v>148</v>
      </c>
      <c r="K225" t="s">
        <v>75</v>
      </c>
      <c r="L225" t="s">
        <v>172</v>
      </c>
      <c r="M225" t="s">
        <v>25</v>
      </c>
      <c r="N225" t="s">
        <v>141</v>
      </c>
      <c r="O225" t="s">
        <v>20</v>
      </c>
      <c r="P225">
        <v>28</v>
      </c>
      <c r="Q225" s="17">
        <v>27</v>
      </c>
      <c r="R225">
        <v>27</v>
      </c>
      <c r="S225">
        <v>0.03571429</v>
      </c>
      <c r="T225">
        <v>1</v>
      </c>
      <c r="U225">
        <v>13.33333333</v>
      </c>
      <c r="V225">
        <v>-0.00279144</v>
      </c>
      <c r="W225">
        <v>27</v>
      </c>
      <c r="X225">
        <v>26.27737226</v>
      </c>
      <c r="Y225">
        <v>0.78571429</v>
      </c>
      <c r="Z225">
        <v>1.0275</v>
      </c>
      <c r="AA225" s="2">
        <v>0</v>
      </c>
      <c r="AB225" s="2">
        <v>4</v>
      </c>
      <c r="AC225" s="2">
        <v>12</v>
      </c>
      <c r="AD225" s="2">
        <v>23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</row>
    <row r="226" spans="1:40">
      <c r="A226" t="s">
        <v>131</v>
      </c>
      <c r="B226" t="s">
        <v>142</v>
      </c>
      <c r="C226" t="s">
        <v>143</v>
      </c>
      <c r="D226" t="s">
        <v>144</v>
      </c>
      <c r="E226" t="s">
        <v>135</v>
      </c>
      <c r="F226" t="s">
        <v>19</v>
      </c>
      <c r="G226" t="s">
        <v>145</v>
      </c>
      <c r="H226" t="s">
        <v>146</v>
      </c>
      <c r="I226" t="s">
        <v>324</v>
      </c>
      <c r="J226" t="s">
        <v>280</v>
      </c>
      <c r="K226" t="s">
        <v>32</v>
      </c>
      <c r="L226" t="s">
        <v>325</v>
      </c>
      <c r="M226" t="s">
        <v>17</v>
      </c>
      <c r="N226" t="s">
        <v>141</v>
      </c>
      <c r="O226" t="s">
        <v>20</v>
      </c>
      <c r="P226">
        <v>28</v>
      </c>
      <c r="Q226" s="17">
        <v>27</v>
      </c>
      <c r="R226">
        <v>27</v>
      </c>
      <c r="S226">
        <v>0.03571429</v>
      </c>
      <c r="T226">
        <v>1</v>
      </c>
      <c r="U226">
        <v>13.1</v>
      </c>
      <c r="V226">
        <v>-0.00328524</v>
      </c>
      <c r="W226">
        <v>27</v>
      </c>
      <c r="X226">
        <v>20.80924855</v>
      </c>
      <c r="Y226">
        <v>0.78571429</v>
      </c>
      <c r="Z226">
        <v>1.2975</v>
      </c>
      <c r="AA226" s="2">
        <v>0</v>
      </c>
      <c r="AB226" s="2">
        <v>13</v>
      </c>
      <c r="AC226" s="2">
        <v>16</v>
      </c>
      <c r="AD226" s="2">
        <v>27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</row>
    <row r="227" spans="1:40">
      <c r="A227" t="s">
        <v>131</v>
      </c>
      <c r="B227" t="s">
        <v>191</v>
      </c>
      <c r="C227" t="s">
        <v>192</v>
      </c>
      <c r="D227" t="s">
        <v>193</v>
      </c>
      <c r="E227" t="s">
        <v>135</v>
      </c>
      <c r="F227" t="s">
        <v>49</v>
      </c>
      <c r="G227" t="s">
        <v>194</v>
      </c>
      <c r="H227" t="s">
        <v>195</v>
      </c>
      <c r="I227" t="s">
        <v>147</v>
      </c>
      <c r="J227" t="s">
        <v>148</v>
      </c>
      <c r="K227" t="s">
        <v>58</v>
      </c>
      <c r="L227" t="s">
        <v>149</v>
      </c>
      <c r="M227" t="s">
        <v>25</v>
      </c>
      <c r="N227" t="s">
        <v>141</v>
      </c>
      <c r="O227" t="s">
        <v>20</v>
      </c>
      <c r="P227">
        <v>28</v>
      </c>
      <c r="Q227" s="17">
        <v>28</v>
      </c>
      <c r="R227">
        <v>28</v>
      </c>
      <c r="S227">
        <v>0</v>
      </c>
      <c r="T227">
        <v>0</v>
      </c>
      <c r="U227">
        <v>15.65384615</v>
      </c>
      <c r="V227">
        <v>-0.00166185</v>
      </c>
      <c r="W227">
        <v>28</v>
      </c>
      <c r="X227">
        <v>18.41240019</v>
      </c>
      <c r="Y227">
        <v>1.42857143</v>
      </c>
      <c r="Z227">
        <v>1.52071429</v>
      </c>
      <c r="AA227" s="2">
        <v>1</v>
      </c>
      <c r="AB227" s="2">
        <v>11</v>
      </c>
      <c r="AC227" s="2">
        <v>13</v>
      </c>
      <c r="AD227" s="2">
        <v>40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6</v>
      </c>
      <c r="AM227">
        <v>0</v>
      </c>
      <c r="AN227">
        <v>0</v>
      </c>
    </row>
    <row r="228" spans="1:40">
      <c r="A228" t="s">
        <v>131</v>
      </c>
      <c r="B228" t="s">
        <v>269</v>
      </c>
      <c r="C228" t="s">
        <v>270</v>
      </c>
      <c r="D228" t="s">
        <v>271</v>
      </c>
      <c r="E228" t="s">
        <v>135</v>
      </c>
      <c r="F228" t="s">
        <v>60</v>
      </c>
      <c r="G228" t="s">
        <v>272</v>
      </c>
      <c r="H228" t="s">
        <v>273</v>
      </c>
      <c r="I228" t="s">
        <v>175</v>
      </c>
      <c r="J228" t="s">
        <v>139</v>
      </c>
      <c r="K228" t="s">
        <v>74</v>
      </c>
      <c r="L228" t="s">
        <v>176</v>
      </c>
      <c r="M228" t="s">
        <v>17</v>
      </c>
      <c r="N228" t="s">
        <v>141</v>
      </c>
      <c r="O228" t="s">
        <v>20</v>
      </c>
      <c r="P228">
        <v>27</v>
      </c>
      <c r="Q228" s="17">
        <v>27</v>
      </c>
      <c r="R228">
        <v>26</v>
      </c>
      <c r="S228">
        <v>0</v>
      </c>
      <c r="T228">
        <v>0</v>
      </c>
      <c r="U228">
        <v>9.93103448</v>
      </c>
      <c r="V228">
        <v>-0.00837798</v>
      </c>
      <c r="W228">
        <v>26</v>
      </c>
      <c r="X228">
        <v>13.68421053</v>
      </c>
      <c r="Y228">
        <v>1.42857143</v>
      </c>
      <c r="Z228">
        <v>1.9</v>
      </c>
      <c r="AA228" s="2">
        <v>9</v>
      </c>
      <c r="AB228" s="2">
        <v>15</v>
      </c>
      <c r="AC228" s="2">
        <v>22</v>
      </c>
      <c r="AD228" s="2">
        <v>40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22</v>
      </c>
      <c r="AN228">
        <v>0</v>
      </c>
    </row>
    <row r="229" spans="1:40">
      <c r="A229" t="s">
        <v>131</v>
      </c>
      <c r="B229" t="s">
        <v>142</v>
      </c>
      <c r="C229" t="s">
        <v>143</v>
      </c>
      <c r="D229" t="s">
        <v>144</v>
      </c>
      <c r="E229" t="s">
        <v>135</v>
      </c>
      <c r="F229" t="s">
        <v>19</v>
      </c>
      <c r="G229" t="s">
        <v>145</v>
      </c>
      <c r="H229" t="s">
        <v>146</v>
      </c>
      <c r="I229" t="s">
        <v>326</v>
      </c>
      <c r="J229" t="s">
        <v>280</v>
      </c>
      <c r="K229" t="s">
        <v>22</v>
      </c>
      <c r="L229" t="s">
        <v>327</v>
      </c>
      <c r="M229" t="s">
        <v>17</v>
      </c>
      <c r="N229" t="s">
        <v>141</v>
      </c>
      <c r="O229" t="s">
        <v>20</v>
      </c>
      <c r="P229">
        <v>27</v>
      </c>
      <c r="Q229" s="17">
        <v>26</v>
      </c>
      <c r="R229">
        <v>26</v>
      </c>
      <c r="S229">
        <v>0.03703704</v>
      </c>
      <c r="T229">
        <v>1</v>
      </c>
      <c r="U229">
        <v>4.43835616</v>
      </c>
      <c r="V229">
        <v>-0.03691572</v>
      </c>
      <c r="W229">
        <v>26</v>
      </c>
      <c r="X229">
        <v>5.95501022</v>
      </c>
      <c r="Y229">
        <v>3.07142857</v>
      </c>
      <c r="Z229">
        <v>4.36607143</v>
      </c>
      <c r="AA229" s="2">
        <v>10</v>
      </c>
      <c r="AB229" s="2">
        <v>30</v>
      </c>
      <c r="AC229" s="2">
        <v>58</v>
      </c>
      <c r="AD229" s="2">
        <v>86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</row>
    <row r="230" spans="1:40">
      <c r="A230" t="s">
        <v>131</v>
      </c>
      <c r="B230" t="s">
        <v>191</v>
      </c>
      <c r="C230" t="s">
        <v>192</v>
      </c>
      <c r="D230" t="s">
        <v>193</v>
      </c>
      <c r="E230" t="s">
        <v>135</v>
      </c>
      <c r="F230" t="s">
        <v>49</v>
      </c>
      <c r="G230" t="s">
        <v>194</v>
      </c>
      <c r="H230" t="s">
        <v>195</v>
      </c>
      <c r="I230" t="s">
        <v>215</v>
      </c>
      <c r="J230" t="s">
        <v>148</v>
      </c>
      <c r="K230" t="s">
        <v>76</v>
      </c>
      <c r="L230" t="s">
        <v>216</v>
      </c>
      <c r="M230" t="s">
        <v>25</v>
      </c>
      <c r="N230" t="s">
        <v>141</v>
      </c>
      <c r="O230" t="s">
        <v>20</v>
      </c>
      <c r="P230">
        <v>26</v>
      </c>
      <c r="Q230" s="17">
        <v>26</v>
      </c>
      <c r="R230">
        <v>26</v>
      </c>
      <c r="S230">
        <v>0</v>
      </c>
      <c r="T230">
        <v>0</v>
      </c>
      <c r="U230">
        <v>18.5</v>
      </c>
      <c r="V230">
        <v>0.00105485</v>
      </c>
      <c r="W230">
        <v>26</v>
      </c>
      <c r="X230">
        <v>17.09722875</v>
      </c>
      <c r="Y230">
        <v>1.57142857</v>
      </c>
      <c r="Z230">
        <v>1.52071429</v>
      </c>
      <c r="AA230" s="2">
        <v>0</v>
      </c>
      <c r="AB230" s="2">
        <v>9</v>
      </c>
      <c r="AC230" s="2">
        <v>13</v>
      </c>
      <c r="AD230" s="2">
        <v>44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10</v>
      </c>
      <c r="AM230">
        <v>0</v>
      </c>
      <c r="AN230">
        <v>0</v>
      </c>
    </row>
    <row r="231" spans="1:40">
      <c r="A231" t="s">
        <v>131</v>
      </c>
      <c r="B231" t="s">
        <v>205</v>
      </c>
      <c r="C231" t="s">
        <v>206</v>
      </c>
      <c r="D231" t="s">
        <v>207</v>
      </c>
      <c r="E231" t="s">
        <v>135</v>
      </c>
      <c r="F231" t="s">
        <v>61</v>
      </c>
      <c r="G231" t="s">
        <v>208</v>
      </c>
      <c r="H231" t="s">
        <v>209</v>
      </c>
      <c r="I231" t="s">
        <v>150</v>
      </c>
      <c r="J231" t="s">
        <v>148</v>
      </c>
      <c r="K231" t="s">
        <v>83</v>
      </c>
      <c r="L231" t="s">
        <v>151</v>
      </c>
      <c r="M231" t="s">
        <v>17</v>
      </c>
      <c r="N231" t="s">
        <v>141</v>
      </c>
      <c r="O231" t="s">
        <v>20</v>
      </c>
      <c r="P231">
        <v>26</v>
      </c>
      <c r="Q231" s="17">
        <v>24</v>
      </c>
      <c r="R231">
        <v>24</v>
      </c>
      <c r="S231">
        <v>0.07692308</v>
      </c>
      <c r="T231">
        <v>2</v>
      </c>
      <c r="U231">
        <v>18.5257732</v>
      </c>
      <c r="V231">
        <v>0.00476322</v>
      </c>
      <c r="W231">
        <v>24</v>
      </c>
      <c r="X231">
        <v>3.68805225</v>
      </c>
      <c r="Y231">
        <v>4.14285714</v>
      </c>
      <c r="Z231">
        <v>6.5075</v>
      </c>
      <c r="AA231" s="2">
        <v>2</v>
      </c>
      <c r="AB231" s="2">
        <v>56</v>
      </c>
      <c r="AC231" s="2">
        <v>72</v>
      </c>
      <c r="AD231" s="2">
        <v>122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181</v>
      </c>
      <c r="AN231">
        <v>0</v>
      </c>
    </row>
    <row r="232" spans="1:40">
      <c r="A232" t="s">
        <v>131</v>
      </c>
      <c r="B232" t="s">
        <v>191</v>
      </c>
      <c r="C232" t="s">
        <v>192</v>
      </c>
      <c r="D232" t="s">
        <v>193</v>
      </c>
      <c r="E232" t="s">
        <v>135</v>
      </c>
      <c r="F232" t="s">
        <v>49</v>
      </c>
      <c r="G232" t="s">
        <v>194</v>
      </c>
      <c r="H232" t="s">
        <v>195</v>
      </c>
      <c r="I232" t="s">
        <v>311</v>
      </c>
      <c r="J232" t="s">
        <v>139</v>
      </c>
      <c r="K232" t="s">
        <v>57</v>
      </c>
      <c r="L232" t="s">
        <v>312</v>
      </c>
      <c r="M232" t="s">
        <v>25</v>
      </c>
      <c r="N232" t="s">
        <v>141</v>
      </c>
      <c r="O232" t="s">
        <v>20</v>
      </c>
      <c r="P232">
        <v>25</v>
      </c>
      <c r="Q232" s="17">
        <v>25</v>
      </c>
      <c r="R232">
        <v>25</v>
      </c>
      <c r="S232">
        <v>0</v>
      </c>
      <c r="T232">
        <v>0</v>
      </c>
      <c r="U232">
        <v>33.64285714</v>
      </c>
      <c r="V232">
        <v>0.00900013</v>
      </c>
      <c r="W232">
        <v>25</v>
      </c>
      <c r="X232">
        <v>23.29450915</v>
      </c>
      <c r="Y232">
        <v>0.82142857</v>
      </c>
      <c r="Z232">
        <v>1.07321429</v>
      </c>
      <c r="AA232" s="2">
        <v>0</v>
      </c>
      <c r="AB232" s="2">
        <v>2</v>
      </c>
      <c r="AC232" s="2">
        <v>6</v>
      </c>
      <c r="AD232" s="2">
        <v>26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</row>
    <row r="233" spans="1:40">
      <c r="A233" t="s">
        <v>131</v>
      </c>
      <c r="B233" t="s">
        <v>191</v>
      </c>
      <c r="C233" t="s">
        <v>192</v>
      </c>
      <c r="D233" t="s">
        <v>193</v>
      </c>
      <c r="E233" t="s">
        <v>135</v>
      </c>
      <c r="F233" t="s">
        <v>49</v>
      </c>
      <c r="G233" t="s">
        <v>194</v>
      </c>
      <c r="H233" t="s">
        <v>195</v>
      </c>
      <c r="I233" t="s">
        <v>288</v>
      </c>
      <c r="J233" t="s">
        <v>148</v>
      </c>
      <c r="K233" t="s">
        <v>87</v>
      </c>
      <c r="L233" t="s">
        <v>289</v>
      </c>
      <c r="M233" t="s">
        <v>25</v>
      </c>
      <c r="N233" t="s">
        <v>141</v>
      </c>
      <c r="O233" t="s">
        <v>20</v>
      </c>
      <c r="P233">
        <v>25</v>
      </c>
      <c r="Q233" s="17">
        <v>25</v>
      </c>
      <c r="R233">
        <v>25</v>
      </c>
      <c r="S233">
        <v>0</v>
      </c>
      <c r="T233">
        <v>0</v>
      </c>
      <c r="U233">
        <v>21.8125</v>
      </c>
      <c r="V233">
        <v>0.00284942</v>
      </c>
      <c r="W233">
        <v>25</v>
      </c>
      <c r="X233">
        <v>17.8708195</v>
      </c>
      <c r="Y233">
        <v>1.07142857</v>
      </c>
      <c r="Z233">
        <v>1.39892857</v>
      </c>
      <c r="AA233" s="2">
        <v>0</v>
      </c>
      <c r="AB233" s="2">
        <v>5</v>
      </c>
      <c r="AC233" s="2">
        <v>7</v>
      </c>
      <c r="AD233" s="2">
        <v>31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10</v>
      </c>
      <c r="AM233">
        <v>0</v>
      </c>
      <c r="AN233">
        <v>0</v>
      </c>
    </row>
    <row r="234" spans="1:40">
      <c r="A234" t="s">
        <v>131</v>
      </c>
      <c r="B234" t="s">
        <v>142</v>
      </c>
      <c r="C234" t="s">
        <v>143</v>
      </c>
      <c r="D234" t="s">
        <v>144</v>
      </c>
      <c r="E234" t="s">
        <v>135</v>
      </c>
      <c r="F234" t="s">
        <v>19</v>
      </c>
      <c r="G234" t="s">
        <v>145</v>
      </c>
      <c r="H234" t="s">
        <v>146</v>
      </c>
      <c r="I234" t="s">
        <v>184</v>
      </c>
      <c r="J234" t="s">
        <v>139</v>
      </c>
      <c r="K234" t="s">
        <v>80</v>
      </c>
      <c r="L234" t="s">
        <v>185</v>
      </c>
      <c r="M234" t="s">
        <v>17</v>
      </c>
      <c r="N234" t="s">
        <v>141</v>
      </c>
      <c r="O234" t="s">
        <v>20</v>
      </c>
      <c r="P234">
        <v>24</v>
      </c>
      <c r="Q234" s="17">
        <v>19</v>
      </c>
      <c r="R234">
        <v>0</v>
      </c>
      <c r="S234">
        <v>0.20833333</v>
      </c>
      <c r="T234">
        <v>5</v>
      </c>
      <c r="U234">
        <v>4.40621266</v>
      </c>
      <c r="V234">
        <v>-0.43748823</v>
      </c>
      <c r="W234">
        <v>1</v>
      </c>
      <c r="X234">
        <v>0</v>
      </c>
      <c r="Y234">
        <v>48.32142857</v>
      </c>
      <c r="Z234">
        <v>24.79142857</v>
      </c>
      <c r="AA234" s="2">
        <v>4</v>
      </c>
      <c r="AB234" s="2">
        <v>207</v>
      </c>
      <c r="AC234" s="2">
        <v>799</v>
      </c>
      <c r="AD234" s="2">
        <v>1353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2097</v>
      </c>
      <c r="AN234">
        <v>0</v>
      </c>
    </row>
    <row r="235" spans="1:40">
      <c r="A235" t="s">
        <v>131</v>
      </c>
      <c r="B235" t="s">
        <v>191</v>
      </c>
      <c r="C235" t="s">
        <v>192</v>
      </c>
      <c r="D235" t="s">
        <v>193</v>
      </c>
      <c r="E235" t="s">
        <v>135</v>
      </c>
      <c r="F235" t="s">
        <v>49</v>
      </c>
      <c r="G235" t="s">
        <v>194</v>
      </c>
      <c r="H235" t="s">
        <v>195</v>
      </c>
      <c r="I235" t="s">
        <v>177</v>
      </c>
      <c r="J235" t="s">
        <v>148</v>
      </c>
      <c r="K235" t="s">
        <v>69</v>
      </c>
      <c r="L235" t="s">
        <v>178</v>
      </c>
      <c r="M235" t="s">
        <v>25</v>
      </c>
      <c r="N235" t="s">
        <v>141</v>
      </c>
      <c r="O235" t="s">
        <v>20</v>
      </c>
      <c r="P235">
        <v>24</v>
      </c>
      <c r="Q235" s="17">
        <v>24</v>
      </c>
      <c r="R235">
        <v>24</v>
      </c>
      <c r="S235">
        <v>0</v>
      </c>
      <c r="T235">
        <v>0</v>
      </c>
      <c r="U235">
        <v>35.44444444</v>
      </c>
      <c r="V235">
        <v>0.00642157</v>
      </c>
      <c r="W235">
        <v>24</v>
      </c>
      <c r="X235">
        <v>18.23609227</v>
      </c>
      <c r="Y235">
        <v>1</v>
      </c>
      <c r="Z235">
        <v>1.31607143</v>
      </c>
      <c r="AA235" s="2">
        <v>0</v>
      </c>
      <c r="AB235" s="2">
        <v>2</v>
      </c>
      <c r="AC235" s="2">
        <v>9</v>
      </c>
      <c r="AD235" s="2">
        <v>30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8</v>
      </c>
      <c r="AM235">
        <v>0</v>
      </c>
      <c r="AN235">
        <v>0</v>
      </c>
    </row>
    <row r="236" spans="1:40">
      <c r="A236" t="s">
        <v>131</v>
      </c>
      <c r="B236" t="s">
        <v>191</v>
      </c>
      <c r="C236" t="s">
        <v>192</v>
      </c>
      <c r="D236" t="s">
        <v>193</v>
      </c>
      <c r="E236" t="s">
        <v>135</v>
      </c>
      <c r="F236" t="s">
        <v>49</v>
      </c>
      <c r="G236" t="s">
        <v>194</v>
      </c>
      <c r="H236" t="s">
        <v>195</v>
      </c>
      <c r="I236" t="s">
        <v>152</v>
      </c>
      <c r="J236" t="s">
        <v>148</v>
      </c>
      <c r="K236" t="s">
        <v>79</v>
      </c>
      <c r="L236" t="s">
        <v>153</v>
      </c>
      <c r="M236" t="s">
        <v>25</v>
      </c>
      <c r="N236" t="s">
        <v>141</v>
      </c>
      <c r="O236" t="s">
        <v>20</v>
      </c>
      <c r="P236">
        <v>24</v>
      </c>
      <c r="Q236" s="17">
        <v>24</v>
      </c>
      <c r="R236">
        <v>24</v>
      </c>
      <c r="S236">
        <v>0</v>
      </c>
      <c r="T236">
        <v>0</v>
      </c>
      <c r="U236">
        <v>11.58064516</v>
      </c>
      <c r="V236">
        <v>-0.00694602</v>
      </c>
      <c r="W236">
        <v>24</v>
      </c>
      <c r="X236">
        <v>15.38813831</v>
      </c>
      <c r="Y236">
        <v>1.67857143</v>
      </c>
      <c r="Z236">
        <v>1.55964286</v>
      </c>
      <c r="AA236" s="2">
        <v>1</v>
      </c>
      <c r="AB236" s="2">
        <v>14</v>
      </c>
      <c r="AC236" s="2">
        <v>18</v>
      </c>
      <c r="AD236" s="2">
        <v>47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8</v>
      </c>
      <c r="AM236">
        <v>0</v>
      </c>
      <c r="AN236">
        <v>0</v>
      </c>
    </row>
    <row r="237" spans="1:40">
      <c r="A237" t="s">
        <v>131</v>
      </c>
      <c r="B237" t="s">
        <v>132</v>
      </c>
      <c r="C237" t="s">
        <v>133</v>
      </c>
      <c r="D237" t="s">
        <v>134</v>
      </c>
      <c r="E237" t="s">
        <v>135</v>
      </c>
      <c r="F237" t="s">
        <v>66</v>
      </c>
      <c r="G237" t="s">
        <v>136</v>
      </c>
      <c r="H237" t="s">
        <v>137</v>
      </c>
      <c r="I237" t="s">
        <v>328</v>
      </c>
      <c r="J237" t="s">
        <v>148</v>
      </c>
      <c r="K237" t="s">
        <v>93</v>
      </c>
      <c r="L237" t="s">
        <v>329</v>
      </c>
      <c r="M237" t="s">
        <v>25</v>
      </c>
      <c r="N237" t="s">
        <v>141</v>
      </c>
      <c r="O237" t="s">
        <v>20</v>
      </c>
      <c r="P237">
        <v>23</v>
      </c>
      <c r="Q237" s="17">
        <v>20</v>
      </c>
      <c r="R237">
        <v>20</v>
      </c>
      <c r="S237">
        <v>0.13043478</v>
      </c>
      <c r="T237">
        <v>3</v>
      </c>
      <c r="U237">
        <v>33.53846154</v>
      </c>
      <c r="V237">
        <v>0.00830362</v>
      </c>
      <c r="W237">
        <v>20</v>
      </c>
      <c r="X237">
        <v>12.52516216</v>
      </c>
      <c r="Y237">
        <v>0.57142857</v>
      </c>
      <c r="Z237">
        <v>1.59678571</v>
      </c>
      <c r="AA237" s="2">
        <v>1</v>
      </c>
      <c r="AB237" s="2">
        <v>3</v>
      </c>
      <c r="AC237" s="2">
        <v>9</v>
      </c>
      <c r="AD237" s="2">
        <v>16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</row>
    <row r="238" spans="1:40">
      <c r="A238" t="s">
        <v>131</v>
      </c>
      <c r="B238" t="s">
        <v>159</v>
      </c>
      <c r="C238" t="s">
        <v>160</v>
      </c>
      <c r="D238" t="s">
        <v>161</v>
      </c>
      <c r="E238" t="s">
        <v>135</v>
      </c>
      <c r="F238" t="s">
        <v>59</v>
      </c>
      <c r="G238" t="s">
        <v>162</v>
      </c>
      <c r="H238" t="s">
        <v>163</v>
      </c>
      <c r="I238" t="s">
        <v>230</v>
      </c>
      <c r="J238" t="s">
        <v>148</v>
      </c>
      <c r="K238" t="s">
        <v>91</v>
      </c>
      <c r="L238" t="s">
        <v>231</v>
      </c>
      <c r="M238" t="s">
        <v>17</v>
      </c>
      <c r="N238" t="s">
        <v>141</v>
      </c>
      <c r="O238" t="s">
        <v>20</v>
      </c>
      <c r="P238">
        <v>23</v>
      </c>
      <c r="Q238" s="17">
        <v>23</v>
      </c>
      <c r="R238">
        <v>23</v>
      </c>
      <c r="S238">
        <v>0</v>
      </c>
      <c r="T238">
        <v>0</v>
      </c>
      <c r="U238">
        <v>28.29166667</v>
      </c>
      <c r="V238">
        <v>0.01038717</v>
      </c>
      <c r="W238">
        <v>23</v>
      </c>
      <c r="X238">
        <v>6.50045422</v>
      </c>
      <c r="Y238">
        <v>0.85714286</v>
      </c>
      <c r="Z238">
        <v>3.53821429</v>
      </c>
      <c r="AA238" s="2">
        <v>0</v>
      </c>
      <c r="AB238" s="2">
        <v>3</v>
      </c>
      <c r="AC238" s="2">
        <v>15</v>
      </c>
      <c r="AD238" s="2">
        <v>24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119</v>
      </c>
      <c r="AN238">
        <v>0</v>
      </c>
    </row>
    <row r="239" spans="1:40">
      <c r="A239" t="s">
        <v>131</v>
      </c>
      <c r="B239" t="s">
        <v>252</v>
      </c>
      <c r="C239" t="s">
        <v>253</v>
      </c>
      <c r="D239" t="s">
        <v>254</v>
      </c>
      <c r="E239" t="s">
        <v>135</v>
      </c>
      <c r="F239" t="s">
        <v>40</v>
      </c>
      <c r="G239" t="s">
        <v>255</v>
      </c>
      <c r="H239" t="s">
        <v>256</v>
      </c>
      <c r="I239" t="s">
        <v>150</v>
      </c>
      <c r="J239" t="s">
        <v>148</v>
      </c>
      <c r="K239" t="s">
        <v>83</v>
      </c>
      <c r="L239" t="s">
        <v>151</v>
      </c>
      <c r="M239" t="s">
        <v>25</v>
      </c>
      <c r="N239" t="s">
        <v>141</v>
      </c>
      <c r="O239" t="s">
        <v>20</v>
      </c>
      <c r="P239">
        <v>22</v>
      </c>
      <c r="Q239" s="17">
        <v>22</v>
      </c>
      <c r="R239">
        <v>21</v>
      </c>
      <c r="S239">
        <v>0</v>
      </c>
      <c r="T239">
        <v>0</v>
      </c>
      <c r="U239">
        <v>163.5</v>
      </c>
      <c r="V239">
        <v>0.011484</v>
      </c>
      <c r="W239">
        <v>21</v>
      </c>
      <c r="X239">
        <v>29.37062937</v>
      </c>
      <c r="Y239">
        <v>0.46428571</v>
      </c>
      <c r="Z239">
        <v>0.715</v>
      </c>
      <c r="AA239" s="2">
        <v>0</v>
      </c>
      <c r="AB239" s="2">
        <v>2</v>
      </c>
      <c r="AC239" s="2">
        <v>2</v>
      </c>
      <c r="AD239" s="2">
        <v>13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</row>
    <row r="240" spans="1:40">
      <c r="A240" t="s">
        <v>131</v>
      </c>
      <c r="B240" t="s">
        <v>269</v>
      </c>
      <c r="C240" t="s">
        <v>270</v>
      </c>
      <c r="D240" t="s">
        <v>271</v>
      </c>
      <c r="E240" t="s">
        <v>135</v>
      </c>
      <c r="F240" t="s">
        <v>60</v>
      </c>
      <c r="G240" t="s">
        <v>272</v>
      </c>
      <c r="H240" t="s">
        <v>273</v>
      </c>
      <c r="I240" t="s">
        <v>173</v>
      </c>
      <c r="J240" t="s">
        <v>148</v>
      </c>
      <c r="K240" t="s">
        <v>98</v>
      </c>
      <c r="L240" t="s">
        <v>174</v>
      </c>
      <c r="M240" t="s">
        <v>17</v>
      </c>
      <c r="N240" t="s">
        <v>141</v>
      </c>
      <c r="O240" t="s">
        <v>20</v>
      </c>
      <c r="P240">
        <v>22</v>
      </c>
      <c r="Q240" s="17">
        <v>22</v>
      </c>
      <c r="R240">
        <v>15</v>
      </c>
      <c r="S240">
        <v>0</v>
      </c>
      <c r="T240">
        <v>0</v>
      </c>
      <c r="U240">
        <v>9.01219512</v>
      </c>
      <c r="V240">
        <v>-0.02670701</v>
      </c>
      <c r="W240">
        <v>15</v>
      </c>
      <c r="X240">
        <v>5.42916236</v>
      </c>
      <c r="Y240">
        <v>3.46428571</v>
      </c>
      <c r="Z240">
        <v>2.76285714</v>
      </c>
      <c r="AA240" s="2">
        <v>4</v>
      </c>
      <c r="AB240" s="2">
        <v>40</v>
      </c>
      <c r="AC240" s="2">
        <v>57</v>
      </c>
      <c r="AD240" s="2">
        <v>97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93</v>
      </c>
      <c r="AN240">
        <v>0</v>
      </c>
    </row>
    <row r="241" spans="1:40">
      <c r="A241" t="s">
        <v>131</v>
      </c>
      <c r="B241" t="s">
        <v>242</v>
      </c>
      <c r="C241" t="s">
        <v>243</v>
      </c>
      <c r="D241" t="s">
        <v>244</v>
      </c>
      <c r="E241" t="s">
        <v>135</v>
      </c>
      <c r="F241" t="s">
        <v>24</v>
      </c>
      <c r="G241" t="s">
        <v>245</v>
      </c>
      <c r="H241" t="s">
        <v>246</v>
      </c>
      <c r="I241" t="s">
        <v>230</v>
      </c>
      <c r="J241" t="s">
        <v>148</v>
      </c>
      <c r="K241" t="s">
        <v>91</v>
      </c>
      <c r="L241" t="s">
        <v>231</v>
      </c>
      <c r="M241" t="s">
        <v>25</v>
      </c>
      <c r="N241" t="s">
        <v>141</v>
      </c>
      <c r="O241" t="s">
        <v>20</v>
      </c>
      <c r="P241">
        <v>22</v>
      </c>
      <c r="Q241" s="17">
        <v>22</v>
      </c>
      <c r="R241">
        <v>22</v>
      </c>
      <c r="S241">
        <v>0</v>
      </c>
      <c r="T241">
        <v>0</v>
      </c>
      <c r="U241">
        <v>34.33333333</v>
      </c>
      <c r="V241">
        <v>0.01005031</v>
      </c>
      <c r="W241">
        <v>22</v>
      </c>
      <c r="X241">
        <v>16.02080624</v>
      </c>
      <c r="Y241">
        <v>0.78571429</v>
      </c>
      <c r="Z241">
        <v>1.37321429</v>
      </c>
      <c r="AA241" s="2">
        <v>0</v>
      </c>
      <c r="AB241" s="2">
        <v>3</v>
      </c>
      <c r="AC241" s="2">
        <v>6</v>
      </c>
      <c r="AD241" s="2">
        <v>22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20</v>
      </c>
      <c r="AM241">
        <v>0</v>
      </c>
      <c r="AN241">
        <v>0</v>
      </c>
    </row>
    <row r="242" spans="1:40">
      <c r="A242" t="s">
        <v>131</v>
      </c>
      <c r="B242" t="s">
        <v>142</v>
      </c>
      <c r="C242" t="s">
        <v>143</v>
      </c>
      <c r="D242" t="s">
        <v>144</v>
      </c>
      <c r="E242" t="s">
        <v>135</v>
      </c>
      <c r="F242" t="s">
        <v>19</v>
      </c>
      <c r="G242" t="s">
        <v>145</v>
      </c>
      <c r="H242" t="s">
        <v>146</v>
      </c>
      <c r="I242" t="s">
        <v>330</v>
      </c>
      <c r="J242" t="s">
        <v>280</v>
      </c>
      <c r="K242" t="s">
        <v>46</v>
      </c>
      <c r="L242" t="s">
        <v>331</v>
      </c>
      <c r="M242" t="s">
        <v>17</v>
      </c>
      <c r="N242" t="s">
        <v>141</v>
      </c>
      <c r="O242" t="s">
        <v>20</v>
      </c>
      <c r="P242">
        <v>22</v>
      </c>
      <c r="Q242" s="17">
        <v>21</v>
      </c>
      <c r="R242">
        <v>21</v>
      </c>
      <c r="S242">
        <v>0.04545455</v>
      </c>
      <c r="T242">
        <v>1</v>
      </c>
      <c r="U242">
        <v>4.57859532</v>
      </c>
      <c r="V242">
        <v>-0.15089443</v>
      </c>
      <c r="W242">
        <v>21</v>
      </c>
      <c r="X242">
        <v>1.77793904</v>
      </c>
      <c r="Y242">
        <v>11.14285714</v>
      </c>
      <c r="Z242">
        <v>11.81142857</v>
      </c>
      <c r="AA242" s="2">
        <v>30</v>
      </c>
      <c r="AB242" s="2">
        <v>149</v>
      </c>
      <c r="AC242" s="2">
        <v>244</v>
      </c>
      <c r="AD242" s="2">
        <v>335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</row>
    <row r="243" spans="1:40">
      <c r="A243" t="s">
        <v>131</v>
      </c>
      <c r="B243" t="s">
        <v>191</v>
      </c>
      <c r="C243" t="s">
        <v>192</v>
      </c>
      <c r="D243" t="s">
        <v>193</v>
      </c>
      <c r="E243" t="s">
        <v>135</v>
      </c>
      <c r="F243" t="s">
        <v>49</v>
      </c>
      <c r="G243" t="s">
        <v>194</v>
      </c>
      <c r="H243" t="s">
        <v>195</v>
      </c>
      <c r="I243" t="s">
        <v>171</v>
      </c>
      <c r="J243" t="s">
        <v>148</v>
      </c>
      <c r="K243" t="s">
        <v>75</v>
      </c>
      <c r="L243" t="s">
        <v>172</v>
      </c>
      <c r="M243" t="s">
        <v>25</v>
      </c>
      <c r="N243" t="s">
        <v>141</v>
      </c>
      <c r="O243" t="s">
        <v>20</v>
      </c>
      <c r="P243">
        <v>22</v>
      </c>
      <c r="Q243" s="17">
        <v>22</v>
      </c>
      <c r="R243">
        <v>22</v>
      </c>
      <c r="S243">
        <v>0</v>
      </c>
      <c r="T243">
        <v>0</v>
      </c>
      <c r="U243">
        <v>43</v>
      </c>
      <c r="V243">
        <v>0.01111409</v>
      </c>
      <c r="W243">
        <v>22</v>
      </c>
      <c r="X243">
        <v>22.99365435</v>
      </c>
      <c r="Y243">
        <v>0.75</v>
      </c>
      <c r="Z243">
        <v>0.95678571</v>
      </c>
      <c r="AA243" s="2">
        <v>1</v>
      </c>
      <c r="AB243" s="2">
        <v>3</v>
      </c>
      <c r="AC243" s="2">
        <v>6</v>
      </c>
      <c r="AD243" s="2">
        <v>23</v>
      </c>
      <c r="AE243">
        <v>0</v>
      </c>
      <c r="AF243">
        <v>0</v>
      </c>
      <c r="AG243">
        <v>0</v>
      </c>
      <c r="AH243">
        <v>16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</row>
    <row r="244" spans="1:40">
      <c r="A244" t="s">
        <v>131</v>
      </c>
      <c r="B244" t="s">
        <v>269</v>
      </c>
      <c r="C244" t="s">
        <v>270</v>
      </c>
      <c r="D244" t="s">
        <v>271</v>
      </c>
      <c r="E244" t="s">
        <v>135</v>
      </c>
      <c r="F244" t="s">
        <v>60</v>
      </c>
      <c r="G244" t="s">
        <v>272</v>
      </c>
      <c r="H244" t="s">
        <v>273</v>
      </c>
      <c r="I244" t="s">
        <v>184</v>
      </c>
      <c r="J244" t="s">
        <v>139</v>
      </c>
      <c r="K244" t="s">
        <v>80</v>
      </c>
      <c r="L244" t="s">
        <v>185</v>
      </c>
      <c r="M244" t="s">
        <v>17</v>
      </c>
      <c r="N244" t="s">
        <v>141</v>
      </c>
      <c r="O244" t="s">
        <v>20</v>
      </c>
      <c r="P244">
        <v>21</v>
      </c>
      <c r="Q244" s="17">
        <v>21</v>
      </c>
      <c r="R244">
        <v>20</v>
      </c>
      <c r="S244">
        <v>0</v>
      </c>
      <c r="T244">
        <v>0</v>
      </c>
      <c r="U244">
        <v>10.96296296</v>
      </c>
      <c r="V244">
        <v>-0.01342299</v>
      </c>
      <c r="W244">
        <v>20</v>
      </c>
      <c r="X244">
        <v>6.32411067</v>
      </c>
      <c r="Y244">
        <v>2.39285714</v>
      </c>
      <c r="Z244">
        <v>3.1625</v>
      </c>
      <c r="AA244" s="2">
        <v>3</v>
      </c>
      <c r="AB244" s="2">
        <v>26</v>
      </c>
      <c r="AC244" s="2">
        <v>37</v>
      </c>
      <c r="AD244" s="2">
        <v>68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63</v>
      </c>
      <c r="AN244">
        <v>0</v>
      </c>
    </row>
    <row r="245" spans="1:40">
      <c r="A245" t="s">
        <v>131</v>
      </c>
      <c r="B245" t="s">
        <v>242</v>
      </c>
      <c r="C245" t="s">
        <v>243</v>
      </c>
      <c r="D245" t="s">
        <v>244</v>
      </c>
      <c r="E245" t="s">
        <v>135</v>
      </c>
      <c r="F245" t="s">
        <v>24</v>
      </c>
      <c r="G245" t="s">
        <v>245</v>
      </c>
      <c r="H245" t="s">
        <v>246</v>
      </c>
      <c r="I245" t="s">
        <v>305</v>
      </c>
      <c r="J245" t="s">
        <v>280</v>
      </c>
      <c r="K245" t="s">
        <v>41</v>
      </c>
      <c r="L245" t="s">
        <v>306</v>
      </c>
      <c r="M245" t="s">
        <v>25</v>
      </c>
      <c r="N245" t="s">
        <v>141</v>
      </c>
      <c r="O245" t="s">
        <v>20</v>
      </c>
      <c r="P245">
        <v>21</v>
      </c>
      <c r="Q245" s="17">
        <v>19</v>
      </c>
      <c r="R245">
        <v>19</v>
      </c>
      <c r="S245">
        <v>0.0952381</v>
      </c>
      <c r="T245">
        <v>2</v>
      </c>
      <c r="U245">
        <v>10.89655172</v>
      </c>
      <c r="V245">
        <v>-0.00727727</v>
      </c>
      <c r="W245">
        <v>19</v>
      </c>
      <c r="X245">
        <v>14.04805915</v>
      </c>
      <c r="Y245">
        <v>1.32142857</v>
      </c>
      <c r="Z245">
        <v>1.3525</v>
      </c>
      <c r="AA245" s="2">
        <v>3</v>
      </c>
      <c r="AB245" s="2">
        <v>6</v>
      </c>
      <c r="AC245" s="2">
        <v>13</v>
      </c>
      <c r="AD245" s="2">
        <v>39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</row>
    <row r="246" spans="1:40">
      <c r="A246" t="s">
        <v>131</v>
      </c>
      <c r="B246" t="s">
        <v>191</v>
      </c>
      <c r="C246" t="s">
        <v>192</v>
      </c>
      <c r="D246" t="s">
        <v>193</v>
      </c>
      <c r="E246" t="s">
        <v>135</v>
      </c>
      <c r="F246" t="s">
        <v>49</v>
      </c>
      <c r="G246" t="s">
        <v>194</v>
      </c>
      <c r="H246" t="s">
        <v>195</v>
      </c>
      <c r="I246" t="s">
        <v>175</v>
      </c>
      <c r="J246" t="s">
        <v>139</v>
      </c>
      <c r="K246" t="s">
        <v>74</v>
      </c>
      <c r="L246" t="s">
        <v>176</v>
      </c>
      <c r="M246" t="s">
        <v>25</v>
      </c>
      <c r="N246" t="s">
        <v>141</v>
      </c>
      <c r="O246" t="s">
        <v>20</v>
      </c>
      <c r="P246">
        <v>21</v>
      </c>
      <c r="Q246" s="17">
        <v>21</v>
      </c>
      <c r="R246">
        <v>21</v>
      </c>
      <c r="S246">
        <v>0</v>
      </c>
      <c r="T246">
        <v>0</v>
      </c>
      <c r="U246">
        <v>10.55555556</v>
      </c>
      <c r="V246">
        <v>-0.00713676</v>
      </c>
      <c r="W246">
        <v>21</v>
      </c>
      <c r="X246">
        <v>16.44755245</v>
      </c>
      <c r="Y246">
        <v>1.32142857</v>
      </c>
      <c r="Z246">
        <v>1.27678571</v>
      </c>
      <c r="AA246" s="2">
        <v>0</v>
      </c>
      <c r="AB246" s="2">
        <v>11</v>
      </c>
      <c r="AC246" s="2">
        <v>17</v>
      </c>
      <c r="AD246" s="2">
        <v>38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10</v>
      </c>
      <c r="AM246">
        <v>0</v>
      </c>
      <c r="AN246">
        <v>0</v>
      </c>
    </row>
    <row r="247" spans="1:40">
      <c r="A247" t="s">
        <v>131</v>
      </c>
      <c r="B247" t="s">
        <v>224</v>
      </c>
      <c r="C247" t="s">
        <v>225</v>
      </c>
      <c r="D247" t="s">
        <v>226</v>
      </c>
      <c r="E247" t="s">
        <v>227</v>
      </c>
      <c r="F247" t="s">
        <v>68</v>
      </c>
      <c r="G247" t="s">
        <v>228</v>
      </c>
      <c r="H247" t="s">
        <v>229</v>
      </c>
      <c r="I247" t="s">
        <v>152</v>
      </c>
      <c r="J247" t="s">
        <v>148</v>
      </c>
      <c r="K247" t="s">
        <v>79</v>
      </c>
      <c r="L247" t="s">
        <v>153</v>
      </c>
      <c r="M247" t="s">
        <v>25</v>
      </c>
      <c r="N247" t="s">
        <v>141</v>
      </c>
      <c r="O247" t="s">
        <v>20</v>
      </c>
      <c r="P247">
        <v>20</v>
      </c>
      <c r="Q247" s="17">
        <v>20</v>
      </c>
      <c r="R247">
        <v>20</v>
      </c>
      <c r="S247">
        <v>0</v>
      </c>
      <c r="T247">
        <v>0</v>
      </c>
      <c r="U247">
        <v>15.375</v>
      </c>
      <c r="V247">
        <v>-0.0005986</v>
      </c>
      <c r="W247">
        <v>20</v>
      </c>
      <c r="X247">
        <v>17.96023092</v>
      </c>
      <c r="Y247">
        <v>0.28571429</v>
      </c>
      <c r="Z247">
        <v>1.11357143</v>
      </c>
      <c r="AA247" s="2">
        <v>1</v>
      </c>
      <c r="AB247" s="2">
        <v>3</v>
      </c>
      <c r="AC247" s="2">
        <v>4</v>
      </c>
      <c r="AD247" s="2">
        <v>8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10</v>
      </c>
      <c r="AM247">
        <v>0</v>
      </c>
      <c r="AN247">
        <v>0</v>
      </c>
    </row>
    <row r="248" spans="1:40">
      <c r="A248" t="s">
        <v>131</v>
      </c>
      <c r="B248" t="s">
        <v>232</v>
      </c>
      <c r="C248" t="s">
        <v>233</v>
      </c>
      <c r="D248" t="s">
        <v>234</v>
      </c>
      <c r="E248" t="s">
        <v>135</v>
      </c>
      <c r="F248" t="s">
        <v>23</v>
      </c>
      <c r="G248" t="s">
        <v>235</v>
      </c>
      <c r="H248" t="s">
        <v>236</v>
      </c>
      <c r="I248" t="s">
        <v>230</v>
      </c>
      <c r="J248" t="s">
        <v>148</v>
      </c>
      <c r="K248" t="s">
        <v>91</v>
      </c>
      <c r="L248" t="s">
        <v>231</v>
      </c>
      <c r="M248" t="s">
        <v>17</v>
      </c>
      <c r="N248" t="s">
        <v>141</v>
      </c>
      <c r="O248" t="s">
        <v>20</v>
      </c>
      <c r="P248">
        <v>20</v>
      </c>
      <c r="Q248" s="17">
        <v>20</v>
      </c>
      <c r="R248">
        <v>20</v>
      </c>
      <c r="S248">
        <v>0</v>
      </c>
      <c r="T248">
        <v>0</v>
      </c>
      <c r="U248">
        <v>25.69565217</v>
      </c>
      <c r="V248">
        <v>0.00760732</v>
      </c>
      <c r="W248">
        <v>20</v>
      </c>
      <c r="X248">
        <v>19.72525537</v>
      </c>
      <c r="Y248">
        <v>0.92857143</v>
      </c>
      <c r="Z248">
        <v>1.01392857</v>
      </c>
      <c r="AA248" s="2">
        <v>0</v>
      </c>
      <c r="AB248" s="2">
        <v>2</v>
      </c>
      <c r="AC248" s="2">
        <v>13</v>
      </c>
      <c r="AD248" s="2">
        <v>27</v>
      </c>
      <c r="AE248">
        <v>0</v>
      </c>
      <c r="AF248">
        <v>0</v>
      </c>
      <c r="AG248">
        <v>0</v>
      </c>
      <c r="AH248">
        <v>20</v>
      </c>
      <c r="AI248">
        <v>0</v>
      </c>
      <c r="AJ248">
        <v>0</v>
      </c>
      <c r="AK248">
        <v>0</v>
      </c>
      <c r="AL248">
        <v>0</v>
      </c>
      <c r="AM248">
        <v>25</v>
      </c>
      <c r="AN248">
        <v>0</v>
      </c>
    </row>
    <row r="249" spans="1:40">
      <c r="A249" t="s">
        <v>131</v>
      </c>
      <c r="B249" t="s">
        <v>179</v>
      </c>
      <c r="C249" t="s">
        <v>180</v>
      </c>
      <c r="D249" t="s">
        <v>181</v>
      </c>
      <c r="E249" t="s">
        <v>135</v>
      </c>
      <c r="F249" t="s">
        <v>21</v>
      </c>
      <c r="G249" t="s">
        <v>182</v>
      </c>
      <c r="H249" t="s">
        <v>183</v>
      </c>
      <c r="I249" t="s">
        <v>330</v>
      </c>
      <c r="J249" t="s">
        <v>280</v>
      </c>
      <c r="K249" t="s">
        <v>46</v>
      </c>
      <c r="L249" t="s">
        <v>331</v>
      </c>
      <c r="M249" t="s">
        <v>17</v>
      </c>
      <c r="N249" t="s">
        <v>141</v>
      </c>
      <c r="O249" t="s">
        <v>20</v>
      </c>
      <c r="P249">
        <v>19</v>
      </c>
      <c r="Q249" s="17">
        <v>19</v>
      </c>
      <c r="R249">
        <v>18</v>
      </c>
      <c r="S249">
        <v>0</v>
      </c>
      <c r="T249">
        <v>0</v>
      </c>
      <c r="U249">
        <v>6.5</v>
      </c>
      <c r="V249">
        <v>-0.01610912</v>
      </c>
      <c r="W249">
        <v>18</v>
      </c>
      <c r="X249">
        <v>9.48973828</v>
      </c>
      <c r="Y249">
        <v>1.35714286</v>
      </c>
      <c r="Z249">
        <v>1.89678571</v>
      </c>
      <c r="AA249" s="2">
        <v>0</v>
      </c>
      <c r="AB249" s="2">
        <v>13</v>
      </c>
      <c r="AC249" s="2">
        <v>33</v>
      </c>
      <c r="AD249" s="2">
        <v>38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</row>
    <row r="250" spans="1:40">
      <c r="A250" t="s">
        <v>131</v>
      </c>
      <c r="B250" t="s">
        <v>264</v>
      </c>
      <c r="C250" t="s">
        <v>265</v>
      </c>
      <c r="D250" t="s">
        <v>266</v>
      </c>
      <c r="E250" t="s">
        <v>135</v>
      </c>
      <c r="F250" t="s">
        <v>53</v>
      </c>
      <c r="G250" t="s">
        <v>267</v>
      </c>
      <c r="H250" t="s">
        <v>268</v>
      </c>
      <c r="I250" t="s">
        <v>196</v>
      </c>
      <c r="J250" t="s">
        <v>197</v>
      </c>
      <c r="K250" t="s">
        <v>96</v>
      </c>
      <c r="L250" t="s">
        <v>198</v>
      </c>
      <c r="M250" t="s">
        <v>25</v>
      </c>
      <c r="N250" t="s">
        <v>141</v>
      </c>
      <c r="P250">
        <v>19</v>
      </c>
      <c r="Q250" s="17">
        <v>19</v>
      </c>
      <c r="R250">
        <v>16</v>
      </c>
      <c r="S250">
        <v>0</v>
      </c>
      <c r="T250">
        <v>0</v>
      </c>
      <c r="U250">
        <v>-99</v>
      </c>
      <c r="W250">
        <v>19</v>
      </c>
      <c r="X250">
        <v>-99</v>
      </c>
      <c r="Y250">
        <v>0</v>
      </c>
      <c r="AA250" s="2">
        <v>0</v>
      </c>
      <c r="AB250" s="2">
        <v>0</v>
      </c>
      <c r="AC250" s="2">
        <v>0</v>
      </c>
      <c r="AD250" s="2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42</v>
      </c>
      <c r="AN250">
        <v>0</v>
      </c>
    </row>
    <row r="251" spans="1:40">
      <c r="A251" t="s">
        <v>131</v>
      </c>
      <c r="B251" t="s">
        <v>269</v>
      </c>
      <c r="C251" t="s">
        <v>270</v>
      </c>
      <c r="D251" t="s">
        <v>271</v>
      </c>
      <c r="E251" t="s">
        <v>135</v>
      </c>
      <c r="F251" t="s">
        <v>60</v>
      </c>
      <c r="G251" t="s">
        <v>272</v>
      </c>
      <c r="H251" t="s">
        <v>273</v>
      </c>
      <c r="I251" t="s">
        <v>230</v>
      </c>
      <c r="J251" t="s">
        <v>148</v>
      </c>
      <c r="K251" t="s">
        <v>91</v>
      </c>
      <c r="L251" t="s">
        <v>231</v>
      </c>
      <c r="M251" t="s">
        <v>17</v>
      </c>
      <c r="N251" t="s">
        <v>141</v>
      </c>
      <c r="O251" t="s">
        <v>20</v>
      </c>
      <c r="P251">
        <v>18</v>
      </c>
      <c r="Q251" s="17">
        <v>18</v>
      </c>
      <c r="R251">
        <v>18</v>
      </c>
      <c r="S251">
        <v>0</v>
      </c>
      <c r="T251">
        <v>0</v>
      </c>
      <c r="U251">
        <v>15.78787879</v>
      </c>
      <c r="V251">
        <v>-0.00193595</v>
      </c>
      <c r="W251">
        <v>18</v>
      </c>
      <c r="X251">
        <v>14.34262948</v>
      </c>
      <c r="Y251">
        <v>1.32142857</v>
      </c>
      <c r="Z251">
        <v>1.255</v>
      </c>
      <c r="AA251" s="2">
        <v>1</v>
      </c>
      <c r="AB251" s="2">
        <v>13</v>
      </c>
      <c r="AC251" s="2">
        <v>24</v>
      </c>
      <c r="AD251" s="2">
        <v>41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45</v>
      </c>
      <c r="AN251">
        <v>0</v>
      </c>
    </row>
    <row r="252" spans="1:40">
      <c r="A252" t="s">
        <v>131</v>
      </c>
      <c r="B252" t="s">
        <v>179</v>
      </c>
      <c r="C252" t="s">
        <v>180</v>
      </c>
      <c r="D252" t="s">
        <v>181</v>
      </c>
      <c r="E252" t="s">
        <v>135</v>
      </c>
      <c r="F252" t="s">
        <v>21</v>
      </c>
      <c r="G252" t="s">
        <v>182</v>
      </c>
      <c r="H252" t="s">
        <v>183</v>
      </c>
      <c r="I252" t="s">
        <v>332</v>
      </c>
      <c r="J252" t="s">
        <v>280</v>
      </c>
      <c r="K252" t="s">
        <v>31</v>
      </c>
      <c r="L252" t="s">
        <v>333</v>
      </c>
      <c r="M252" t="s">
        <v>17</v>
      </c>
      <c r="N252" t="s">
        <v>141</v>
      </c>
      <c r="O252" t="s">
        <v>20</v>
      </c>
      <c r="P252">
        <v>18</v>
      </c>
      <c r="Q252" s="17">
        <v>18</v>
      </c>
      <c r="R252">
        <v>18</v>
      </c>
      <c r="S252">
        <v>0</v>
      </c>
      <c r="T252">
        <v>0</v>
      </c>
      <c r="U252">
        <v>4.1875</v>
      </c>
      <c r="V252">
        <v>-0.01647175</v>
      </c>
      <c r="W252">
        <v>18</v>
      </c>
      <c r="X252">
        <v>17.51216122</v>
      </c>
      <c r="Y252">
        <v>1.14285714</v>
      </c>
      <c r="Z252">
        <v>1.02785714</v>
      </c>
      <c r="AA252" s="2">
        <v>2</v>
      </c>
      <c r="AB252" s="2">
        <v>18</v>
      </c>
      <c r="AC252" s="2">
        <v>29</v>
      </c>
      <c r="AD252" s="2">
        <v>32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>
      <c r="A253" t="s">
        <v>131</v>
      </c>
      <c r="B253" t="s">
        <v>334</v>
      </c>
      <c r="C253" t="s">
        <v>335</v>
      </c>
      <c r="D253" t="s">
        <v>336</v>
      </c>
      <c r="E253" t="s">
        <v>135</v>
      </c>
      <c r="F253" t="s">
        <v>56</v>
      </c>
      <c r="G253" t="s">
        <v>337</v>
      </c>
      <c r="H253" t="s">
        <v>338</v>
      </c>
      <c r="I253" t="s">
        <v>138</v>
      </c>
      <c r="J253" t="s">
        <v>139</v>
      </c>
      <c r="K253" t="s">
        <v>97</v>
      </c>
      <c r="L253" t="s">
        <v>140</v>
      </c>
      <c r="M253" t="s">
        <v>25</v>
      </c>
      <c r="N253" t="s">
        <v>141</v>
      </c>
      <c r="O253" t="s">
        <v>20</v>
      </c>
      <c r="P253">
        <v>18</v>
      </c>
      <c r="Q253" s="17">
        <v>18</v>
      </c>
      <c r="R253">
        <v>18</v>
      </c>
      <c r="S253">
        <v>0</v>
      </c>
      <c r="T253">
        <v>0</v>
      </c>
      <c r="U253">
        <v>24.95652174</v>
      </c>
      <c r="V253">
        <v>0.00693919</v>
      </c>
      <c r="W253">
        <v>18</v>
      </c>
      <c r="X253">
        <v>12.79512567</v>
      </c>
      <c r="Y253">
        <v>1</v>
      </c>
      <c r="Z253">
        <v>1.40678571</v>
      </c>
      <c r="AA253" s="2">
        <v>2</v>
      </c>
      <c r="AB253" s="2">
        <v>11</v>
      </c>
      <c r="AC253" s="2">
        <v>20</v>
      </c>
      <c r="AD253" s="2">
        <v>30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20</v>
      </c>
      <c r="AN253">
        <v>0</v>
      </c>
    </row>
    <row r="254" spans="1:40">
      <c r="A254" t="s">
        <v>131</v>
      </c>
      <c r="B254" t="s">
        <v>242</v>
      </c>
      <c r="C254" t="s">
        <v>243</v>
      </c>
      <c r="D254" t="s">
        <v>244</v>
      </c>
      <c r="E254" t="s">
        <v>135</v>
      </c>
      <c r="F254" t="s">
        <v>24</v>
      </c>
      <c r="G254" t="s">
        <v>245</v>
      </c>
      <c r="H254" t="s">
        <v>246</v>
      </c>
      <c r="I254" t="s">
        <v>294</v>
      </c>
      <c r="J254" t="s">
        <v>148</v>
      </c>
      <c r="K254" t="s">
        <v>99</v>
      </c>
      <c r="L254" t="s">
        <v>295</v>
      </c>
      <c r="M254" t="s">
        <v>25</v>
      </c>
      <c r="N254" t="s">
        <v>141</v>
      </c>
      <c r="O254" t="s">
        <v>20</v>
      </c>
      <c r="P254">
        <v>17</v>
      </c>
      <c r="Q254" s="17">
        <v>15</v>
      </c>
      <c r="R254">
        <v>15</v>
      </c>
      <c r="S254">
        <v>0.11764706</v>
      </c>
      <c r="T254">
        <v>2</v>
      </c>
      <c r="U254">
        <v>21.42857143</v>
      </c>
      <c r="V254">
        <v>0.00114062</v>
      </c>
      <c r="W254">
        <v>15</v>
      </c>
      <c r="X254">
        <v>28.320971</v>
      </c>
      <c r="Y254">
        <v>0.32142857</v>
      </c>
      <c r="Z254">
        <v>0.52964286</v>
      </c>
      <c r="AA254" s="2">
        <v>0</v>
      </c>
      <c r="AB254" s="2">
        <v>2</v>
      </c>
      <c r="AC254" s="2">
        <v>4</v>
      </c>
      <c r="AD254" s="2">
        <v>9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</row>
    <row r="255" spans="1:40">
      <c r="A255" t="s">
        <v>131</v>
      </c>
      <c r="B255" t="s">
        <v>191</v>
      </c>
      <c r="C255" t="s">
        <v>192</v>
      </c>
      <c r="D255" t="s">
        <v>193</v>
      </c>
      <c r="E255" t="s">
        <v>135</v>
      </c>
      <c r="F255" t="s">
        <v>49</v>
      </c>
      <c r="G255" t="s">
        <v>194</v>
      </c>
      <c r="H255" t="s">
        <v>195</v>
      </c>
      <c r="I255" t="s">
        <v>201</v>
      </c>
      <c r="J255" t="s">
        <v>148</v>
      </c>
      <c r="K255" t="s">
        <v>67</v>
      </c>
      <c r="L255" t="s">
        <v>202</v>
      </c>
      <c r="M255" t="s">
        <v>25</v>
      </c>
      <c r="N255" t="s">
        <v>141</v>
      </c>
      <c r="O255" t="s">
        <v>20</v>
      </c>
      <c r="P255">
        <v>17</v>
      </c>
      <c r="Q255" s="17">
        <v>17</v>
      </c>
      <c r="R255">
        <v>16</v>
      </c>
      <c r="S255">
        <v>0</v>
      </c>
      <c r="T255">
        <v>0</v>
      </c>
      <c r="U255">
        <v>23.4</v>
      </c>
      <c r="V255">
        <v>0.00240407</v>
      </c>
      <c r="W255">
        <v>16</v>
      </c>
      <c r="X255">
        <v>14.35897436</v>
      </c>
      <c r="Y255">
        <v>0.78571429</v>
      </c>
      <c r="Z255">
        <v>1.11428571</v>
      </c>
      <c r="AA255" s="2">
        <v>0</v>
      </c>
      <c r="AB255" s="2">
        <v>4</v>
      </c>
      <c r="AC255" s="2">
        <v>9</v>
      </c>
      <c r="AD255" s="2">
        <v>24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>
      <c r="A256" t="s">
        <v>131</v>
      </c>
      <c r="B256" t="s">
        <v>154</v>
      </c>
      <c r="C256" t="s">
        <v>155</v>
      </c>
      <c r="D256" t="s">
        <v>156</v>
      </c>
      <c r="E256" t="s">
        <v>135</v>
      </c>
      <c r="F256" t="s">
        <v>39</v>
      </c>
      <c r="G256" t="s">
        <v>157</v>
      </c>
      <c r="H256" t="s">
        <v>158</v>
      </c>
      <c r="I256" t="s">
        <v>173</v>
      </c>
      <c r="J256" t="s">
        <v>148</v>
      </c>
      <c r="K256" t="s">
        <v>98</v>
      </c>
      <c r="L256" t="s">
        <v>174</v>
      </c>
      <c r="M256" t="s">
        <v>25</v>
      </c>
      <c r="N256" t="s">
        <v>141</v>
      </c>
      <c r="O256" t="s">
        <v>20</v>
      </c>
      <c r="P256">
        <v>17</v>
      </c>
      <c r="Q256" s="17">
        <v>17</v>
      </c>
      <c r="R256">
        <v>17</v>
      </c>
      <c r="S256">
        <v>0</v>
      </c>
      <c r="T256">
        <v>0</v>
      </c>
      <c r="U256">
        <v>26.14285714</v>
      </c>
      <c r="V256">
        <v>0.00243677</v>
      </c>
      <c r="W256">
        <v>17</v>
      </c>
      <c r="X256">
        <v>61.02564103</v>
      </c>
      <c r="Y256">
        <v>0.25</v>
      </c>
      <c r="Z256">
        <v>0.27857143</v>
      </c>
      <c r="AA256" s="2">
        <v>0</v>
      </c>
      <c r="AB256" s="2">
        <v>1</v>
      </c>
      <c r="AC256" s="2">
        <v>7</v>
      </c>
      <c r="AD256" s="2">
        <v>7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</row>
    <row r="257" spans="1:40">
      <c r="A257" t="s">
        <v>131</v>
      </c>
      <c r="B257" t="s">
        <v>191</v>
      </c>
      <c r="C257" t="s">
        <v>192</v>
      </c>
      <c r="D257" t="s">
        <v>193</v>
      </c>
      <c r="E257" t="s">
        <v>135</v>
      </c>
      <c r="F257" t="s">
        <v>49</v>
      </c>
      <c r="G257" t="s">
        <v>194</v>
      </c>
      <c r="H257" t="s">
        <v>195</v>
      </c>
      <c r="I257" t="s">
        <v>230</v>
      </c>
      <c r="J257" t="s">
        <v>148</v>
      </c>
      <c r="K257" t="s">
        <v>91</v>
      </c>
      <c r="L257" t="s">
        <v>231</v>
      </c>
      <c r="M257" t="s">
        <v>25</v>
      </c>
      <c r="N257" t="s">
        <v>141</v>
      </c>
      <c r="O257" t="s">
        <v>20</v>
      </c>
      <c r="P257">
        <v>16</v>
      </c>
      <c r="Q257" s="17">
        <v>16</v>
      </c>
      <c r="R257">
        <v>16</v>
      </c>
      <c r="S257">
        <v>0</v>
      </c>
      <c r="T257">
        <v>0</v>
      </c>
      <c r="U257">
        <v>17.0625</v>
      </c>
      <c r="V257">
        <v>-0.00013671</v>
      </c>
      <c r="W257">
        <v>16</v>
      </c>
      <c r="X257">
        <v>18.25590872</v>
      </c>
      <c r="Y257">
        <v>0.71428571</v>
      </c>
      <c r="Z257">
        <v>0.87642857</v>
      </c>
      <c r="AA257" s="2">
        <v>0</v>
      </c>
      <c r="AB257" s="2">
        <v>1</v>
      </c>
      <c r="AC257" s="2">
        <v>6</v>
      </c>
      <c r="AD257" s="2">
        <v>21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6</v>
      </c>
      <c r="AM257">
        <v>0</v>
      </c>
      <c r="AN257">
        <v>0</v>
      </c>
    </row>
    <row r="258" spans="1:40">
      <c r="A258" t="s">
        <v>131</v>
      </c>
      <c r="B258" t="s">
        <v>191</v>
      </c>
      <c r="C258" t="s">
        <v>192</v>
      </c>
      <c r="D258" t="s">
        <v>193</v>
      </c>
      <c r="E258" t="s">
        <v>135</v>
      </c>
      <c r="F258" t="s">
        <v>49</v>
      </c>
      <c r="G258" t="s">
        <v>194</v>
      </c>
      <c r="H258" t="s">
        <v>195</v>
      </c>
      <c r="I258" t="s">
        <v>199</v>
      </c>
      <c r="J258" t="s">
        <v>148</v>
      </c>
      <c r="K258" t="s">
        <v>78</v>
      </c>
      <c r="L258" t="s">
        <v>200</v>
      </c>
      <c r="M258" t="s">
        <v>25</v>
      </c>
      <c r="N258" t="s">
        <v>141</v>
      </c>
      <c r="O258" t="s">
        <v>20</v>
      </c>
      <c r="P258">
        <v>16</v>
      </c>
      <c r="Q258" s="17">
        <v>16</v>
      </c>
      <c r="R258">
        <v>15</v>
      </c>
      <c r="S258">
        <v>0</v>
      </c>
      <c r="T258">
        <v>0</v>
      </c>
      <c r="U258">
        <v>17.42857143</v>
      </c>
      <c r="V258">
        <v>8.174e-5</v>
      </c>
      <c r="W258">
        <v>15</v>
      </c>
      <c r="X258">
        <v>17.11491443</v>
      </c>
      <c r="Y258">
        <v>0.89285714</v>
      </c>
      <c r="Z258">
        <v>0.87642857</v>
      </c>
      <c r="AA258" s="2">
        <v>2</v>
      </c>
      <c r="AB258" s="2">
        <v>4</v>
      </c>
      <c r="AC258" s="2">
        <v>6</v>
      </c>
      <c r="AD258" s="2">
        <v>26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4</v>
      </c>
      <c r="AM258">
        <v>0</v>
      </c>
      <c r="AN258">
        <v>0</v>
      </c>
    </row>
    <row r="259" spans="1:40">
      <c r="A259" t="s">
        <v>131</v>
      </c>
      <c r="B259" t="s">
        <v>132</v>
      </c>
      <c r="C259" t="s">
        <v>133</v>
      </c>
      <c r="D259" t="s">
        <v>134</v>
      </c>
      <c r="E259" t="s">
        <v>135</v>
      </c>
      <c r="F259" t="s">
        <v>66</v>
      </c>
      <c r="G259" t="s">
        <v>136</v>
      </c>
      <c r="H259" t="s">
        <v>137</v>
      </c>
      <c r="I259" t="s">
        <v>339</v>
      </c>
      <c r="J259" t="s">
        <v>148</v>
      </c>
      <c r="K259" t="s">
        <v>90</v>
      </c>
      <c r="L259" t="s">
        <v>340</v>
      </c>
      <c r="M259" t="s">
        <v>25</v>
      </c>
      <c r="N259" t="s">
        <v>141</v>
      </c>
      <c r="O259" t="s">
        <v>20</v>
      </c>
      <c r="P259">
        <v>15</v>
      </c>
      <c r="Q259" s="17">
        <v>15</v>
      </c>
      <c r="R259">
        <v>15</v>
      </c>
      <c r="S259">
        <v>0</v>
      </c>
      <c r="T259">
        <v>0</v>
      </c>
      <c r="U259">
        <v>45.36363636</v>
      </c>
      <c r="V259">
        <v>0.01213546</v>
      </c>
      <c r="W259">
        <v>15</v>
      </c>
      <c r="X259">
        <v>9.39387162</v>
      </c>
      <c r="Y259">
        <v>0.5</v>
      </c>
      <c r="Z259">
        <v>1.59678571</v>
      </c>
      <c r="AA259" s="2">
        <v>0</v>
      </c>
      <c r="AB259" s="2">
        <v>3</v>
      </c>
      <c r="AC259" s="2">
        <v>9</v>
      </c>
      <c r="AD259" s="2">
        <v>15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18</v>
      </c>
      <c r="AM259">
        <v>0</v>
      </c>
      <c r="AN259">
        <v>0</v>
      </c>
    </row>
    <row r="260" spans="1:40">
      <c r="A260" t="s">
        <v>131</v>
      </c>
      <c r="B260" t="s">
        <v>252</v>
      </c>
      <c r="C260" t="s">
        <v>253</v>
      </c>
      <c r="D260" t="s">
        <v>254</v>
      </c>
      <c r="E260" t="s">
        <v>135</v>
      </c>
      <c r="F260" t="s">
        <v>40</v>
      </c>
      <c r="G260" t="s">
        <v>255</v>
      </c>
      <c r="H260" t="s">
        <v>256</v>
      </c>
      <c r="I260" t="s">
        <v>173</v>
      </c>
      <c r="J260" t="s">
        <v>148</v>
      </c>
      <c r="K260" t="s">
        <v>98</v>
      </c>
      <c r="L260" t="s">
        <v>174</v>
      </c>
      <c r="M260" t="s">
        <v>25</v>
      </c>
      <c r="N260" t="s">
        <v>141</v>
      </c>
      <c r="O260" t="s">
        <v>20</v>
      </c>
      <c r="P260">
        <v>15</v>
      </c>
      <c r="Q260" s="17">
        <v>15</v>
      </c>
      <c r="R260">
        <v>15</v>
      </c>
      <c r="S260">
        <v>0</v>
      </c>
      <c r="T260">
        <v>0</v>
      </c>
      <c r="U260">
        <v>13.84615385</v>
      </c>
      <c r="V260">
        <v>-0.00175374</v>
      </c>
      <c r="W260">
        <v>15</v>
      </c>
      <c r="X260">
        <v>23.66197183</v>
      </c>
      <c r="Y260">
        <v>0.5</v>
      </c>
      <c r="Z260">
        <v>0.63392857</v>
      </c>
      <c r="AA260" s="2">
        <v>1</v>
      </c>
      <c r="AB260" s="2">
        <v>3</v>
      </c>
      <c r="AC260" s="2">
        <v>10</v>
      </c>
      <c r="AD260" s="2">
        <v>15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4</v>
      </c>
      <c r="AM260">
        <v>0</v>
      </c>
      <c r="AN260">
        <v>0</v>
      </c>
    </row>
    <row r="261" spans="1:40">
      <c r="A261" t="s">
        <v>131</v>
      </c>
      <c r="B261" t="s">
        <v>252</v>
      </c>
      <c r="C261" t="s">
        <v>253</v>
      </c>
      <c r="D261" t="s">
        <v>254</v>
      </c>
      <c r="E261" t="s">
        <v>135</v>
      </c>
      <c r="F261" t="s">
        <v>40</v>
      </c>
      <c r="G261" t="s">
        <v>255</v>
      </c>
      <c r="H261" t="s">
        <v>256</v>
      </c>
      <c r="I261" t="s">
        <v>307</v>
      </c>
      <c r="J261" t="s">
        <v>280</v>
      </c>
      <c r="K261" t="s">
        <v>37</v>
      </c>
      <c r="L261" t="s">
        <v>308</v>
      </c>
      <c r="M261" t="s">
        <v>25</v>
      </c>
      <c r="N261" t="s">
        <v>141</v>
      </c>
      <c r="O261" t="s">
        <v>20</v>
      </c>
      <c r="P261">
        <v>15</v>
      </c>
      <c r="Q261" s="17">
        <v>15</v>
      </c>
      <c r="R261">
        <v>15</v>
      </c>
      <c r="S261">
        <v>0</v>
      </c>
      <c r="T261">
        <v>0</v>
      </c>
      <c r="U261">
        <v>4.30612245</v>
      </c>
      <c r="V261">
        <v>-0.02501056</v>
      </c>
      <c r="W261">
        <v>15</v>
      </c>
      <c r="X261">
        <v>5.80511403</v>
      </c>
      <c r="Y261">
        <v>1.75</v>
      </c>
      <c r="Z261">
        <v>2.58392857</v>
      </c>
      <c r="AA261" s="2">
        <v>2</v>
      </c>
      <c r="AB261" s="2">
        <v>18</v>
      </c>
      <c r="AC261" s="2">
        <v>35</v>
      </c>
      <c r="AD261" s="2">
        <v>49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>
      <c r="A262" t="s">
        <v>131</v>
      </c>
      <c r="B262" t="s">
        <v>242</v>
      </c>
      <c r="C262" t="s">
        <v>243</v>
      </c>
      <c r="D262" t="s">
        <v>244</v>
      </c>
      <c r="E262" t="s">
        <v>135</v>
      </c>
      <c r="F262" t="s">
        <v>24</v>
      </c>
      <c r="G262" t="s">
        <v>245</v>
      </c>
      <c r="H262" t="s">
        <v>246</v>
      </c>
      <c r="I262" t="s">
        <v>328</v>
      </c>
      <c r="J262" t="s">
        <v>148</v>
      </c>
      <c r="K262" t="s">
        <v>93</v>
      </c>
      <c r="L262" t="s">
        <v>329</v>
      </c>
      <c r="M262" t="s">
        <v>25</v>
      </c>
      <c r="N262" t="s">
        <v>141</v>
      </c>
      <c r="O262" t="s">
        <v>20</v>
      </c>
      <c r="P262">
        <v>15</v>
      </c>
      <c r="Q262" s="17">
        <v>13</v>
      </c>
      <c r="R262">
        <v>13</v>
      </c>
      <c r="S262">
        <v>0.13333333</v>
      </c>
      <c r="T262">
        <v>2</v>
      </c>
      <c r="U262">
        <v>20</v>
      </c>
      <c r="V262">
        <v>0.00096159</v>
      </c>
      <c r="W262">
        <v>13</v>
      </c>
      <c r="X262">
        <v>22.80701754</v>
      </c>
      <c r="Y262">
        <v>0.39285714</v>
      </c>
      <c r="Z262">
        <v>0.57</v>
      </c>
      <c r="AA262" s="2">
        <v>0</v>
      </c>
      <c r="AB262" s="2">
        <v>2</v>
      </c>
      <c r="AC262" s="2">
        <v>5</v>
      </c>
      <c r="AD262" s="2">
        <v>12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</row>
    <row r="263" spans="1:40">
      <c r="A263" t="s">
        <v>131</v>
      </c>
      <c r="B263" t="s">
        <v>191</v>
      </c>
      <c r="C263" t="s">
        <v>192</v>
      </c>
      <c r="D263" t="s">
        <v>193</v>
      </c>
      <c r="E263" t="s">
        <v>135</v>
      </c>
      <c r="F263" t="s">
        <v>49</v>
      </c>
      <c r="G263" t="s">
        <v>194</v>
      </c>
      <c r="H263" t="s">
        <v>195</v>
      </c>
      <c r="I263" t="s">
        <v>328</v>
      </c>
      <c r="J263" t="s">
        <v>148</v>
      </c>
      <c r="K263" t="s">
        <v>93</v>
      </c>
      <c r="L263" t="s">
        <v>329</v>
      </c>
      <c r="M263" t="s">
        <v>25</v>
      </c>
      <c r="N263" t="s">
        <v>141</v>
      </c>
      <c r="O263" t="s">
        <v>20</v>
      </c>
      <c r="P263">
        <v>15</v>
      </c>
      <c r="Q263" s="17">
        <v>15</v>
      </c>
      <c r="R263">
        <v>15</v>
      </c>
      <c r="S263">
        <v>0</v>
      </c>
      <c r="T263">
        <v>0</v>
      </c>
      <c r="U263">
        <v>27.25</v>
      </c>
      <c r="V263">
        <v>0.00313289</v>
      </c>
      <c r="W263">
        <v>15</v>
      </c>
      <c r="X263">
        <v>29.20723227</v>
      </c>
      <c r="Y263">
        <v>0.42857143</v>
      </c>
      <c r="Z263">
        <v>0.51357143</v>
      </c>
      <c r="AA263" s="2">
        <v>0</v>
      </c>
      <c r="AB263" s="2">
        <v>2</v>
      </c>
      <c r="AC263" s="2">
        <v>3</v>
      </c>
      <c r="AD263" s="2">
        <v>12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>
      <c r="A264" t="s">
        <v>131</v>
      </c>
      <c r="B264" t="s">
        <v>247</v>
      </c>
      <c r="C264" t="s">
        <v>248</v>
      </c>
      <c r="D264" t="s">
        <v>249</v>
      </c>
      <c r="E264" t="s">
        <v>135</v>
      </c>
      <c r="F264" t="s">
        <v>48</v>
      </c>
      <c r="G264" t="s">
        <v>250</v>
      </c>
      <c r="H264" t="s">
        <v>251</v>
      </c>
      <c r="I264" t="s">
        <v>150</v>
      </c>
      <c r="J264" t="s">
        <v>148</v>
      </c>
      <c r="K264" t="s">
        <v>83</v>
      </c>
      <c r="L264" t="s">
        <v>151</v>
      </c>
      <c r="M264" t="s">
        <v>25</v>
      </c>
      <c r="N264" t="s">
        <v>141</v>
      </c>
      <c r="O264" t="s">
        <v>20</v>
      </c>
      <c r="P264">
        <v>15</v>
      </c>
      <c r="Q264" s="17">
        <v>15</v>
      </c>
      <c r="R264">
        <v>15</v>
      </c>
      <c r="S264">
        <v>0</v>
      </c>
      <c r="T264">
        <v>0</v>
      </c>
      <c r="U264">
        <v>26.55555556</v>
      </c>
      <c r="V264">
        <v>0.00327914</v>
      </c>
      <c r="W264">
        <v>15</v>
      </c>
      <c r="X264">
        <v>28.84615385</v>
      </c>
      <c r="Y264">
        <v>0.53571429</v>
      </c>
      <c r="Z264">
        <v>0.52</v>
      </c>
      <c r="AA264" s="2">
        <v>2</v>
      </c>
      <c r="AB264" s="2">
        <v>4</v>
      </c>
      <c r="AC264" s="2">
        <v>6</v>
      </c>
      <c r="AD264" s="2">
        <v>15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</row>
    <row r="265" spans="1:40">
      <c r="A265" t="s">
        <v>131</v>
      </c>
      <c r="B265" t="s">
        <v>252</v>
      </c>
      <c r="C265" t="s">
        <v>253</v>
      </c>
      <c r="D265" t="s">
        <v>254</v>
      </c>
      <c r="E265" t="s">
        <v>135</v>
      </c>
      <c r="F265" t="s">
        <v>40</v>
      </c>
      <c r="G265" t="s">
        <v>255</v>
      </c>
      <c r="H265" t="s">
        <v>256</v>
      </c>
      <c r="I265" t="s">
        <v>152</v>
      </c>
      <c r="J265" t="s">
        <v>148</v>
      </c>
      <c r="K265" t="s">
        <v>79</v>
      </c>
      <c r="L265" t="s">
        <v>153</v>
      </c>
      <c r="M265" t="s">
        <v>25</v>
      </c>
      <c r="N265" t="s">
        <v>141</v>
      </c>
      <c r="O265" t="s">
        <v>20</v>
      </c>
      <c r="P265">
        <v>14</v>
      </c>
      <c r="Q265" s="17">
        <v>14</v>
      </c>
      <c r="R265">
        <v>14</v>
      </c>
      <c r="S265">
        <v>0</v>
      </c>
      <c r="T265">
        <v>0</v>
      </c>
      <c r="U265">
        <v>191</v>
      </c>
      <c r="V265">
        <v>0.00682165</v>
      </c>
      <c r="W265">
        <v>14</v>
      </c>
      <c r="X265">
        <v>44.64692483</v>
      </c>
      <c r="Y265">
        <v>0.17857143</v>
      </c>
      <c r="Z265">
        <v>0.31357143</v>
      </c>
      <c r="AA265" s="2">
        <v>0</v>
      </c>
      <c r="AB265" s="2">
        <v>0</v>
      </c>
      <c r="AC265" s="2">
        <v>1</v>
      </c>
      <c r="AD265" s="2">
        <v>6</v>
      </c>
      <c r="AE265">
        <v>0</v>
      </c>
      <c r="AF265">
        <v>0</v>
      </c>
      <c r="AG265">
        <v>0</v>
      </c>
      <c r="AH265">
        <v>0</v>
      </c>
      <c r="AI265">
        <v>4.04</v>
      </c>
      <c r="AJ265">
        <v>0</v>
      </c>
      <c r="AK265">
        <v>0</v>
      </c>
      <c r="AL265">
        <v>0</v>
      </c>
      <c r="AM265">
        <v>0</v>
      </c>
      <c r="AN265">
        <v>0</v>
      </c>
    </row>
    <row r="266" spans="1:40">
      <c r="A266" t="s">
        <v>131</v>
      </c>
      <c r="B266" t="s">
        <v>269</v>
      </c>
      <c r="C266" t="s">
        <v>270</v>
      </c>
      <c r="D266" t="s">
        <v>271</v>
      </c>
      <c r="E266" t="s">
        <v>135</v>
      </c>
      <c r="F266" t="s">
        <v>60</v>
      </c>
      <c r="G266" t="s">
        <v>272</v>
      </c>
      <c r="H266" t="s">
        <v>273</v>
      </c>
      <c r="I266" t="s">
        <v>138</v>
      </c>
      <c r="J266" t="s">
        <v>139</v>
      </c>
      <c r="K266" t="s">
        <v>97</v>
      </c>
      <c r="L266" t="s">
        <v>140</v>
      </c>
      <c r="M266" t="s">
        <v>17</v>
      </c>
      <c r="N266" t="s">
        <v>141</v>
      </c>
      <c r="O266" t="s">
        <v>20</v>
      </c>
      <c r="P266">
        <v>14</v>
      </c>
      <c r="Q266" s="17">
        <v>14</v>
      </c>
      <c r="R266">
        <v>6</v>
      </c>
      <c r="S266">
        <v>0</v>
      </c>
      <c r="T266">
        <v>0</v>
      </c>
      <c r="U266">
        <v>7.43589744</v>
      </c>
      <c r="V266">
        <v>-0.03024293</v>
      </c>
      <c r="W266">
        <v>6</v>
      </c>
      <c r="X266">
        <v>2.10236516</v>
      </c>
      <c r="Y266">
        <v>3.21428571</v>
      </c>
      <c r="Z266">
        <v>2.85392857</v>
      </c>
      <c r="AA266" s="2">
        <v>5</v>
      </c>
      <c r="AB266" s="2">
        <v>48</v>
      </c>
      <c r="AC266" s="2">
        <v>64</v>
      </c>
      <c r="AD266" s="2">
        <v>94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80</v>
      </c>
      <c r="AN266">
        <v>0</v>
      </c>
    </row>
    <row r="267" spans="1:40">
      <c r="A267" t="s">
        <v>131</v>
      </c>
      <c r="B267" t="s">
        <v>247</v>
      </c>
      <c r="C267" t="s">
        <v>248</v>
      </c>
      <c r="D267" t="s">
        <v>249</v>
      </c>
      <c r="E267" t="s">
        <v>135</v>
      </c>
      <c r="F267" t="s">
        <v>48</v>
      </c>
      <c r="G267" t="s">
        <v>250</v>
      </c>
      <c r="H267" t="s">
        <v>251</v>
      </c>
      <c r="I267" t="s">
        <v>184</v>
      </c>
      <c r="J267" t="s">
        <v>139</v>
      </c>
      <c r="K267" t="s">
        <v>80</v>
      </c>
      <c r="L267" t="s">
        <v>185</v>
      </c>
      <c r="M267" t="s">
        <v>25</v>
      </c>
      <c r="N267" t="s">
        <v>141</v>
      </c>
      <c r="O267" t="s">
        <v>20</v>
      </c>
      <c r="P267">
        <v>14</v>
      </c>
      <c r="Q267" s="17">
        <v>14</v>
      </c>
      <c r="R267">
        <v>14</v>
      </c>
      <c r="S267">
        <v>0</v>
      </c>
      <c r="T267">
        <v>0</v>
      </c>
      <c r="U267">
        <v>20.9</v>
      </c>
      <c r="V267">
        <v>0.00142202</v>
      </c>
      <c r="W267">
        <v>14</v>
      </c>
      <c r="X267">
        <v>31.76661264</v>
      </c>
      <c r="Y267">
        <v>0.39285714</v>
      </c>
      <c r="Z267">
        <v>0.44071429</v>
      </c>
      <c r="AA267" s="2">
        <v>0</v>
      </c>
      <c r="AB267" s="2">
        <v>1</v>
      </c>
      <c r="AC267" s="2">
        <v>4</v>
      </c>
      <c r="AD267" s="2">
        <v>12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>
      <c r="A268" t="s">
        <v>131</v>
      </c>
      <c r="B268" t="s">
        <v>252</v>
      </c>
      <c r="C268" t="s">
        <v>253</v>
      </c>
      <c r="D268" t="s">
        <v>254</v>
      </c>
      <c r="E268" t="s">
        <v>135</v>
      </c>
      <c r="F268" t="s">
        <v>40</v>
      </c>
      <c r="G268" t="s">
        <v>255</v>
      </c>
      <c r="H268" t="s">
        <v>256</v>
      </c>
      <c r="I268" t="s">
        <v>147</v>
      </c>
      <c r="J268" t="s">
        <v>148</v>
      </c>
      <c r="K268" t="s">
        <v>58</v>
      </c>
      <c r="L268" t="s">
        <v>149</v>
      </c>
      <c r="M268" t="s">
        <v>25</v>
      </c>
      <c r="N268" t="s">
        <v>141</v>
      </c>
      <c r="O268" t="s">
        <v>20</v>
      </c>
      <c r="P268">
        <v>12</v>
      </c>
      <c r="Q268" s="17">
        <v>12</v>
      </c>
      <c r="R268">
        <v>12</v>
      </c>
      <c r="S268">
        <v>0</v>
      </c>
      <c r="T268">
        <v>0</v>
      </c>
      <c r="U268">
        <v>14.77777778</v>
      </c>
      <c r="V268">
        <v>-0.00088458</v>
      </c>
      <c r="W268">
        <v>12</v>
      </c>
      <c r="X268">
        <v>21.70542636</v>
      </c>
      <c r="Y268">
        <v>0.46428571</v>
      </c>
      <c r="Z268">
        <v>0.55285714</v>
      </c>
      <c r="AA268" s="2">
        <v>0</v>
      </c>
      <c r="AB268" s="2">
        <v>4</v>
      </c>
      <c r="AC268" s="2">
        <v>5</v>
      </c>
      <c r="AD268" s="2">
        <v>13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4</v>
      </c>
      <c r="AM268">
        <v>0</v>
      </c>
      <c r="AN268">
        <v>0</v>
      </c>
    </row>
    <row r="269" spans="1:40">
      <c r="A269" t="s">
        <v>131</v>
      </c>
      <c r="B269" t="s">
        <v>252</v>
      </c>
      <c r="C269" t="s">
        <v>253</v>
      </c>
      <c r="D269" t="s">
        <v>254</v>
      </c>
      <c r="E269" t="s">
        <v>135</v>
      </c>
      <c r="F269" t="s">
        <v>40</v>
      </c>
      <c r="G269" t="s">
        <v>255</v>
      </c>
      <c r="H269" t="s">
        <v>256</v>
      </c>
      <c r="I269" t="s">
        <v>175</v>
      </c>
      <c r="J269" t="s">
        <v>139</v>
      </c>
      <c r="K269" t="s">
        <v>74</v>
      </c>
      <c r="L269" t="s">
        <v>176</v>
      </c>
      <c r="M269" t="s">
        <v>25</v>
      </c>
      <c r="N269" t="s">
        <v>141</v>
      </c>
      <c r="O269" t="s">
        <v>20</v>
      </c>
      <c r="P269">
        <v>12</v>
      </c>
      <c r="Q269" s="17">
        <v>12</v>
      </c>
      <c r="R269">
        <v>12</v>
      </c>
      <c r="S269">
        <v>0</v>
      </c>
      <c r="T269">
        <v>0</v>
      </c>
      <c r="U269">
        <v>19.11111111</v>
      </c>
      <c r="V269">
        <v>0.00064735</v>
      </c>
      <c r="W269">
        <v>12</v>
      </c>
      <c r="X269">
        <v>15.12832058</v>
      </c>
      <c r="Y269">
        <v>0.39285714</v>
      </c>
      <c r="Z269">
        <v>0.79321429</v>
      </c>
      <c r="AA269" s="2">
        <v>0</v>
      </c>
      <c r="AB269" s="2">
        <v>6</v>
      </c>
      <c r="AC269" s="2">
        <v>8</v>
      </c>
      <c r="AD269" s="2">
        <v>12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12</v>
      </c>
      <c r="AM269">
        <v>0</v>
      </c>
      <c r="AN269">
        <v>0</v>
      </c>
    </row>
    <row r="270" spans="1:40">
      <c r="A270" t="s">
        <v>131</v>
      </c>
      <c r="B270" t="s">
        <v>210</v>
      </c>
      <c r="C270" t="s">
        <v>211</v>
      </c>
      <c r="D270" t="s">
        <v>212</v>
      </c>
      <c r="E270" t="s">
        <v>135</v>
      </c>
      <c r="F270" t="s">
        <v>16</v>
      </c>
      <c r="G270" t="s">
        <v>213</v>
      </c>
      <c r="H270" t="s">
        <v>214</v>
      </c>
      <c r="I270" t="s">
        <v>330</v>
      </c>
      <c r="J270" t="s">
        <v>280</v>
      </c>
      <c r="K270" t="s">
        <v>46</v>
      </c>
      <c r="L270" t="s">
        <v>331</v>
      </c>
      <c r="M270" t="s">
        <v>17</v>
      </c>
      <c r="N270" t="s">
        <v>141</v>
      </c>
      <c r="O270" t="s">
        <v>18</v>
      </c>
      <c r="P270">
        <v>12</v>
      </c>
      <c r="Q270" s="17">
        <v>12</v>
      </c>
      <c r="R270">
        <v>12</v>
      </c>
      <c r="S270">
        <v>0</v>
      </c>
      <c r="T270">
        <v>0</v>
      </c>
      <c r="U270">
        <v>36.71428571</v>
      </c>
      <c r="V270">
        <v>0.00534329</v>
      </c>
      <c r="W270">
        <v>12</v>
      </c>
      <c r="X270">
        <v>999999999</v>
      </c>
      <c r="Y270">
        <v>0.64285714</v>
      </c>
      <c r="Z270">
        <v>0</v>
      </c>
      <c r="AA270" s="2">
        <v>0</v>
      </c>
      <c r="AB270" s="2">
        <v>0</v>
      </c>
      <c r="AC270" s="2">
        <v>0</v>
      </c>
      <c r="AD270" s="2">
        <v>24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</row>
    <row r="271" spans="1:40">
      <c r="A271" t="s">
        <v>131</v>
      </c>
      <c r="B271" t="s">
        <v>142</v>
      </c>
      <c r="C271" t="s">
        <v>143</v>
      </c>
      <c r="D271" t="s">
        <v>144</v>
      </c>
      <c r="E271" t="s">
        <v>135</v>
      </c>
      <c r="F271" t="s">
        <v>19</v>
      </c>
      <c r="G271" t="s">
        <v>145</v>
      </c>
      <c r="H271" t="s">
        <v>146</v>
      </c>
      <c r="I271" t="s">
        <v>203</v>
      </c>
      <c r="J271" t="s">
        <v>139</v>
      </c>
      <c r="K271" t="s">
        <v>88</v>
      </c>
      <c r="L271" t="s">
        <v>204</v>
      </c>
      <c r="M271" t="s">
        <v>17</v>
      </c>
      <c r="N271" t="s">
        <v>141</v>
      </c>
      <c r="O271" t="s">
        <v>20</v>
      </c>
      <c r="P271">
        <v>12</v>
      </c>
      <c r="Q271" s="17">
        <v>9</v>
      </c>
      <c r="R271">
        <v>0</v>
      </c>
      <c r="S271">
        <v>0.25</v>
      </c>
      <c r="T271">
        <v>3</v>
      </c>
      <c r="U271">
        <v>10.54249292</v>
      </c>
      <c r="V271">
        <v>-0.19210286</v>
      </c>
      <c r="W271">
        <v>9</v>
      </c>
      <c r="X271">
        <v>0</v>
      </c>
      <c r="Y271">
        <v>34.5</v>
      </c>
      <c r="Z271">
        <v>25.21428571</v>
      </c>
      <c r="AA271" s="2">
        <v>44</v>
      </c>
      <c r="AB271" s="2">
        <v>362</v>
      </c>
      <c r="AC271" s="2">
        <v>569</v>
      </c>
      <c r="AD271" s="2">
        <v>967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1132</v>
      </c>
      <c r="AN271">
        <v>0</v>
      </c>
    </row>
    <row r="272" spans="1:40">
      <c r="A272" t="s">
        <v>131</v>
      </c>
      <c r="B272" t="s">
        <v>191</v>
      </c>
      <c r="C272" t="s">
        <v>192</v>
      </c>
      <c r="D272" t="s">
        <v>193</v>
      </c>
      <c r="E272" t="s">
        <v>135</v>
      </c>
      <c r="F272" t="s">
        <v>49</v>
      </c>
      <c r="G272" t="s">
        <v>194</v>
      </c>
      <c r="H272" t="s">
        <v>195</v>
      </c>
      <c r="I272" t="s">
        <v>294</v>
      </c>
      <c r="J272" t="s">
        <v>148</v>
      </c>
      <c r="K272" t="s">
        <v>99</v>
      </c>
      <c r="L272" t="s">
        <v>295</v>
      </c>
      <c r="M272" t="s">
        <v>25</v>
      </c>
      <c r="N272" t="s">
        <v>141</v>
      </c>
      <c r="O272" t="s">
        <v>20</v>
      </c>
      <c r="P272">
        <v>12</v>
      </c>
      <c r="Q272" s="17">
        <v>12</v>
      </c>
      <c r="R272">
        <v>12</v>
      </c>
      <c r="S272">
        <v>0</v>
      </c>
      <c r="T272">
        <v>0</v>
      </c>
      <c r="U272">
        <v>15.5</v>
      </c>
      <c r="V272">
        <v>-0.00083911</v>
      </c>
      <c r="W272">
        <v>12</v>
      </c>
      <c r="X272">
        <v>18.8976378</v>
      </c>
      <c r="Y272">
        <v>0.57142857</v>
      </c>
      <c r="Z272">
        <v>0.635</v>
      </c>
      <c r="AA272" s="2">
        <v>0</v>
      </c>
      <c r="AB272" s="2">
        <v>4</v>
      </c>
      <c r="AC272" s="2">
        <v>5</v>
      </c>
      <c r="AD272" s="2">
        <v>16</v>
      </c>
      <c r="AE272">
        <v>0</v>
      </c>
      <c r="AF272">
        <v>0</v>
      </c>
      <c r="AG272">
        <v>0</v>
      </c>
      <c r="AH272">
        <v>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</row>
    <row r="273" spans="1:40">
      <c r="A273" t="s">
        <v>131</v>
      </c>
      <c r="B273" t="s">
        <v>154</v>
      </c>
      <c r="C273" t="s">
        <v>155</v>
      </c>
      <c r="D273" t="s">
        <v>156</v>
      </c>
      <c r="E273" t="s">
        <v>135</v>
      </c>
      <c r="F273" t="s">
        <v>39</v>
      </c>
      <c r="G273" t="s">
        <v>157</v>
      </c>
      <c r="H273" t="s">
        <v>158</v>
      </c>
      <c r="I273" t="s">
        <v>147</v>
      </c>
      <c r="J273" t="s">
        <v>148</v>
      </c>
      <c r="K273" t="s">
        <v>58</v>
      </c>
      <c r="L273" t="s">
        <v>149</v>
      </c>
      <c r="M273" t="s">
        <v>25</v>
      </c>
      <c r="N273" t="s">
        <v>141</v>
      </c>
      <c r="O273" t="s">
        <v>20</v>
      </c>
      <c r="P273">
        <v>12</v>
      </c>
      <c r="Q273" s="17">
        <v>12</v>
      </c>
      <c r="R273">
        <v>12</v>
      </c>
      <c r="S273">
        <v>0</v>
      </c>
      <c r="T273">
        <v>0</v>
      </c>
      <c r="U273">
        <v>999999999</v>
      </c>
      <c r="V273">
        <v>0.00659677</v>
      </c>
      <c r="W273">
        <v>12</v>
      </c>
      <c r="X273">
        <v>62.4535316</v>
      </c>
      <c r="Y273">
        <v>0</v>
      </c>
      <c r="Z273">
        <v>0.19214286</v>
      </c>
      <c r="AA273" s="2">
        <v>0</v>
      </c>
      <c r="AB273" s="2">
        <v>0</v>
      </c>
      <c r="AC273" s="2">
        <v>0</v>
      </c>
      <c r="AD273" s="2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</row>
    <row r="274" spans="1:40">
      <c r="A274" t="s">
        <v>131</v>
      </c>
      <c r="B274" t="s">
        <v>154</v>
      </c>
      <c r="C274" t="s">
        <v>155</v>
      </c>
      <c r="D274" t="s">
        <v>156</v>
      </c>
      <c r="E274" t="s">
        <v>135</v>
      </c>
      <c r="F274" t="s">
        <v>39</v>
      </c>
      <c r="G274" t="s">
        <v>157</v>
      </c>
      <c r="H274" t="s">
        <v>158</v>
      </c>
      <c r="I274" t="s">
        <v>257</v>
      </c>
      <c r="J274" t="s">
        <v>148</v>
      </c>
      <c r="K274" t="s">
        <v>86</v>
      </c>
      <c r="L274" t="s">
        <v>258</v>
      </c>
      <c r="M274" t="s">
        <v>25</v>
      </c>
      <c r="N274" t="s">
        <v>141</v>
      </c>
      <c r="O274" t="s">
        <v>20</v>
      </c>
      <c r="P274">
        <v>12</v>
      </c>
      <c r="Q274" s="17">
        <v>12</v>
      </c>
      <c r="R274">
        <v>12</v>
      </c>
      <c r="S274">
        <v>0</v>
      </c>
      <c r="T274">
        <v>0</v>
      </c>
      <c r="U274">
        <v>999999999</v>
      </c>
      <c r="V274">
        <v>0.00683237</v>
      </c>
      <c r="W274">
        <v>12</v>
      </c>
      <c r="X274">
        <v>71.4893617</v>
      </c>
      <c r="Y274">
        <v>0</v>
      </c>
      <c r="Z274">
        <v>0.16785714</v>
      </c>
      <c r="AA274" s="2">
        <v>0</v>
      </c>
      <c r="AB274" s="2">
        <v>0</v>
      </c>
      <c r="AC274" s="2">
        <v>0</v>
      </c>
      <c r="AD274" s="2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</row>
    <row r="275" spans="1:40">
      <c r="A275" t="s">
        <v>131</v>
      </c>
      <c r="B275" t="s">
        <v>166</v>
      </c>
      <c r="C275" t="s">
        <v>167</v>
      </c>
      <c r="D275" t="s">
        <v>168</v>
      </c>
      <c r="E275" t="s">
        <v>135</v>
      </c>
      <c r="F275" t="s">
        <v>65</v>
      </c>
      <c r="G275" t="s">
        <v>169</v>
      </c>
      <c r="H275" t="s">
        <v>170</v>
      </c>
      <c r="I275" t="s">
        <v>230</v>
      </c>
      <c r="J275" t="s">
        <v>148</v>
      </c>
      <c r="K275" t="s">
        <v>91</v>
      </c>
      <c r="L275" t="s">
        <v>231</v>
      </c>
      <c r="M275" t="s">
        <v>17</v>
      </c>
      <c r="N275" t="s">
        <v>141</v>
      </c>
      <c r="O275" t="s">
        <v>20</v>
      </c>
      <c r="P275">
        <v>11</v>
      </c>
      <c r="Q275" s="17">
        <v>11</v>
      </c>
      <c r="R275">
        <v>11</v>
      </c>
      <c r="S275">
        <v>0</v>
      </c>
      <c r="T275">
        <v>0</v>
      </c>
      <c r="U275">
        <v>18.97297297</v>
      </c>
      <c r="V275">
        <v>0.00246328</v>
      </c>
      <c r="W275">
        <v>11</v>
      </c>
      <c r="X275">
        <v>4.8125</v>
      </c>
      <c r="Y275">
        <v>1.32142857</v>
      </c>
      <c r="Z275">
        <v>2.28571429</v>
      </c>
      <c r="AA275" s="2">
        <v>3</v>
      </c>
      <c r="AB275" s="2">
        <v>7</v>
      </c>
      <c r="AC275" s="2">
        <v>30</v>
      </c>
      <c r="AD275" s="2">
        <v>37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139</v>
      </c>
      <c r="AN275">
        <v>0</v>
      </c>
    </row>
    <row r="276" spans="1:40">
      <c r="A276" t="s">
        <v>131</v>
      </c>
      <c r="B276" t="s">
        <v>154</v>
      </c>
      <c r="C276" t="s">
        <v>155</v>
      </c>
      <c r="D276" t="s">
        <v>156</v>
      </c>
      <c r="E276" t="s">
        <v>135</v>
      </c>
      <c r="F276" t="s">
        <v>39</v>
      </c>
      <c r="G276" t="s">
        <v>157</v>
      </c>
      <c r="H276" t="s">
        <v>158</v>
      </c>
      <c r="I276" t="s">
        <v>203</v>
      </c>
      <c r="J276" t="s">
        <v>139</v>
      </c>
      <c r="K276" t="s">
        <v>88</v>
      </c>
      <c r="L276" t="s">
        <v>204</v>
      </c>
      <c r="M276" t="s">
        <v>25</v>
      </c>
      <c r="N276" t="s">
        <v>141</v>
      </c>
      <c r="O276" t="s">
        <v>20</v>
      </c>
      <c r="P276">
        <v>11</v>
      </c>
      <c r="Q276" s="17">
        <v>11</v>
      </c>
      <c r="R276">
        <v>11</v>
      </c>
      <c r="S276">
        <v>0</v>
      </c>
      <c r="T276">
        <v>0</v>
      </c>
      <c r="U276">
        <v>146</v>
      </c>
      <c r="V276">
        <v>0.00505458</v>
      </c>
      <c r="W276">
        <v>11</v>
      </c>
      <c r="X276">
        <v>75.49019608</v>
      </c>
      <c r="Y276">
        <v>0.03571429</v>
      </c>
      <c r="Z276">
        <v>0.14571429</v>
      </c>
      <c r="AA276" s="2">
        <v>0</v>
      </c>
      <c r="AB276" s="2">
        <v>0</v>
      </c>
      <c r="AC276" s="2">
        <v>1</v>
      </c>
      <c r="AD276" s="2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</row>
    <row r="277" spans="1:40">
      <c r="A277" t="s">
        <v>131</v>
      </c>
      <c r="B277" t="s">
        <v>154</v>
      </c>
      <c r="C277" t="s">
        <v>155</v>
      </c>
      <c r="D277" t="s">
        <v>156</v>
      </c>
      <c r="E277" t="s">
        <v>135</v>
      </c>
      <c r="F277" t="s">
        <v>39</v>
      </c>
      <c r="G277" t="s">
        <v>157</v>
      </c>
      <c r="H277" t="s">
        <v>158</v>
      </c>
      <c r="I277" t="s">
        <v>150</v>
      </c>
      <c r="J277" t="s">
        <v>148</v>
      </c>
      <c r="K277" t="s">
        <v>83</v>
      </c>
      <c r="L277" t="s">
        <v>151</v>
      </c>
      <c r="M277" t="s">
        <v>25</v>
      </c>
      <c r="N277" t="s">
        <v>141</v>
      </c>
      <c r="O277" t="s">
        <v>20</v>
      </c>
      <c r="P277">
        <v>11</v>
      </c>
      <c r="Q277" s="17">
        <v>11</v>
      </c>
      <c r="R277">
        <v>11</v>
      </c>
      <c r="S277">
        <v>0</v>
      </c>
      <c r="T277">
        <v>0</v>
      </c>
      <c r="U277">
        <v>82.5</v>
      </c>
      <c r="V277">
        <v>0.00512233</v>
      </c>
      <c r="W277">
        <v>11</v>
      </c>
      <c r="X277">
        <v>31.11111111</v>
      </c>
      <c r="Y277">
        <v>0.25</v>
      </c>
      <c r="Z277">
        <v>0.35357143</v>
      </c>
      <c r="AA277" s="2">
        <v>0</v>
      </c>
      <c r="AB277" s="2">
        <v>0</v>
      </c>
      <c r="AC277" s="2">
        <v>2</v>
      </c>
      <c r="AD277" s="2">
        <v>7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</row>
    <row r="278" spans="1:40">
      <c r="A278" t="s">
        <v>131</v>
      </c>
      <c r="B278" t="s">
        <v>154</v>
      </c>
      <c r="C278" t="s">
        <v>155</v>
      </c>
      <c r="D278" t="s">
        <v>156</v>
      </c>
      <c r="E278" t="s">
        <v>135</v>
      </c>
      <c r="F278" t="s">
        <v>39</v>
      </c>
      <c r="G278" t="s">
        <v>157</v>
      </c>
      <c r="H278" t="s">
        <v>158</v>
      </c>
      <c r="I278" t="s">
        <v>171</v>
      </c>
      <c r="J278" t="s">
        <v>148</v>
      </c>
      <c r="K278" t="s">
        <v>75</v>
      </c>
      <c r="L278" t="s">
        <v>172</v>
      </c>
      <c r="M278" t="s">
        <v>25</v>
      </c>
      <c r="N278" t="s">
        <v>141</v>
      </c>
      <c r="O278" t="s">
        <v>20</v>
      </c>
      <c r="P278">
        <v>11</v>
      </c>
      <c r="Q278" s="17">
        <v>11</v>
      </c>
      <c r="R278">
        <v>11</v>
      </c>
      <c r="S278">
        <v>0</v>
      </c>
      <c r="T278">
        <v>0</v>
      </c>
      <c r="U278">
        <v>159</v>
      </c>
      <c r="V278">
        <v>0.00556507</v>
      </c>
      <c r="W278">
        <v>11</v>
      </c>
      <c r="X278">
        <v>70</v>
      </c>
      <c r="Y278">
        <v>0.03571429</v>
      </c>
      <c r="Z278">
        <v>0.15714286</v>
      </c>
      <c r="AA278" s="2">
        <v>0</v>
      </c>
      <c r="AB278" s="2">
        <v>1</v>
      </c>
      <c r="AC278" s="2">
        <v>1</v>
      </c>
      <c r="AD278" s="2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</row>
    <row r="279" spans="1:40">
      <c r="A279" t="s">
        <v>131</v>
      </c>
      <c r="B279" t="s">
        <v>154</v>
      </c>
      <c r="C279" t="s">
        <v>155</v>
      </c>
      <c r="D279" t="s">
        <v>156</v>
      </c>
      <c r="E279" t="s">
        <v>135</v>
      </c>
      <c r="F279" t="s">
        <v>39</v>
      </c>
      <c r="G279" t="s">
        <v>157</v>
      </c>
      <c r="H279" t="s">
        <v>158</v>
      </c>
      <c r="I279" t="s">
        <v>199</v>
      </c>
      <c r="J279" t="s">
        <v>148</v>
      </c>
      <c r="K279" t="s">
        <v>78</v>
      </c>
      <c r="L279" t="s">
        <v>200</v>
      </c>
      <c r="M279" t="s">
        <v>25</v>
      </c>
      <c r="N279" t="s">
        <v>141</v>
      </c>
      <c r="O279" t="s">
        <v>20</v>
      </c>
      <c r="P279">
        <v>11</v>
      </c>
      <c r="Q279" s="17">
        <v>11</v>
      </c>
      <c r="R279">
        <v>11</v>
      </c>
      <c r="S279">
        <v>0</v>
      </c>
      <c r="T279">
        <v>0</v>
      </c>
      <c r="U279">
        <v>999999999</v>
      </c>
      <c r="V279">
        <v>0.00549731</v>
      </c>
      <c r="W279">
        <v>11</v>
      </c>
      <c r="X279">
        <v>95.95015576</v>
      </c>
      <c r="Y279">
        <v>0.03571429</v>
      </c>
      <c r="Z279">
        <v>0.11464286</v>
      </c>
      <c r="AA279" s="2">
        <v>0</v>
      </c>
      <c r="AB279" s="2">
        <v>0</v>
      </c>
      <c r="AC279" s="2">
        <v>0</v>
      </c>
      <c r="AD279" s="2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</row>
    <row r="280" spans="1:40">
      <c r="A280" t="s">
        <v>131</v>
      </c>
      <c r="B280" t="s">
        <v>252</v>
      </c>
      <c r="C280" t="s">
        <v>253</v>
      </c>
      <c r="D280" t="s">
        <v>254</v>
      </c>
      <c r="E280" t="s">
        <v>135</v>
      </c>
      <c r="F280" t="s">
        <v>40</v>
      </c>
      <c r="G280" t="s">
        <v>255</v>
      </c>
      <c r="H280" t="s">
        <v>256</v>
      </c>
      <c r="I280" t="s">
        <v>294</v>
      </c>
      <c r="J280" t="s">
        <v>148</v>
      </c>
      <c r="K280" t="s">
        <v>99</v>
      </c>
      <c r="L280" t="s">
        <v>295</v>
      </c>
      <c r="M280" t="s">
        <v>25</v>
      </c>
      <c r="N280" t="s">
        <v>141</v>
      </c>
      <c r="O280" t="s">
        <v>20</v>
      </c>
      <c r="P280">
        <v>10</v>
      </c>
      <c r="Q280" s="17">
        <v>10</v>
      </c>
      <c r="R280">
        <v>10</v>
      </c>
      <c r="S280">
        <v>0</v>
      </c>
      <c r="T280">
        <v>0</v>
      </c>
      <c r="U280">
        <v>24.33333333</v>
      </c>
      <c r="V280">
        <v>0.00083098</v>
      </c>
      <c r="W280">
        <v>10</v>
      </c>
      <c r="X280">
        <v>51.66051661</v>
      </c>
      <c r="Y280">
        <v>0.17857143</v>
      </c>
      <c r="Z280">
        <v>0.19357143</v>
      </c>
      <c r="AA280" s="2">
        <v>0</v>
      </c>
      <c r="AB280" s="2">
        <v>0</v>
      </c>
      <c r="AC280" s="2">
        <v>2</v>
      </c>
      <c r="AD280" s="2">
        <v>5</v>
      </c>
      <c r="AE280">
        <v>0</v>
      </c>
      <c r="AF280">
        <v>0</v>
      </c>
      <c r="AG280">
        <v>0</v>
      </c>
      <c r="AH280">
        <v>0</v>
      </c>
      <c r="AI280">
        <v>1.46</v>
      </c>
      <c r="AJ280">
        <v>0</v>
      </c>
      <c r="AK280">
        <v>0</v>
      </c>
      <c r="AL280">
        <v>0</v>
      </c>
      <c r="AM280">
        <v>0</v>
      </c>
      <c r="AN280">
        <v>0</v>
      </c>
    </row>
    <row r="281" spans="1:40">
      <c r="A281" t="s">
        <v>131</v>
      </c>
      <c r="B281" t="s">
        <v>282</v>
      </c>
      <c r="C281" t="s">
        <v>283</v>
      </c>
      <c r="D281" t="s">
        <v>284</v>
      </c>
      <c r="E281" t="s">
        <v>285</v>
      </c>
      <c r="F281" t="s">
        <v>38</v>
      </c>
      <c r="G281" t="s">
        <v>286</v>
      </c>
      <c r="H281" t="s">
        <v>287</v>
      </c>
      <c r="I281" t="s">
        <v>173</v>
      </c>
      <c r="J281" t="s">
        <v>148</v>
      </c>
      <c r="K281" t="s">
        <v>98</v>
      </c>
      <c r="L281" t="s">
        <v>174</v>
      </c>
      <c r="M281" t="s">
        <v>25</v>
      </c>
      <c r="N281" t="s">
        <v>141</v>
      </c>
      <c r="O281" t="s">
        <v>20</v>
      </c>
      <c r="P281">
        <v>10</v>
      </c>
      <c r="Q281" s="17">
        <v>10</v>
      </c>
      <c r="R281">
        <v>10</v>
      </c>
      <c r="S281">
        <v>0</v>
      </c>
      <c r="T281">
        <v>0</v>
      </c>
      <c r="U281">
        <v>54</v>
      </c>
      <c r="V281">
        <v>0.00288396</v>
      </c>
      <c r="W281">
        <v>10</v>
      </c>
      <c r="X281">
        <v>28.77697842</v>
      </c>
      <c r="Y281">
        <v>0.07142857</v>
      </c>
      <c r="Z281">
        <v>0.3475</v>
      </c>
      <c r="AA281" s="2">
        <v>0</v>
      </c>
      <c r="AB281" s="2">
        <v>1</v>
      </c>
      <c r="AC281" s="2">
        <v>2</v>
      </c>
      <c r="AD281" s="2">
        <v>2</v>
      </c>
      <c r="AE281">
        <v>0</v>
      </c>
      <c r="AF281">
        <v>0</v>
      </c>
      <c r="AG281">
        <v>0</v>
      </c>
      <c r="AH281">
        <v>0</v>
      </c>
      <c r="AI281">
        <v>1.46</v>
      </c>
      <c r="AJ281">
        <v>0</v>
      </c>
      <c r="AK281">
        <v>0</v>
      </c>
      <c r="AL281">
        <v>0</v>
      </c>
      <c r="AM281">
        <v>0</v>
      </c>
      <c r="AN281">
        <v>0</v>
      </c>
    </row>
    <row r="282" spans="1:40">
      <c r="A282" t="s">
        <v>131</v>
      </c>
      <c r="B282" t="s">
        <v>242</v>
      </c>
      <c r="C282" t="s">
        <v>243</v>
      </c>
      <c r="D282" t="s">
        <v>244</v>
      </c>
      <c r="E282" t="s">
        <v>135</v>
      </c>
      <c r="F282" t="s">
        <v>24</v>
      </c>
      <c r="G282" t="s">
        <v>245</v>
      </c>
      <c r="H282" t="s">
        <v>246</v>
      </c>
      <c r="I282" t="s">
        <v>341</v>
      </c>
      <c r="J282" t="s">
        <v>139</v>
      </c>
      <c r="K282" t="s">
        <v>55</v>
      </c>
      <c r="L282" t="s">
        <v>342</v>
      </c>
      <c r="M282" t="s">
        <v>25</v>
      </c>
      <c r="N282" t="s">
        <v>141</v>
      </c>
      <c r="O282" t="s">
        <v>20</v>
      </c>
      <c r="P282">
        <v>10</v>
      </c>
      <c r="Q282" s="17">
        <v>9</v>
      </c>
      <c r="R282">
        <v>9</v>
      </c>
      <c r="S282">
        <v>0.1</v>
      </c>
      <c r="T282">
        <v>1</v>
      </c>
      <c r="U282">
        <v>53.75</v>
      </c>
      <c r="V282">
        <v>0.0057291</v>
      </c>
      <c r="W282">
        <v>9</v>
      </c>
      <c r="X282">
        <v>17.64705882</v>
      </c>
      <c r="Y282">
        <v>0.28571429</v>
      </c>
      <c r="Z282">
        <v>0.51</v>
      </c>
      <c r="AA282" s="2">
        <v>0</v>
      </c>
      <c r="AB282" s="2">
        <v>0</v>
      </c>
      <c r="AC282" s="2">
        <v>2</v>
      </c>
      <c r="AD282" s="2">
        <v>10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8</v>
      </c>
      <c r="AM282">
        <v>0</v>
      </c>
      <c r="AN282">
        <v>0</v>
      </c>
    </row>
    <row r="283" spans="1:40">
      <c r="A283" t="s">
        <v>131</v>
      </c>
      <c r="B283" t="s">
        <v>247</v>
      </c>
      <c r="C283" t="s">
        <v>248</v>
      </c>
      <c r="D283" t="s">
        <v>249</v>
      </c>
      <c r="E283" t="s">
        <v>135</v>
      </c>
      <c r="F283" t="s">
        <v>48</v>
      </c>
      <c r="G283" t="s">
        <v>250</v>
      </c>
      <c r="H283" t="s">
        <v>251</v>
      </c>
      <c r="I283" t="s">
        <v>217</v>
      </c>
      <c r="J283" t="s">
        <v>148</v>
      </c>
      <c r="K283" t="s">
        <v>84</v>
      </c>
      <c r="L283" t="s">
        <v>218</v>
      </c>
      <c r="M283" t="s">
        <v>25</v>
      </c>
      <c r="N283" t="s">
        <v>141</v>
      </c>
      <c r="O283" t="s">
        <v>20</v>
      </c>
      <c r="P283">
        <v>10</v>
      </c>
      <c r="Q283" s="17">
        <v>10</v>
      </c>
      <c r="R283">
        <v>10</v>
      </c>
      <c r="S283">
        <v>0</v>
      </c>
      <c r="T283">
        <v>0</v>
      </c>
      <c r="U283">
        <v>91.5</v>
      </c>
      <c r="V283">
        <v>0.00582918</v>
      </c>
      <c r="W283">
        <v>10</v>
      </c>
      <c r="X283">
        <v>35.71428571</v>
      </c>
      <c r="Y283">
        <v>0.17857143</v>
      </c>
      <c r="Z283">
        <v>0.28</v>
      </c>
      <c r="AA283" s="2">
        <v>0</v>
      </c>
      <c r="AB283" s="2">
        <v>0</v>
      </c>
      <c r="AC283" s="2">
        <v>1</v>
      </c>
      <c r="AD283" s="2">
        <v>5</v>
      </c>
      <c r="AE283">
        <v>0</v>
      </c>
      <c r="AF283">
        <v>0</v>
      </c>
      <c r="AG283">
        <v>0</v>
      </c>
      <c r="AH283">
        <v>0</v>
      </c>
      <c r="AI283">
        <v>0.45</v>
      </c>
      <c r="AJ283">
        <v>0</v>
      </c>
      <c r="AK283">
        <v>0</v>
      </c>
      <c r="AL283">
        <v>0</v>
      </c>
      <c r="AM283">
        <v>0</v>
      </c>
      <c r="AN283">
        <v>0</v>
      </c>
    </row>
    <row r="284" spans="1:40">
      <c r="A284" t="s">
        <v>131</v>
      </c>
      <c r="B284" t="s">
        <v>247</v>
      </c>
      <c r="C284" t="s">
        <v>248</v>
      </c>
      <c r="D284" t="s">
        <v>249</v>
      </c>
      <c r="E284" t="s">
        <v>135</v>
      </c>
      <c r="F284" t="s">
        <v>48</v>
      </c>
      <c r="G284" t="s">
        <v>250</v>
      </c>
      <c r="H284" t="s">
        <v>251</v>
      </c>
      <c r="I284" t="s">
        <v>164</v>
      </c>
      <c r="J284" t="s">
        <v>148</v>
      </c>
      <c r="K284" t="s">
        <v>94</v>
      </c>
      <c r="L284" t="s">
        <v>165</v>
      </c>
      <c r="M284" t="s">
        <v>25</v>
      </c>
      <c r="N284" t="s">
        <v>141</v>
      </c>
      <c r="O284" t="s">
        <v>20</v>
      </c>
      <c r="P284">
        <v>10</v>
      </c>
      <c r="Q284" s="17">
        <v>10</v>
      </c>
      <c r="R284">
        <v>10</v>
      </c>
      <c r="S284">
        <v>0</v>
      </c>
      <c r="T284">
        <v>0</v>
      </c>
      <c r="U284">
        <v>73.5</v>
      </c>
      <c r="V284">
        <v>0.00441547</v>
      </c>
      <c r="W284">
        <v>10</v>
      </c>
      <c r="X284">
        <v>50.35971223</v>
      </c>
      <c r="Y284">
        <v>0.14285714</v>
      </c>
      <c r="Z284">
        <v>0.19857143</v>
      </c>
      <c r="AA284" s="2">
        <v>0</v>
      </c>
      <c r="AB284" s="2">
        <v>1</v>
      </c>
      <c r="AC284" s="2">
        <v>2</v>
      </c>
      <c r="AD284" s="2">
        <v>4</v>
      </c>
      <c r="AE284">
        <v>0</v>
      </c>
      <c r="AF284">
        <v>0</v>
      </c>
      <c r="AG284">
        <v>0</v>
      </c>
      <c r="AH284">
        <v>0</v>
      </c>
      <c r="AI284">
        <v>3.09</v>
      </c>
      <c r="AJ284">
        <v>0</v>
      </c>
      <c r="AK284">
        <v>0</v>
      </c>
      <c r="AL284">
        <v>0</v>
      </c>
      <c r="AM284">
        <v>0</v>
      </c>
      <c r="AN284">
        <v>0</v>
      </c>
    </row>
    <row r="285" spans="1:40">
      <c r="A285" t="s">
        <v>131</v>
      </c>
      <c r="B285" t="s">
        <v>274</v>
      </c>
      <c r="C285" t="s">
        <v>275</v>
      </c>
      <c r="D285" t="s">
        <v>276</v>
      </c>
      <c r="E285" t="s">
        <v>135</v>
      </c>
      <c r="F285" t="s">
        <v>50</v>
      </c>
      <c r="G285" t="s">
        <v>277</v>
      </c>
      <c r="H285" t="s">
        <v>278</v>
      </c>
      <c r="I285" t="s">
        <v>196</v>
      </c>
      <c r="J285" t="s">
        <v>197</v>
      </c>
      <c r="K285" t="s">
        <v>96</v>
      </c>
      <c r="L285" t="s">
        <v>198</v>
      </c>
      <c r="M285" t="s">
        <v>25</v>
      </c>
      <c r="N285" t="s">
        <v>141</v>
      </c>
      <c r="P285">
        <v>10</v>
      </c>
      <c r="Q285" s="17">
        <v>10</v>
      </c>
      <c r="R285">
        <v>6</v>
      </c>
      <c r="S285">
        <v>0</v>
      </c>
      <c r="T285">
        <v>0</v>
      </c>
      <c r="U285">
        <v>-99</v>
      </c>
      <c r="W285">
        <v>10</v>
      </c>
      <c r="X285">
        <v>-99</v>
      </c>
      <c r="Y285">
        <v>0</v>
      </c>
      <c r="AA285" s="2">
        <v>0</v>
      </c>
      <c r="AB285" s="2">
        <v>0</v>
      </c>
      <c r="AC285" s="2">
        <v>0</v>
      </c>
      <c r="AD285" s="2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86</v>
      </c>
      <c r="AN285">
        <v>0</v>
      </c>
    </row>
    <row r="286" spans="1:40">
      <c r="A286" t="s">
        <v>131</v>
      </c>
      <c r="B286" t="s">
        <v>154</v>
      </c>
      <c r="C286" t="s">
        <v>155</v>
      </c>
      <c r="D286" t="s">
        <v>156</v>
      </c>
      <c r="E286" t="s">
        <v>135</v>
      </c>
      <c r="F286" t="s">
        <v>39</v>
      </c>
      <c r="G286" t="s">
        <v>157</v>
      </c>
      <c r="H286" t="s">
        <v>158</v>
      </c>
      <c r="I286" t="s">
        <v>217</v>
      </c>
      <c r="J286" t="s">
        <v>148</v>
      </c>
      <c r="K286" t="s">
        <v>84</v>
      </c>
      <c r="L286" t="s">
        <v>218</v>
      </c>
      <c r="M286" t="s">
        <v>25</v>
      </c>
      <c r="N286" t="s">
        <v>141</v>
      </c>
      <c r="O286" t="s">
        <v>20</v>
      </c>
      <c r="P286">
        <v>10</v>
      </c>
      <c r="Q286" s="17">
        <v>10</v>
      </c>
      <c r="R286">
        <v>10</v>
      </c>
      <c r="S286">
        <v>0</v>
      </c>
      <c r="T286">
        <v>0</v>
      </c>
      <c r="U286">
        <v>76</v>
      </c>
      <c r="V286">
        <v>0.00461182</v>
      </c>
      <c r="W286">
        <v>10</v>
      </c>
      <c r="X286">
        <v>46.51162791</v>
      </c>
      <c r="Y286">
        <v>0.07142857</v>
      </c>
      <c r="Z286">
        <v>0.215</v>
      </c>
      <c r="AA286" s="2">
        <v>0</v>
      </c>
      <c r="AB286" s="2">
        <v>0</v>
      </c>
      <c r="AC286" s="2">
        <v>2</v>
      </c>
      <c r="AD286" s="2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>
      <c r="A287" t="s">
        <v>131</v>
      </c>
      <c r="B287" t="s">
        <v>154</v>
      </c>
      <c r="C287" t="s">
        <v>155</v>
      </c>
      <c r="D287" t="s">
        <v>156</v>
      </c>
      <c r="E287" t="s">
        <v>135</v>
      </c>
      <c r="F287" t="s">
        <v>39</v>
      </c>
      <c r="G287" t="s">
        <v>157</v>
      </c>
      <c r="H287" t="s">
        <v>158</v>
      </c>
      <c r="I287" t="s">
        <v>215</v>
      </c>
      <c r="J287" t="s">
        <v>148</v>
      </c>
      <c r="K287" t="s">
        <v>76</v>
      </c>
      <c r="L287" t="s">
        <v>216</v>
      </c>
      <c r="M287" t="s">
        <v>25</v>
      </c>
      <c r="N287" t="s">
        <v>141</v>
      </c>
      <c r="O287" t="s">
        <v>20</v>
      </c>
      <c r="P287">
        <v>10</v>
      </c>
      <c r="Q287" s="17">
        <v>10</v>
      </c>
      <c r="R287">
        <v>10</v>
      </c>
      <c r="S287">
        <v>0</v>
      </c>
      <c r="T287">
        <v>0</v>
      </c>
      <c r="U287">
        <v>140</v>
      </c>
      <c r="V287">
        <v>0.00481898</v>
      </c>
      <c r="W287">
        <v>10</v>
      </c>
      <c r="X287">
        <v>45.75163399</v>
      </c>
      <c r="Y287">
        <v>0.07142857</v>
      </c>
      <c r="Z287">
        <v>0.21857143</v>
      </c>
      <c r="AA287" s="2">
        <v>0</v>
      </c>
      <c r="AB287" s="2">
        <v>0</v>
      </c>
      <c r="AC287" s="2">
        <v>1</v>
      </c>
      <c r="AD287" s="2">
        <v>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</row>
    <row r="288" spans="1:40">
      <c r="A288" t="s">
        <v>131</v>
      </c>
      <c r="B288" t="s">
        <v>252</v>
      </c>
      <c r="C288" t="s">
        <v>253</v>
      </c>
      <c r="D288" t="s">
        <v>254</v>
      </c>
      <c r="E288" t="s">
        <v>135</v>
      </c>
      <c r="F288" t="s">
        <v>40</v>
      </c>
      <c r="G288" t="s">
        <v>255</v>
      </c>
      <c r="H288" t="s">
        <v>256</v>
      </c>
      <c r="I288" t="s">
        <v>201</v>
      </c>
      <c r="J288" t="s">
        <v>148</v>
      </c>
      <c r="K288" t="s">
        <v>67</v>
      </c>
      <c r="L288" t="s">
        <v>202</v>
      </c>
      <c r="M288" t="s">
        <v>25</v>
      </c>
      <c r="N288" t="s">
        <v>141</v>
      </c>
      <c r="O288" t="s">
        <v>20</v>
      </c>
      <c r="P288">
        <v>9</v>
      </c>
      <c r="Q288" s="17">
        <v>9</v>
      </c>
      <c r="R288">
        <v>9</v>
      </c>
      <c r="S288">
        <v>0</v>
      </c>
      <c r="T288">
        <v>0</v>
      </c>
      <c r="U288">
        <v>37</v>
      </c>
      <c r="V288">
        <v>0.00154879</v>
      </c>
      <c r="W288">
        <v>9</v>
      </c>
      <c r="X288">
        <v>38.53211009</v>
      </c>
      <c r="Y288">
        <v>0.21428571</v>
      </c>
      <c r="Z288">
        <v>0.23357143</v>
      </c>
      <c r="AA288" s="2">
        <v>0</v>
      </c>
      <c r="AB288" s="2">
        <v>0</v>
      </c>
      <c r="AC288" s="2">
        <v>0</v>
      </c>
      <c r="AD288" s="2">
        <v>6</v>
      </c>
      <c r="AE288">
        <v>0</v>
      </c>
      <c r="AF288">
        <v>0</v>
      </c>
      <c r="AG288">
        <v>0</v>
      </c>
      <c r="AH288">
        <v>0</v>
      </c>
      <c r="AI288">
        <v>0.06</v>
      </c>
      <c r="AJ288">
        <v>0</v>
      </c>
      <c r="AK288">
        <v>0</v>
      </c>
      <c r="AL288">
        <v>0</v>
      </c>
      <c r="AM288">
        <v>0</v>
      </c>
      <c r="AN288">
        <v>0</v>
      </c>
    </row>
    <row r="289" spans="1:40">
      <c r="A289" t="s">
        <v>131</v>
      </c>
      <c r="B289" t="s">
        <v>252</v>
      </c>
      <c r="C289" t="s">
        <v>253</v>
      </c>
      <c r="D289" t="s">
        <v>254</v>
      </c>
      <c r="E289" t="s">
        <v>135</v>
      </c>
      <c r="F289" t="s">
        <v>40</v>
      </c>
      <c r="G289" t="s">
        <v>255</v>
      </c>
      <c r="H289" t="s">
        <v>256</v>
      </c>
      <c r="I289" t="s">
        <v>217</v>
      </c>
      <c r="J289" t="s">
        <v>148</v>
      </c>
      <c r="K289" t="s">
        <v>84</v>
      </c>
      <c r="L289" t="s">
        <v>218</v>
      </c>
      <c r="M289" t="s">
        <v>25</v>
      </c>
      <c r="N289" t="s">
        <v>141</v>
      </c>
      <c r="O289" t="s">
        <v>20</v>
      </c>
      <c r="P289">
        <v>9</v>
      </c>
      <c r="Q289" s="17">
        <v>9</v>
      </c>
      <c r="R289">
        <v>9</v>
      </c>
      <c r="S289">
        <v>0</v>
      </c>
      <c r="T289">
        <v>0</v>
      </c>
      <c r="U289">
        <v>47</v>
      </c>
      <c r="V289">
        <v>0.00466874</v>
      </c>
      <c r="W289">
        <v>9</v>
      </c>
      <c r="X289">
        <v>18.97590361</v>
      </c>
      <c r="Y289">
        <v>0.28571429</v>
      </c>
      <c r="Z289">
        <v>0.47428571</v>
      </c>
      <c r="AA289" s="2">
        <v>1</v>
      </c>
      <c r="AB289" s="2">
        <v>2</v>
      </c>
      <c r="AC289" s="2">
        <v>3</v>
      </c>
      <c r="AD289" s="2">
        <v>9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</row>
    <row r="290" spans="1:40">
      <c r="A290" t="s">
        <v>131</v>
      </c>
      <c r="B290" t="s">
        <v>282</v>
      </c>
      <c r="C290" t="s">
        <v>283</v>
      </c>
      <c r="D290" t="s">
        <v>284</v>
      </c>
      <c r="E290" t="s">
        <v>285</v>
      </c>
      <c r="F290" t="s">
        <v>38</v>
      </c>
      <c r="G290" t="s">
        <v>286</v>
      </c>
      <c r="H290" t="s">
        <v>287</v>
      </c>
      <c r="I290" t="s">
        <v>147</v>
      </c>
      <c r="J290" t="s">
        <v>148</v>
      </c>
      <c r="K290" t="s">
        <v>58</v>
      </c>
      <c r="L290" t="s">
        <v>149</v>
      </c>
      <c r="M290" t="s">
        <v>25</v>
      </c>
      <c r="N290" t="s">
        <v>141</v>
      </c>
      <c r="O290" t="s">
        <v>20</v>
      </c>
      <c r="P290">
        <v>9</v>
      </c>
      <c r="Q290" s="17">
        <v>9</v>
      </c>
      <c r="R290">
        <v>9</v>
      </c>
      <c r="S290">
        <v>0</v>
      </c>
      <c r="T290">
        <v>0</v>
      </c>
      <c r="U290">
        <v>56</v>
      </c>
      <c r="V290">
        <v>0.00152046</v>
      </c>
      <c r="W290">
        <v>9</v>
      </c>
      <c r="X290">
        <v>37.38872404</v>
      </c>
      <c r="Y290">
        <v>0.07142857</v>
      </c>
      <c r="Z290">
        <v>0.24071429</v>
      </c>
      <c r="AA290" s="2">
        <v>0</v>
      </c>
      <c r="AB290" s="2">
        <v>0</v>
      </c>
      <c r="AC290" s="2">
        <v>1</v>
      </c>
      <c r="AD290" s="2">
        <v>3</v>
      </c>
      <c r="AE290">
        <v>0</v>
      </c>
      <c r="AF290">
        <v>0</v>
      </c>
      <c r="AG290">
        <v>0</v>
      </c>
      <c r="AH290">
        <v>0</v>
      </c>
      <c r="AI290">
        <v>2.7</v>
      </c>
      <c r="AJ290">
        <v>0</v>
      </c>
      <c r="AK290">
        <v>0</v>
      </c>
      <c r="AL290">
        <v>0</v>
      </c>
      <c r="AM290">
        <v>0</v>
      </c>
      <c r="AN290">
        <v>0</v>
      </c>
    </row>
    <row r="291" spans="1:40">
      <c r="A291" t="s">
        <v>131</v>
      </c>
      <c r="B291" t="s">
        <v>282</v>
      </c>
      <c r="C291" t="s">
        <v>283</v>
      </c>
      <c r="D291" t="s">
        <v>284</v>
      </c>
      <c r="E291" t="s">
        <v>285</v>
      </c>
      <c r="F291" t="s">
        <v>38</v>
      </c>
      <c r="G291" t="s">
        <v>286</v>
      </c>
      <c r="H291" t="s">
        <v>287</v>
      </c>
      <c r="I291" t="s">
        <v>150</v>
      </c>
      <c r="J291" t="s">
        <v>148</v>
      </c>
      <c r="K291" t="s">
        <v>83</v>
      </c>
      <c r="L291" t="s">
        <v>151</v>
      </c>
      <c r="M291" t="s">
        <v>25</v>
      </c>
      <c r="N291" t="s">
        <v>141</v>
      </c>
      <c r="O291" t="s">
        <v>20</v>
      </c>
      <c r="P291">
        <v>9</v>
      </c>
      <c r="Q291" s="17">
        <v>9</v>
      </c>
      <c r="R291">
        <v>9</v>
      </c>
      <c r="S291">
        <v>0</v>
      </c>
      <c r="T291">
        <v>0</v>
      </c>
      <c r="U291">
        <v>15</v>
      </c>
      <c r="V291">
        <v>-0.00053729</v>
      </c>
      <c r="W291">
        <v>9</v>
      </c>
      <c r="X291">
        <v>20.33898305</v>
      </c>
      <c r="Y291">
        <v>0.21428571</v>
      </c>
      <c r="Z291">
        <v>0.4425</v>
      </c>
      <c r="AA291" s="2">
        <v>0</v>
      </c>
      <c r="AB291" s="2">
        <v>2</v>
      </c>
      <c r="AC291" s="2">
        <v>4</v>
      </c>
      <c r="AD291" s="2">
        <v>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</row>
    <row r="292" spans="1:40">
      <c r="A292" t="s">
        <v>131</v>
      </c>
      <c r="B292" t="s">
        <v>210</v>
      </c>
      <c r="C292" t="s">
        <v>211</v>
      </c>
      <c r="D292" t="s">
        <v>212</v>
      </c>
      <c r="E292" t="s">
        <v>135</v>
      </c>
      <c r="F292" t="s">
        <v>16</v>
      </c>
      <c r="G292" t="s">
        <v>213</v>
      </c>
      <c r="H292" t="s">
        <v>214</v>
      </c>
      <c r="I292" t="s">
        <v>343</v>
      </c>
      <c r="J292" t="s">
        <v>280</v>
      </c>
      <c r="K292" t="s">
        <v>29</v>
      </c>
      <c r="L292" t="s">
        <v>344</v>
      </c>
      <c r="M292" t="s">
        <v>17</v>
      </c>
      <c r="N292" t="s">
        <v>141</v>
      </c>
      <c r="O292" t="s">
        <v>18</v>
      </c>
      <c r="P292">
        <v>9</v>
      </c>
      <c r="Q292" s="17">
        <v>9</v>
      </c>
      <c r="R292">
        <v>9</v>
      </c>
      <c r="S292">
        <v>0</v>
      </c>
      <c r="T292">
        <v>0</v>
      </c>
      <c r="U292">
        <v>999999999</v>
      </c>
      <c r="V292">
        <v>0.00777477</v>
      </c>
      <c r="W292">
        <v>9</v>
      </c>
      <c r="X292">
        <v>999999999</v>
      </c>
      <c r="Y292">
        <v>0.10714286</v>
      </c>
      <c r="Z292">
        <v>0</v>
      </c>
      <c r="AA292" s="2">
        <v>0</v>
      </c>
      <c r="AB292" s="2">
        <v>0</v>
      </c>
      <c r="AC292" s="2">
        <v>0</v>
      </c>
      <c r="AD292" s="2">
        <v>3</v>
      </c>
      <c r="AE292">
        <v>0</v>
      </c>
      <c r="AF292">
        <v>0</v>
      </c>
      <c r="AG292">
        <v>0</v>
      </c>
      <c r="AH292">
        <v>0</v>
      </c>
      <c r="AI292">
        <v>4.53</v>
      </c>
      <c r="AJ292">
        <v>0</v>
      </c>
      <c r="AK292">
        <v>0</v>
      </c>
      <c r="AL292">
        <v>0</v>
      </c>
      <c r="AM292">
        <v>0</v>
      </c>
      <c r="AN292">
        <v>0</v>
      </c>
    </row>
    <row r="293" spans="1:40">
      <c r="A293" t="s">
        <v>131</v>
      </c>
      <c r="B293" t="s">
        <v>242</v>
      </c>
      <c r="C293" t="s">
        <v>243</v>
      </c>
      <c r="D293" t="s">
        <v>244</v>
      </c>
      <c r="E293" t="s">
        <v>135</v>
      </c>
      <c r="F293" t="s">
        <v>24</v>
      </c>
      <c r="G293" t="s">
        <v>245</v>
      </c>
      <c r="H293" t="s">
        <v>246</v>
      </c>
      <c r="I293" t="s">
        <v>345</v>
      </c>
      <c r="J293" t="s">
        <v>148</v>
      </c>
      <c r="K293" t="s">
        <v>54</v>
      </c>
      <c r="L293" t="s">
        <v>346</v>
      </c>
      <c r="M293" t="s">
        <v>25</v>
      </c>
      <c r="N293" t="s">
        <v>141</v>
      </c>
      <c r="O293" t="s">
        <v>20</v>
      </c>
      <c r="P293">
        <v>9</v>
      </c>
      <c r="Q293" s="17">
        <v>8</v>
      </c>
      <c r="R293">
        <v>8</v>
      </c>
      <c r="S293">
        <v>0.11111111</v>
      </c>
      <c r="T293">
        <v>1</v>
      </c>
      <c r="U293">
        <v>18.88888889</v>
      </c>
      <c r="V293">
        <v>0.00113798</v>
      </c>
      <c r="W293">
        <v>8</v>
      </c>
      <c r="X293">
        <v>8.07498198</v>
      </c>
      <c r="Y293">
        <v>0.89285714</v>
      </c>
      <c r="Z293">
        <v>0.99071429</v>
      </c>
      <c r="AA293" s="2">
        <v>0</v>
      </c>
      <c r="AB293" s="2">
        <v>3</v>
      </c>
      <c r="AC293" s="2">
        <v>12</v>
      </c>
      <c r="AD293" s="2">
        <v>25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24</v>
      </c>
      <c r="AM293">
        <v>0</v>
      </c>
      <c r="AN293">
        <v>0</v>
      </c>
    </row>
    <row r="294" spans="1:40">
      <c r="A294" t="s">
        <v>131</v>
      </c>
      <c r="B294" t="s">
        <v>142</v>
      </c>
      <c r="C294" t="s">
        <v>143</v>
      </c>
      <c r="D294" t="s">
        <v>144</v>
      </c>
      <c r="E294" t="s">
        <v>135</v>
      </c>
      <c r="F294" t="s">
        <v>19</v>
      </c>
      <c r="G294" t="s">
        <v>145</v>
      </c>
      <c r="H294" t="s">
        <v>146</v>
      </c>
      <c r="I294" t="s">
        <v>217</v>
      </c>
      <c r="J294" t="s">
        <v>148</v>
      </c>
      <c r="K294" t="s">
        <v>84</v>
      </c>
      <c r="L294" t="s">
        <v>218</v>
      </c>
      <c r="M294" t="s">
        <v>17</v>
      </c>
      <c r="N294" t="s">
        <v>141</v>
      </c>
      <c r="O294" t="s">
        <v>20</v>
      </c>
      <c r="P294">
        <v>9</v>
      </c>
      <c r="Q294" s="17">
        <v>4</v>
      </c>
      <c r="R294">
        <v>0</v>
      </c>
      <c r="S294">
        <v>0.55555556</v>
      </c>
      <c r="T294">
        <v>5</v>
      </c>
      <c r="U294">
        <v>15.22595597</v>
      </c>
      <c r="V294">
        <v>-0.07204577</v>
      </c>
      <c r="W294">
        <v>0</v>
      </c>
      <c r="X294">
        <v>0</v>
      </c>
      <c r="Y294">
        <v>34.67857143</v>
      </c>
      <c r="Z294">
        <v>54.0725</v>
      </c>
      <c r="AA294" s="2">
        <v>13</v>
      </c>
      <c r="AB294" s="2">
        <v>390</v>
      </c>
      <c r="AC294" s="2">
        <v>688</v>
      </c>
      <c r="AD294" s="2">
        <v>973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</v>
      </c>
      <c r="AM294">
        <v>3144</v>
      </c>
      <c r="AN294">
        <v>0</v>
      </c>
    </row>
    <row r="295" spans="1:40">
      <c r="A295" t="s">
        <v>131</v>
      </c>
      <c r="B295" t="s">
        <v>142</v>
      </c>
      <c r="C295" t="s">
        <v>143</v>
      </c>
      <c r="D295" t="s">
        <v>144</v>
      </c>
      <c r="E295" t="s">
        <v>135</v>
      </c>
      <c r="F295" t="s">
        <v>19</v>
      </c>
      <c r="G295" t="s">
        <v>145</v>
      </c>
      <c r="H295" t="s">
        <v>146</v>
      </c>
      <c r="I295" t="s">
        <v>347</v>
      </c>
      <c r="J295" t="s">
        <v>280</v>
      </c>
      <c r="K295" t="s">
        <v>36</v>
      </c>
      <c r="L295" t="s">
        <v>348</v>
      </c>
      <c r="M295" t="s">
        <v>17</v>
      </c>
      <c r="N295" t="s">
        <v>141</v>
      </c>
      <c r="O295" t="s">
        <v>20</v>
      </c>
      <c r="P295">
        <v>9</v>
      </c>
      <c r="Q295" s="17">
        <v>8</v>
      </c>
      <c r="R295">
        <v>8</v>
      </c>
      <c r="S295">
        <v>0.11111111</v>
      </c>
      <c r="T295">
        <v>1</v>
      </c>
      <c r="U295">
        <v>5.17460317</v>
      </c>
      <c r="V295">
        <v>-0.0300204</v>
      </c>
      <c r="W295">
        <v>8</v>
      </c>
      <c r="X295">
        <v>3.62635584</v>
      </c>
      <c r="Y295">
        <v>2.39285714</v>
      </c>
      <c r="Z295">
        <v>2.20607143</v>
      </c>
      <c r="AA295" s="2">
        <v>6</v>
      </c>
      <c r="AB295" s="2">
        <v>24</v>
      </c>
      <c r="AC295" s="2">
        <v>48</v>
      </c>
      <c r="AD295" s="2">
        <v>67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8</v>
      </c>
      <c r="AM295">
        <v>0</v>
      </c>
      <c r="AN295">
        <v>0</v>
      </c>
    </row>
    <row r="296" spans="1:40">
      <c r="A296" t="s">
        <v>131</v>
      </c>
      <c r="B296" t="s">
        <v>247</v>
      </c>
      <c r="C296" t="s">
        <v>248</v>
      </c>
      <c r="D296" t="s">
        <v>249</v>
      </c>
      <c r="E296" t="s">
        <v>135</v>
      </c>
      <c r="F296" t="s">
        <v>48</v>
      </c>
      <c r="G296" t="s">
        <v>250</v>
      </c>
      <c r="H296" t="s">
        <v>251</v>
      </c>
      <c r="I296" t="s">
        <v>147</v>
      </c>
      <c r="J296" t="s">
        <v>148</v>
      </c>
      <c r="K296" t="s">
        <v>58</v>
      </c>
      <c r="L296" t="s">
        <v>149</v>
      </c>
      <c r="M296" t="s">
        <v>25</v>
      </c>
      <c r="N296" t="s">
        <v>141</v>
      </c>
      <c r="O296" t="s">
        <v>20</v>
      </c>
      <c r="P296">
        <v>9</v>
      </c>
      <c r="Q296" s="17">
        <v>9</v>
      </c>
      <c r="R296">
        <v>9</v>
      </c>
      <c r="S296">
        <v>0</v>
      </c>
      <c r="T296">
        <v>0</v>
      </c>
      <c r="U296">
        <v>67</v>
      </c>
      <c r="V296">
        <v>0.00390497</v>
      </c>
      <c r="W296">
        <v>9</v>
      </c>
      <c r="X296">
        <v>57.79816514</v>
      </c>
      <c r="Y296">
        <v>0.10714286</v>
      </c>
      <c r="Z296">
        <v>0.15571429</v>
      </c>
      <c r="AA296" s="2">
        <v>0</v>
      </c>
      <c r="AB296" s="2">
        <v>1</v>
      </c>
      <c r="AC296" s="2">
        <v>2</v>
      </c>
      <c r="AD296" s="2">
        <v>4</v>
      </c>
      <c r="AE296">
        <v>0</v>
      </c>
      <c r="AF296">
        <v>0</v>
      </c>
      <c r="AG296">
        <v>0</v>
      </c>
      <c r="AH296">
        <v>0</v>
      </c>
      <c r="AI296">
        <v>3.11</v>
      </c>
      <c r="AJ296">
        <v>0</v>
      </c>
      <c r="AK296">
        <v>0</v>
      </c>
      <c r="AL296">
        <v>0</v>
      </c>
      <c r="AM296">
        <v>0</v>
      </c>
      <c r="AN296">
        <v>0</v>
      </c>
    </row>
    <row r="297" spans="1:40">
      <c r="A297" t="s">
        <v>131</v>
      </c>
      <c r="B297" t="s">
        <v>247</v>
      </c>
      <c r="C297" t="s">
        <v>248</v>
      </c>
      <c r="D297" t="s">
        <v>249</v>
      </c>
      <c r="E297" t="s">
        <v>135</v>
      </c>
      <c r="F297" t="s">
        <v>48</v>
      </c>
      <c r="G297" t="s">
        <v>250</v>
      </c>
      <c r="H297" t="s">
        <v>251</v>
      </c>
      <c r="I297" t="s">
        <v>215</v>
      </c>
      <c r="J297" t="s">
        <v>148</v>
      </c>
      <c r="K297" t="s">
        <v>76</v>
      </c>
      <c r="L297" t="s">
        <v>216</v>
      </c>
      <c r="M297" t="s">
        <v>25</v>
      </c>
      <c r="N297" t="s">
        <v>141</v>
      </c>
      <c r="O297" t="s">
        <v>20</v>
      </c>
      <c r="P297">
        <v>9</v>
      </c>
      <c r="Q297" s="17">
        <v>9</v>
      </c>
      <c r="R297">
        <v>9</v>
      </c>
      <c r="S297">
        <v>0</v>
      </c>
      <c r="T297">
        <v>0</v>
      </c>
      <c r="U297">
        <v>41.66666667</v>
      </c>
      <c r="V297">
        <v>0.00287308</v>
      </c>
      <c r="W297">
        <v>9</v>
      </c>
      <c r="X297">
        <v>37.5</v>
      </c>
      <c r="Y297">
        <v>0.17857143</v>
      </c>
      <c r="Z297">
        <v>0.24</v>
      </c>
      <c r="AA297" s="2">
        <v>0</v>
      </c>
      <c r="AB297" s="2">
        <v>0</v>
      </c>
      <c r="AC297" s="2">
        <v>1</v>
      </c>
      <c r="AD297" s="2">
        <v>5</v>
      </c>
      <c r="AE297">
        <v>0</v>
      </c>
      <c r="AF297">
        <v>0</v>
      </c>
      <c r="AG297">
        <v>0</v>
      </c>
      <c r="AH297">
        <v>0</v>
      </c>
      <c r="AI297">
        <v>0.26</v>
      </c>
      <c r="AJ297">
        <v>0</v>
      </c>
      <c r="AK297">
        <v>0</v>
      </c>
      <c r="AL297">
        <v>0</v>
      </c>
      <c r="AM297">
        <v>0</v>
      </c>
      <c r="AN297">
        <v>0</v>
      </c>
    </row>
    <row r="298" spans="1:40">
      <c r="A298" t="s">
        <v>131</v>
      </c>
      <c r="B298" t="s">
        <v>154</v>
      </c>
      <c r="C298" t="s">
        <v>155</v>
      </c>
      <c r="D298" t="s">
        <v>156</v>
      </c>
      <c r="E298" t="s">
        <v>135</v>
      </c>
      <c r="F298" t="s">
        <v>39</v>
      </c>
      <c r="G298" t="s">
        <v>157</v>
      </c>
      <c r="H298" t="s">
        <v>158</v>
      </c>
      <c r="I298" t="s">
        <v>184</v>
      </c>
      <c r="J298" t="s">
        <v>139</v>
      </c>
      <c r="K298" t="s">
        <v>80</v>
      </c>
      <c r="L298" t="s">
        <v>185</v>
      </c>
      <c r="M298" t="s">
        <v>25</v>
      </c>
      <c r="N298" t="s">
        <v>141</v>
      </c>
      <c r="O298" t="s">
        <v>20</v>
      </c>
      <c r="P298">
        <v>9</v>
      </c>
      <c r="Q298" s="17">
        <v>9</v>
      </c>
      <c r="R298">
        <v>9</v>
      </c>
      <c r="S298">
        <v>0</v>
      </c>
      <c r="T298">
        <v>0</v>
      </c>
      <c r="U298">
        <v>60.5</v>
      </c>
      <c r="V298">
        <v>0.00339447</v>
      </c>
      <c r="W298">
        <v>9</v>
      </c>
      <c r="X298">
        <v>71.18644068</v>
      </c>
      <c r="Y298">
        <v>0.10714286</v>
      </c>
      <c r="Z298">
        <v>0.12642857</v>
      </c>
      <c r="AA298" s="2">
        <v>0</v>
      </c>
      <c r="AB298" s="2">
        <v>0</v>
      </c>
      <c r="AC298" s="2">
        <v>2</v>
      </c>
      <c r="AD298" s="2">
        <v>3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</row>
    <row r="299" spans="1:40">
      <c r="A299" t="s">
        <v>131</v>
      </c>
      <c r="B299" t="s">
        <v>252</v>
      </c>
      <c r="C299" t="s">
        <v>253</v>
      </c>
      <c r="D299" t="s">
        <v>254</v>
      </c>
      <c r="E299" t="s">
        <v>135</v>
      </c>
      <c r="F299" t="s">
        <v>40</v>
      </c>
      <c r="G299" t="s">
        <v>255</v>
      </c>
      <c r="H299" t="s">
        <v>256</v>
      </c>
      <c r="I299" t="s">
        <v>203</v>
      </c>
      <c r="J299" t="s">
        <v>139</v>
      </c>
      <c r="K299" t="s">
        <v>88</v>
      </c>
      <c r="L299" t="s">
        <v>204</v>
      </c>
      <c r="M299" t="s">
        <v>25</v>
      </c>
      <c r="N299" t="s">
        <v>141</v>
      </c>
      <c r="O299" t="s">
        <v>20</v>
      </c>
      <c r="P299">
        <v>8</v>
      </c>
      <c r="Q299" s="17">
        <v>8</v>
      </c>
      <c r="R299">
        <v>8</v>
      </c>
      <c r="S299">
        <v>0</v>
      </c>
      <c r="T299">
        <v>0</v>
      </c>
      <c r="U299">
        <v>71.33333333</v>
      </c>
      <c r="V299">
        <v>0.00636821</v>
      </c>
      <c r="W299">
        <v>8</v>
      </c>
      <c r="X299">
        <v>46.86192469</v>
      </c>
      <c r="Y299">
        <v>0.10714286</v>
      </c>
      <c r="Z299">
        <v>0.17071429</v>
      </c>
      <c r="AA299" s="2">
        <v>1</v>
      </c>
      <c r="AB299" s="2">
        <v>1</v>
      </c>
      <c r="AC299" s="2">
        <v>3</v>
      </c>
      <c r="AD299" s="2">
        <v>3</v>
      </c>
      <c r="AE299">
        <v>0</v>
      </c>
      <c r="AF299">
        <v>0</v>
      </c>
      <c r="AG299">
        <v>0</v>
      </c>
      <c r="AH299">
        <v>0</v>
      </c>
      <c r="AI299">
        <v>2.31</v>
      </c>
      <c r="AJ299">
        <v>0</v>
      </c>
      <c r="AK299">
        <v>0</v>
      </c>
      <c r="AL299">
        <v>0</v>
      </c>
      <c r="AM299">
        <v>0</v>
      </c>
      <c r="AN299">
        <v>0</v>
      </c>
    </row>
    <row r="300" spans="1:40">
      <c r="A300" t="s">
        <v>131</v>
      </c>
      <c r="B300" t="s">
        <v>252</v>
      </c>
      <c r="C300" t="s">
        <v>253</v>
      </c>
      <c r="D300" t="s">
        <v>254</v>
      </c>
      <c r="E300" t="s">
        <v>135</v>
      </c>
      <c r="F300" t="s">
        <v>40</v>
      </c>
      <c r="G300" t="s">
        <v>255</v>
      </c>
      <c r="H300" t="s">
        <v>256</v>
      </c>
      <c r="I300" t="s">
        <v>164</v>
      </c>
      <c r="J300" t="s">
        <v>148</v>
      </c>
      <c r="K300" t="s">
        <v>94</v>
      </c>
      <c r="L300" t="s">
        <v>165</v>
      </c>
      <c r="M300" t="s">
        <v>25</v>
      </c>
      <c r="N300" t="s">
        <v>141</v>
      </c>
      <c r="O300" t="s">
        <v>20</v>
      </c>
      <c r="P300">
        <v>8</v>
      </c>
      <c r="Q300" s="17">
        <v>8</v>
      </c>
      <c r="R300">
        <v>8</v>
      </c>
      <c r="S300">
        <v>0</v>
      </c>
      <c r="T300">
        <v>0</v>
      </c>
      <c r="U300">
        <v>999999999</v>
      </c>
      <c r="V300">
        <v>0.0069109</v>
      </c>
      <c r="W300">
        <v>8</v>
      </c>
      <c r="X300">
        <v>46.86192469</v>
      </c>
      <c r="Y300">
        <v>0</v>
      </c>
      <c r="Z300">
        <v>0.17071429</v>
      </c>
      <c r="AA300" s="2">
        <v>0</v>
      </c>
      <c r="AB300" s="2">
        <v>0</v>
      </c>
      <c r="AC300" s="2">
        <v>0</v>
      </c>
      <c r="AD300" s="2">
        <v>0</v>
      </c>
      <c r="AE300">
        <v>0</v>
      </c>
      <c r="AF300">
        <v>0</v>
      </c>
      <c r="AG300">
        <v>0</v>
      </c>
      <c r="AH300">
        <v>0</v>
      </c>
      <c r="AI300">
        <v>4.54</v>
      </c>
      <c r="AJ300">
        <v>0</v>
      </c>
      <c r="AK300">
        <v>0</v>
      </c>
      <c r="AL300">
        <v>0</v>
      </c>
      <c r="AM300">
        <v>0</v>
      </c>
      <c r="AN300">
        <v>0</v>
      </c>
    </row>
    <row r="301" spans="1:40">
      <c r="A301" t="s">
        <v>131</v>
      </c>
      <c r="B301" t="s">
        <v>252</v>
      </c>
      <c r="C301" t="s">
        <v>253</v>
      </c>
      <c r="D301" t="s">
        <v>254</v>
      </c>
      <c r="E301" t="s">
        <v>135</v>
      </c>
      <c r="F301" t="s">
        <v>40</v>
      </c>
      <c r="G301" t="s">
        <v>255</v>
      </c>
      <c r="H301" t="s">
        <v>256</v>
      </c>
      <c r="I301" t="s">
        <v>215</v>
      </c>
      <c r="J301" t="s">
        <v>148</v>
      </c>
      <c r="K301" t="s">
        <v>76</v>
      </c>
      <c r="L301" t="s">
        <v>216</v>
      </c>
      <c r="M301" t="s">
        <v>25</v>
      </c>
      <c r="N301" t="s">
        <v>141</v>
      </c>
      <c r="O301" t="s">
        <v>20</v>
      </c>
      <c r="P301">
        <v>8</v>
      </c>
      <c r="Q301" s="17">
        <v>8</v>
      </c>
      <c r="R301">
        <v>8</v>
      </c>
      <c r="S301">
        <v>0</v>
      </c>
      <c r="T301">
        <v>0</v>
      </c>
      <c r="U301">
        <v>18.57142857</v>
      </c>
      <c r="V301">
        <v>0.00035507</v>
      </c>
      <c r="W301">
        <v>8</v>
      </c>
      <c r="X301">
        <v>29.35779817</v>
      </c>
      <c r="Y301">
        <v>0.28571429</v>
      </c>
      <c r="Z301">
        <v>0.2725</v>
      </c>
      <c r="AA301" s="2">
        <v>0</v>
      </c>
      <c r="AB301" s="2">
        <v>6</v>
      </c>
      <c r="AC301" s="2">
        <v>7</v>
      </c>
      <c r="AD301" s="2">
        <v>8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</row>
    <row r="302" spans="1:40">
      <c r="A302" t="s">
        <v>131</v>
      </c>
      <c r="B302" t="s">
        <v>252</v>
      </c>
      <c r="C302" t="s">
        <v>253</v>
      </c>
      <c r="D302" t="s">
        <v>254</v>
      </c>
      <c r="E302" t="s">
        <v>135</v>
      </c>
      <c r="F302" t="s">
        <v>40</v>
      </c>
      <c r="G302" t="s">
        <v>255</v>
      </c>
      <c r="H302" t="s">
        <v>256</v>
      </c>
      <c r="I302" t="s">
        <v>305</v>
      </c>
      <c r="J302" t="s">
        <v>280</v>
      </c>
      <c r="K302" t="s">
        <v>41</v>
      </c>
      <c r="L302" t="s">
        <v>306</v>
      </c>
      <c r="M302" t="s">
        <v>25</v>
      </c>
      <c r="N302" t="s">
        <v>141</v>
      </c>
      <c r="O302" t="s">
        <v>20</v>
      </c>
      <c r="P302">
        <v>8</v>
      </c>
      <c r="Q302" s="17">
        <v>8</v>
      </c>
      <c r="R302">
        <v>8</v>
      </c>
      <c r="S302">
        <v>0</v>
      </c>
      <c r="T302">
        <v>0</v>
      </c>
      <c r="U302">
        <v>6.4</v>
      </c>
      <c r="V302">
        <v>-0.01069095</v>
      </c>
      <c r="W302">
        <v>8</v>
      </c>
      <c r="X302">
        <v>6.78582248</v>
      </c>
      <c r="Y302">
        <v>1</v>
      </c>
      <c r="Z302">
        <v>1.17892857</v>
      </c>
      <c r="AA302" s="2">
        <v>0</v>
      </c>
      <c r="AB302" s="2">
        <v>11</v>
      </c>
      <c r="AC302" s="2">
        <v>21</v>
      </c>
      <c r="AD302" s="2">
        <v>30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</row>
    <row r="303" spans="1:40">
      <c r="A303" t="s">
        <v>131</v>
      </c>
      <c r="B303" t="s">
        <v>224</v>
      </c>
      <c r="C303" t="s">
        <v>225</v>
      </c>
      <c r="D303" t="s">
        <v>226</v>
      </c>
      <c r="E303" t="s">
        <v>227</v>
      </c>
      <c r="F303" t="s">
        <v>68</v>
      </c>
      <c r="G303" t="s">
        <v>228</v>
      </c>
      <c r="H303" t="s">
        <v>229</v>
      </c>
      <c r="I303" t="s">
        <v>171</v>
      </c>
      <c r="J303" t="s">
        <v>148</v>
      </c>
      <c r="K303" t="s">
        <v>75</v>
      </c>
      <c r="L303" t="s">
        <v>172</v>
      </c>
      <c r="M303" t="s">
        <v>25</v>
      </c>
      <c r="N303" t="s">
        <v>141</v>
      </c>
      <c r="O303" t="s">
        <v>20</v>
      </c>
      <c r="P303">
        <v>8</v>
      </c>
      <c r="Q303" s="17">
        <v>8</v>
      </c>
      <c r="R303">
        <v>8</v>
      </c>
      <c r="S303">
        <v>0</v>
      </c>
      <c r="T303">
        <v>0</v>
      </c>
      <c r="U303">
        <v>10</v>
      </c>
      <c r="V303">
        <v>-0.00114362</v>
      </c>
      <c r="W303">
        <v>8</v>
      </c>
      <c r="X303">
        <v>15.56636553</v>
      </c>
      <c r="Y303">
        <v>0.17857143</v>
      </c>
      <c r="Z303">
        <v>0.51392857</v>
      </c>
      <c r="AA303" s="2">
        <v>0</v>
      </c>
      <c r="AB303" s="2">
        <v>2</v>
      </c>
      <c r="AC303" s="2">
        <v>3</v>
      </c>
      <c r="AD303" s="2">
        <v>5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6</v>
      </c>
      <c r="AM303">
        <v>0</v>
      </c>
      <c r="AN303">
        <v>0</v>
      </c>
    </row>
    <row r="304" spans="1:40">
      <c r="A304" t="s">
        <v>131</v>
      </c>
      <c r="B304" t="s">
        <v>282</v>
      </c>
      <c r="C304" t="s">
        <v>283</v>
      </c>
      <c r="D304" t="s">
        <v>284</v>
      </c>
      <c r="E304" t="s">
        <v>285</v>
      </c>
      <c r="F304" t="s">
        <v>38</v>
      </c>
      <c r="G304" t="s">
        <v>286</v>
      </c>
      <c r="H304" t="s">
        <v>287</v>
      </c>
      <c r="I304" t="s">
        <v>152</v>
      </c>
      <c r="J304" t="s">
        <v>148</v>
      </c>
      <c r="K304" t="s">
        <v>79</v>
      </c>
      <c r="L304" t="s">
        <v>153</v>
      </c>
      <c r="M304" t="s">
        <v>25</v>
      </c>
      <c r="N304" t="s">
        <v>141</v>
      </c>
      <c r="O304" t="s">
        <v>20</v>
      </c>
      <c r="P304">
        <v>8</v>
      </c>
      <c r="Q304" s="17">
        <v>8</v>
      </c>
      <c r="R304">
        <v>8</v>
      </c>
      <c r="S304">
        <v>0</v>
      </c>
      <c r="T304">
        <v>0</v>
      </c>
      <c r="U304">
        <v>999999999</v>
      </c>
      <c r="V304">
        <v>0.00408372</v>
      </c>
      <c r="W304">
        <v>8</v>
      </c>
      <c r="X304">
        <v>32.6055313</v>
      </c>
      <c r="Y304">
        <v>0.03571429</v>
      </c>
      <c r="Z304">
        <v>0.24535714</v>
      </c>
      <c r="AA304" s="2">
        <v>0</v>
      </c>
      <c r="AB304" s="2">
        <v>0</v>
      </c>
      <c r="AC304" s="2">
        <v>0</v>
      </c>
      <c r="AD304" s="2">
        <v>1</v>
      </c>
      <c r="AE304">
        <v>2.11</v>
      </c>
      <c r="AF304">
        <v>0.26375</v>
      </c>
      <c r="AG304">
        <v>4</v>
      </c>
      <c r="AH304">
        <v>0</v>
      </c>
      <c r="AI304">
        <v>2.11</v>
      </c>
      <c r="AJ304">
        <v>0</v>
      </c>
      <c r="AK304">
        <v>0</v>
      </c>
      <c r="AL304">
        <v>0</v>
      </c>
      <c r="AM304">
        <v>0</v>
      </c>
      <c r="AN304">
        <v>0</v>
      </c>
    </row>
    <row r="305" spans="1:40">
      <c r="A305" t="s">
        <v>131</v>
      </c>
      <c r="B305" t="s">
        <v>232</v>
      </c>
      <c r="C305" t="s">
        <v>233</v>
      </c>
      <c r="D305" t="s">
        <v>234</v>
      </c>
      <c r="E305" t="s">
        <v>135</v>
      </c>
      <c r="F305" t="s">
        <v>23</v>
      </c>
      <c r="G305" t="s">
        <v>235</v>
      </c>
      <c r="H305" t="s">
        <v>236</v>
      </c>
      <c r="I305" t="s">
        <v>326</v>
      </c>
      <c r="J305" t="s">
        <v>280</v>
      </c>
      <c r="K305" t="s">
        <v>22</v>
      </c>
      <c r="L305" t="s">
        <v>327</v>
      </c>
      <c r="M305" t="s">
        <v>17</v>
      </c>
      <c r="N305" t="s">
        <v>141</v>
      </c>
      <c r="O305" t="s">
        <v>20</v>
      </c>
      <c r="P305">
        <v>8</v>
      </c>
      <c r="Q305" s="17">
        <v>8</v>
      </c>
      <c r="R305">
        <v>8</v>
      </c>
      <c r="S305">
        <v>0</v>
      </c>
      <c r="T305">
        <v>0</v>
      </c>
      <c r="U305">
        <v>83.5</v>
      </c>
      <c r="V305">
        <v>0.00520087</v>
      </c>
      <c r="W305">
        <v>8</v>
      </c>
      <c r="X305">
        <v>48.27586207</v>
      </c>
      <c r="Y305">
        <v>0.07142857</v>
      </c>
      <c r="Z305">
        <v>0.16571429</v>
      </c>
      <c r="AA305" s="2">
        <v>0</v>
      </c>
      <c r="AB305" s="2">
        <v>0</v>
      </c>
      <c r="AC305" s="2">
        <v>1</v>
      </c>
      <c r="AD305" s="2">
        <v>2</v>
      </c>
      <c r="AE305">
        <v>0</v>
      </c>
      <c r="AF305">
        <v>0</v>
      </c>
      <c r="AG305">
        <v>0</v>
      </c>
      <c r="AH305">
        <v>0</v>
      </c>
      <c r="AI305">
        <v>4.21</v>
      </c>
      <c r="AJ305">
        <v>0</v>
      </c>
      <c r="AK305">
        <v>0</v>
      </c>
      <c r="AL305">
        <v>0</v>
      </c>
      <c r="AM305">
        <v>0</v>
      </c>
      <c r="AN305">
        <v>0</v>
      </c>
    </row>
    <row r="306" spans="1:40">
      <c r="A306" t="s">
        <v>131</v>
      </c>
      <c r="B306" t="s">
        <v>210</v>
      </c>
      <c r="C306" t="s">
        <v>211</v>
      </c>
      <c r="D306" t="s">
        <v>212</v>
      </c>
      <c r="E306" t="s">
        <v>135</v>
      </c>
      <c r="F306" t="s">
        <v>16</v>
      </c>
      <c r="G306" t="s">
        <v>213</v>
      </c>
      <c r="H306" t="s">
        <v>214</v>
      </c>
      <c r="I306" t="s">
        <v>332</v>
      </c>
      <c r="J306" t="s">
        <v>280</v>
      </c>
      <c r="K306" t="s">
        <v>31</v>
      </c>
      <c r="L306" t="s">
        <v>333</v>
      </c>
      <c r="M306" t="s">
        <v>17</v>
      </c>
      <c r="N306" t="s">
        <v>141</v>
      </c>
      <c r="O306" t="s">
        <v>18</v>
      </c>
      <c r="P306">
        <v>8</v>
      </c>
      <c r="Q306" s="17">
        <v>8</v>
      </c>
      <c r="R306">
        <v>8</v>
      </c>
      <c r="S306">
        <v>0</v>
      </c>
      <c r="T306">
        <v>0</v>
      </c>
      <c r="U306">
        <v>26.28571429</v>
      </c>
      <c r="V306">
        <v>0.00247605</v>
      </c>
      <c r="W306">
        <v>8</v>
      </c>
      <c r="X306">
        <v>999999999</v>
      </c>
      <c r="Y306">
        <v>0.53571429</v>
      </c>
      <c r="Z306">
        <v>0</v>
      </c>
      <c r="AA306" s="2">
        <v>0</v>
      </c>
      <c r="AB306" s="2">
        <v>0</v>
      </c>
      <c r="AC306" s="2">
        <v>0</v>
      </c>
      <c r="AD306" s="2">
        <v>19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</row>
    <row r="307" spans="1:40">
      <c r="A307" t="s">
        <v>131</v>
      </c>
      <c r="B307" t="s">
        <v>242</v>
      </c>
      <c r="C307" t="s">
        <v>243</v>
      </c>
      <c r="D307" t="s">
        <v>244</v>
      </c>
      <c r="E307" t="s">
        <v>135</v>
      </c>
      <c r="F307" t="s">
        <v>24</v>
      </c>
      <c r="G307" t="s">
        <v>245</v>
      </c>
      <c r="H307" t="s">
        <v>246</v>
      </c>
      <c r="I307" t="s">
        <v>326</v>
      </c>
      <c r="J307" t="s">
        <v>280</v>
      </c>
      <c r="K307" t="s">
        <v>22</v>
      </c>
      <c r="L307" t="s">
        <v>327</v>
      </c>
      <c r="M307" t="s">
        <v>25</v>
      </c>
      <c r="N307" t="s">
        <v>141</v>
      </c>
      <c r="O307" t="s">
        <v>20</v>
      </c>
      <c r="P307">
        <v>8</v>
      </c>
      <c r="Q307" s="17">
        <v>6</v>
      </c>
      <c r="R307">
        <v>6</v>
      </c>
      <c r="S307">
        <v>0.25</v>
      </c>
      <c r="T307">
        <v>2</v>
      </c>
      <c r="U307">
        <v>31.25</v>
      </c>
      <c r="V307">
        <v>0.00219456</v>
      </c>
      <c r="W307">
        <v>6</v>
      </c>
      <c r="X307">
        <v>17.09053917</v>
      </c>
      <c r="Y307">
        <v>0.14285714</v>
      </c>
      <c r="Z307">
        <v>0.35107143</v>
      </c>
      <c r="AA307" s="2">
        <v>0</v>
      </c>
      <c r="AB307" s="2">
        <v>1</v>
      </c>
      <c r="AC307" s="2">
        <v>3</v>
      </c>
      <c r="AD307" s="2">
        <v>4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</row>
    <row r="308" spans="1:40">
      <c r="A308" t="s">
        <v>131</v>
      </c>
      <c r="B308" t="s">
        <v>242</v>
      </c>
      <c r="C308" t="s">
        <v>243</v>
      </c>
      <c r="D308" t="s">
        <v>244</v>
      </c>
      <c r="E308" t="s">
        <v>135</v>
      </c>
      <c r="F308" t="s">
        <v>24</v>
      </c>
      <c r="G308" t="s">
        <v>245</v>
      </c>
      <c r="H308" t="s">
        <v>246</v>
      </c>
      <c r="I308" t="s">
        <v>349</v>
      </c>
      <c r="J308" t="s">
        <v>148</v>
      </c>
      <c r="K308" t="s">
        <v>47</v>
      </c>
      <c r="L308" t="s">
        <v>350</v>
      </c>
      <c r="M308" t="s">
        <v>25</v>
      </c>
      <c r="N308" t="s">
        <v>141</v>
      </c>
      <c r="O308" t="s">
        <v>20</v>
      </c>
      <c r="P308">
        <v>8</v>
      </c>
      <c r="Q308" s="17">
        <v>7</v>
      </c>
      <c r="R308">
        <v>7</v>
      </c>
      <c r="S308">
        <v>0.125</v>
      </c>
      <c r="T308">
        <v>1</v>
      </c>
      <c r="U308">
        <v>21.44444444</v>
      </c>
      <c r="V308">
        <v>0.00147224</v>
      </c>
      <c r="W308">
        <v>7</v>
      </c>
      <c r="X308">
        <v>11.52941176</v>
      </c>
      <c r="Y308">
        <v>0.42857143</v>
      </c>
      <c r="Z308">
        <v>0.60714286</v>
      </c>
      <c r="AA308" s="2">
        <v>0</v>
      </c>
      <c r="AB308" s="2">
        <v>4</v>
      </c>
      <c r="AC308" s="2">
        <v>5</v>
      </c>
      <c r="AD308" s="2">
        <v>12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</row>
    <row r="309" spans="1:40">
      <c r="A309" t="s">
        <v>131</v>
      </c>
      <c r="B309" t="s">
        <v>191</v>
      </c>
      <c r="C309" t="s">
        <v>192</v>
      </c>
      <c r="D309" t="s">
        <v>193</v>
      </c>
      <c r="E309" t="s">
        <v>135</v>
      </c>
      <c r="F309" t="s">
        <v>49</v>
      </c>
      <c r="G309" t="s">
        <v>194</v>
      </c>
      <c r="H309" t="s">
        <v>195</v>
      </c>
      <c r="I309" t="s">
        <v>345</v>
      </c>
      <c r="J309" t="s">
        <v>148</v>
      </c>
      <c r="K309" t="s">
        <v>54</v>
      </c>
      <c r="L309" t="s">
        <v>346</v>
      </c>
      <c r="M309" t="s">
        <v>25</v>
      </c>
      <c r="N309" t="s">
        <v>141</v>
      </c>
      <c r="O309" t="s">
        <v>20</v>
      </c>
      <c r="P309">
        <v>8</v>
      </c>
      <c r="Q309" s="17">
        <v>8</v>
      </c>
      <c r="R309">
        <v>8</v>
      </c>
      <c r="S309">
        <v>0</v>
      </c>
      <c r="T309">
        <v>0</v>
      </c>
      <c r="U309">
        <v>36.75</v>
      </c>
      <c r="V309">
        <v>0.00305856</v>
      </c>
      <c r="W309">
        <v>8</v>
      </c>
      <c r="X309">
        <v>20.34514078</v>
      </c>
      <c r="Y309">
        <v>0.17857143</v>
      </c>
      <c r="Z309">
        <v>0.39321429</v>
      </c>
      <c r="AA309" s="2">
        <v>0</v>
      </c>
      <c r="AB309" s="2">
        <v>0</v>
      </c>
      <c r="AC309" s="2">
        <v>2</v>
      </c>
      <c r="AD309" s="2">
        <v>5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</row>
    <row r="310" spans="1:40">
      <c r="A310" t="s">
        <v>131</v>
      </c>
      <c r="B310" t="s">
        <v>315</v>
      </c>
      <c r="C310" t="s">
        <v>316</v>
      </c>
      <c r="D310" t="s">
        <v>317</v>
      </c>
      <c r="E310" t="s">
        <v>135</v>
      </c>
      <c r="F310" t="s">
        <v>42</v>
      </c>
      <c r="G310" t="s">
        <v>318</v>
      </c>
      <c r="H310" t="s">
        <v>319</v>
      </c>
      <c r="I310" t="s">
        <v>150</v>
      </c>
      <c r="J310" t="s">
        <v>148</v>
      </c>
      <c r="K310" t="s">
        <v>83</v>
      </c>
      <c r="L310" t="s">
        <v>151</v>
      </c>
      <c r="M310" t="s">
        <v>25</v>
      </c>
      <c r="N310" t="s">
        <v>141</v>
      </c>
      <c r="O310" t="s">
        <v>20</v>
      </c>
      <c r="P310">
        <v>8</v>
      </c>
      <c r="Q310" s="17">
        <v>8</v>
      </c>
      <c r="R310">
        <v>8</v>
      </c>
      <c r="S310">
        <v>0</v>
      </c>
      <c r="T310">
        <v>0</v>
      </c>
      <c r="U310">
        <v>14</v>
      </c>
      <c r="V310">
        <v>-0.00051525</v>
      </c>
      <c r="W310">
        <v>8</v>
      </c>
      <c r="X310">
        <v>37.58389262</v>
      </c>
      <c r="Y310">
        <v>0.14285714</v>
      </c>
      <c r="Z310">
        <v>0.21285714</v>
      </c>
      <c r="AA310" s="2">
        <v>0</v>
      </c>
      <c r="AB310" s="2">
        <v>1</v>
      </c>
      <c r="AC310" s="2">
        <v>2</v>
      </c>
      <c r="AD310" s="2">
        <v>4</v>
      </c>
      <c r="AE310">
        <v>0</v>
      </c>
      <c r="AF310">
        <v>0</v>
      </c>
      <c r="AG310">
        <v>0</v>
      </c>
      <c r="AH310">
        <v>0</v>
      </c>
      <c r="AI310">
        <v>0.28</v>
      </c>
      <c r="AJ310">
        <v>0</v>
      </c>
      <c r="AK310">
        <v>0</v>
      </c>
      <c r="AL310">
        <v>0</v>
      </c>
      <c r="AM310">
        <v>0</v>
      </c>
      <c r="AN310">
        <v>0</v>
      </c>
    </row>
    <row r="311" spans="1:40">
      <c r="A311" t="s">
        <v>131</v>
      </c>
      <c r="B311" t="s">
        <v>315</v>
      </c>
      <c r="C311" t="s">
        <v>316</v>
      </c>
      <c r="D311" t="s">
        <v>317</v>
      </c>
      <c r="E311" t="s">
        <v>135</v>
      </c>
      <c r="F311" t="s">
        <v>42</v>
      </c>
      <c r="G311" t="s">
        <v>318</v>
      </c>
      <c r="H311" t="s">
        <v>319</v>
      </c>
      <c r="I311" t="s">
        <v>305</v>
      </c>
      <c r="J311" t="s">
        <v>280</v>
      </c>
      <c r="K311" t="s">
        <v>41</v>
      </c>
      <c r="L311" t="s">
        <v>306</v>
      </c>
      <c r="M311" t="s">
        <v>25</v>
      </c>
      <c r="N311" t="s">
        <v>141</v>
      </c>
      <c r="O311" t="s">
        <v>18</v>
      </c>
      <c r="P311">
        <v>8</v>
      </c>
      <c r="Q311" s="17">
        <v>8</v>
      </c>
      <c r="R311">
        <v>8</v>
      </c>
      <c r="S311">
        <v>0</v>
      </c>
      <c r="T311">
        <v>0</v>
      </c>
      <c r="U311">
        <v>999999999</v>
      </c>
      <c r="V311">
        <v>0.00596851</v>
      </c>
      <c r="W311">
        <v>8</v>
      </c>
      <c r="X311">
        <v>999999999</v>
      </c>
      <c r="Y311">
        <v>0</v>
      </c>
      <c r="Z311">
        <v>0</v>
      </c>
      <c r="AA311" s="2">
        <v>0</v>
      </c>
      <c r="AB311" s="2">
        <v>0</v>
      </c>
      <c r="AC311" s="2">
        <v>0</v>
      </c>
      <c r="AD311" s="2">
        <v>0</v>
      </c>
      <c r="AE311">
        <v>3</v>
      </c>
      <c r="AF311">
        <v>0.375</v>
      </c>
      <c r="AG311">
        <v>3</v>
      </c>
      <c r="AH311">
        <v>0</v>
      </c>
      <c r="AI311">
        <v>8</v>
      </c>
      <c r="AJ311">
        <v>0</v>
      </c>
      <c r="AK311">
        <v>0</v>
      </c>
      <c r="AL311">
        <v>0</v>
      </c>
      <c r="AM311">
        <v>0</v>
      </c>
      <c r="AN311">
        <v>0</v>
      </c>
    </row>
    <row r="312" spans="1:40">
      <c r="A312" t="s">
        <v>131</v>
      </c>
      <c r="B312" t="s">
        <v>247</v>
      </c>
      <c r="C312" t="s">
        <v>248</v>
      </c>
      <c r="D312" t="s">
        <v>249</v>
      </c>
      <c r="E312" t="s">
        <v>135</v>
      </c>
      <c r="F312" t="s">
        <v>48</v>
      </c>
      <c r="G312" t="s">
        <v>250</v>
      </c>
      <c r="H312" t="s">
        <v>251</v>
      </c>
      <c r="I312" t="s">
        <v>173</v>
      </c>
      <c r="J312" t="s">
        <v>148</v>
      </c>
      <c r="K312" t="s">
        <v>98</v>
      </c>
      <c r="L312" t="s">
        <v>174</v>
      </c>
      <c r="M312" t="s">
        <v>25</v>
      </c>
      <c r="N312" t="s">
        <v>141</v>
      </c>
      <c r="O312" t="s">
        <v>20</v>
      </c>
      <c r="P312">
        <v>8</v>
      </c>
      <c r="Q312" s="17">
        <v>8</v>
      </c>
      <c r="R312">
        <v>8</v>
      </c>
      <c r="S312">
        <v>0</v>
      </c>
      <c r="T312">
        <v>0</v>
      </c>
      <c r="U312">
        <v>12.07142857</v>
      </c>
      <c r="V312">
        <v>-0.00286487</v>
      </c>
      <c r="W312">
        <v>8</v>
      </c>
      <c r="X312">
        <v>14.24936387</v>
      </c>
      <c r="Y312">
        <v>0.5</v>
      </c>
      <c r="Z312">
        <v>0.56142857</v>
      </c>
      <c r="AA312" s="2">
        <v>0</v>
      </c>
      <c r="AB312" s="2">
        <v>3</v>
      </c>
      <c r="AC312" s="2">
        <v>6</v>
      </c>
      <c r="AD312" s="2">
        <v>14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</v>
      </c>
      <c r="AM312">
        <v>0</v>
      </c>
      <c r="AN312">
        <v>0</v>
      </c>
    </row>
    <row r="313" spans="1:40">
      <c r="A313" t="s">
        <v>131</v>
      </c>
      <c r="B313" t="s">
        <v>247</v>
      </c>
      <c r="C313" t="s">
        <v>248</v>
      </c>
      <c r="D313" t="s">
        <v>249</v>
      </c>
      <c r="E313" t="s">
        <v>135</v>
      </c>
      <c r="F313" t="s">
        <v>48</v>
      </c>
      <c r="G313" t="s">
        <v>250</v>
      </c>
      <c r="H313" t="s">
        <v>251</v>
      </c>
      <c r="I313" t="s">
        <v>152</v>
      </c>
      <c r="J313" t="s">
        <v>148</v>
      </c>
      <c r="K313" t="s">
        <v>79</v>
      </c>
      <c r="L313" t="s">
        <v>153</v>
      </c>
      <c r="M313" t="s">
        <v>25</v>
      </c>
      <c r="N313" t="s">
        <v>141</v>
      </c>
      <c r="O313" t="s">
        <v>20</v>
      </c>
      <c r="P313">
        <v>8</v>
      </c>
      <c r="Q313" s="17">
        <v>8</v>
      </c>
      <c r="R313">
        <v>8</v>
      </c>
      <c r="S313">
        <v>0</v>
      </c>
      <c r="T313">
        <v>0</v>
      </c>
      <c r="U313">
        <v>18.16666667</v>
      </c>
      <c r="V313">
        <v>0.00020895</v>
      </c>
      <c r="W313">
        <v>8</v>
      </c>
      <c r="X313">
        <v>28.57142857</v>
      </c>
      <c r="Y313">
        <v>0.21428571</v>
      </c>
      <c r="Z313">
        <v>0.28</v>
      </c>
      <c r="AA313" s="2">
        <v>0</v>
      </c>
      <c r="AB313" s="2">
        <v>2</v>
      </c>
      <c r="AC313" s="2">
        <v>4</v>
      </c>
      <c r="AD313" s="2">
        <v>7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</row>
    <row r="314" spans="1:40">
      <c r="A314" t="s">
        <v>131</v>
      </c>
      <c r="B314" t="s">
        <v>247</v>
      </c>
      <c r="C314" t="s">
        <v>248</v>
      </c>
      <c r="D314" t="s">
        <v>249</v>
      </c>
      <c r="E314" t="s">
        <v>135</v>
      </c>
      <c r="F314" t="s">
        <v>48</v>
      </c>
      <c r="G314" t="s">
        <v>250</v>
      </c>
      <c r="H314" t="s">
        <v>251</v>
      </c>
      <c r="I314" t="s">
        <v>171</v>
      </c>
      <c r="J314" t="s">
        <v>148</v>
      </c>
      <c r="K314" t="s">
        <v>75</v>
      </c>
      <c r="L314" t="s">
        <v>172</v>
      </c>
      <c r="M314" t="s">
        <v>25</v>
      </c>
      <c r="N314" t="s">
        <v>141</v>
      </c>
      <c r="O314" t="s">
        <v>20</v>
      </c>
      <c r="P314">
        <v>8</v>
      </c>
      <c r="Q314" s="17">
        <v>8</v>
      </c>
      <c r="R314">
        <v>8</v>
      </c>
      <c r="S314">
        <v>0</v>
      </c>
      <c r="T314">
        <v>0</v>
      </c>
      <c r="U314">
        <v>58</v>
      </c>
      <c r="V314">
        <v>0.00319812</v>
      </c>
      <c r="W314">
        <v>8</v>
      </c>
      <c r="X314">
        <v>69.78193146</v>
      </c>
      <c r="Y314">
        <v>0.10714286</v>
      </c>
      <c r="Z314">
        <v>0.11464286</v>
      </c>
      <c r="AA314" s="2">
        <v>0</v>
      </c>
      <c r="AB314" s="2">
        <v>0</v>
      </c>
      <c r="AC314" s="2">
        <v>2</v>
      </c>
      <c r="AD314" s="2">
        <v>3</v>
      </c>
      <c r="AE314">
        <v>0</v>
      </c>
      <c r="AF314">
        <v>0</v>
      </c>
      <c r="AG314">
        <v>0</v>
      </c>
      <c r="AH314">
        <v>0</v>
      </c>
      <c r="AI314">
        <v>3.12</v>
      </c>
      <c r="AJ314">
        <v>0</v>
      </c>
      <c r="AK314">
        <v>0</v>
      </c>
      <c r="AL314">
        <v>0</v>
      </c>
      <c r="AM314">
        <v>0</v>
      </c>
      <c r="AN314">
        <v>0</v>
      </c>
    </row>
    <row r="315" spans="1:40">
      <c r="A315" t="s">
        <v>131</v>
      </c>
      <c r="B315" t="s">
        <v>334</v>
      </c>
      <c r="C315" t="s">
        <v>335</v>
      </c>
      <c r="D315" t="s">
        <v>336</v>
      </c>
      <c r="E315" t="s">
        <v>135</v>
      </c>
      <c r="F315" t="s">
        <v>56</v>
      </c>
      <c r="G315" t="s">
        <v>337</v>
      </c>
      <c r="H315" t="s">
        <v>338</v>
      </c>
      <c r="I315" t="s">
        <v>196</v>
      </c>
      <c r="J315" t="s">
        <v>197</v>
      </c>
      <c r="K315" t="s">
        <v>96</v>
      </c>
      <c r="L315" t="s">
        <v>198</v>
      </c>
      <c r="M315" t="s">
        <v>25</v>
      </c>
      <c r="N315" t="s">
        <v>141</v>
      </c>
      <c r="P315">
        <v>8</v>
      </c>
      <c r="Q315" s="17">
        <v>8</v>
      </c>
      <c r="R315">
        <v>8</v>
      </c>
      <c r="S315">
        <v>0</v>
      </c>
      <c r="T315">
        <v>0</v>
      </c>
      <c r="U315">
        <v>-99</v>
      </c>
      <c r="W315">
        <v>8</v>
      </c>
      <c r="X315">
        <v>-99</v>
      </c>
      <c r="Y315">
        <v>0</v>
      </c>
      <c r="AA315" s="2">
        <v>0</v>
      </c>
      <c r="AB315" s="2">
        <v>0</v>
      </c>
      <c r="AC315" s="2">
        <v>0</v>
      </c>
      <c r="AD315" s="2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56</v>
      </c>
      <c r="AN315">
        <v>0</v>
      </c>
    </row>
    <row r="316" spans="1:40">
      <c r="A316" t="s">
        <v>131</v>
      </c>
      <c r="B316" t="s">
        <v>274</v>
      </c>
      <c r="C316" t="s">
        <v>275</v>
      </c>
      <c r="D316" t="s">
        <v>276</v>
      </c>
      <c r="E316" t="s">
        <v>135</v>
      </c>
      <c r="F316" t="s">
        <v>50</v>
      </c>
      <c r="G316" t="s">
        <v>277</v>
      </c>
      <c r="H316" t="s">
        <v>278</v>
      </c>
      <c r="I316" t="s">
        <v>150</v>
      </c>
      <c r="J316" t="s">
        <v>148</v>
      </c>
      <c r="K316" t="s">
        <v>83</v>
      </c>
      <c r="L316" t="s">
        <v>151</v>
      </c>
      <c r="M316" t="s">
        <v>25</v>
      </c>
      <c r="N316" t="s">
        <v>141</v>
      </c>
      <c r="O316" t="s">
        <v>20</v>
      </c>
      <c r="P316">
        <v>8</v>
      </c>
      <c r="Q316" s="17">
        <v>8</v>
      </c>
      <c r="R316">
        <v>7</v>
      </c>
      <c r="S316">
        <v>0</v>
      </c>
      <c r="T316">
        <v>0</v>
      </c>
      <c r="U316">
        <v>10.33333333</v>
      </c>
      <c r="V316">
        <v>-0.00163701</v>
      </c>
      <c r="W316">
        <v>7</v>
      </c>
      <c r="X316">
        <v>22.14689266</v>
      </c>
      <c r="Y316">
        <v>0.35714286</v>
      </c>
      <c r="Z316">
        <v>0.31607143</v>
      </c>
      <c r="AA316" s="2">
        <v>0</v>
      </c>
      <c r="AB316" s="2">
        <v>2</v>
      </c>
      <c r="AC316" s="2">
        <v>3</v>
      </c>
      <c r="AD316" s="2">
        <v>10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2</v>
      </c>
      <c r="AM316">
        <v>0</v>
      </c>
      <c r="AN316">
        <v>0</v>
      </c>
    </row>
    <row r="317" spans="1:40">
      <c r="A317" t="s">
        <v>131</v>
      </c>
      <c r="B317" t="s">
        <v>154</v>
      </c>
      <c r="C317" t="s">
        <v>155</v>
      </c>
      <c r="D317" t="s">
        <v>156</v>
      </c>
      <c r="E317" t="s">
        <v>135</v>
      </c>
      <c r="F317" t="s">
        <v>39</v>
      </c>
      <c r="G317" t="s">
        <v>157</v>
      </c>
      <c r="H317" t="s">
        <v>158</v>
      </c>
      <c r="I317" t="s">
        <v>177</v>
      </c>
      <c r="J317" t="s">
        <v>148</v>
      </c>
      <c r="K317" t="s">
        <v>69</v>
      </c>
      <c r="L317" t="s">
        <v>178</v>
      </c>
      <c r="M317" t="s">
        <v>25</v>
      </c>
      <c r="N317" t="s">
        <v>141</v>
      </c>
      <c r="O317" t="s">
        <v>20</v>
      </c>
      <c r="P317">
        <v>8</v>
      </c>
      <c r="Q317" s="17">
        <v>8</v>
      </c>
      <c r="R317">
        <v>8</v>
      </c>
      <c r="S317">
        <v>0</v>
      </c>
      <c r="T317">
        <v>0</v>
      </c>
      <c r="U317">
        <v>36</v>
      </c>
      <c r="V317">
        <v>0.00294074</v>
      </c>
      <c r="W317">
        <v>8</v>
      </c>
      <c r="X317">
        <v>38.82149047</v>
      </c>
      <c r="Y317">
        <v>0.14285714</v>
      </c>
      <c r="Z317">
        <v>0.20607143</v>
      </c>
      <c r="AA317" s="2">
        <v>0</v>
      </c>
      <c r="AB317" s="2">
        <v>3</v>
      </c>
      <c r="AC317" s="2">
        <v>4</v>
      </c>
      <c r="AD317" s="2">
        <v>4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</row>
    <row r="318" spans="1:40">
      <c r="A318" t="s">
        <v>131</v>
      </c>
      <c r="B318" t="s">
        <v>154</v>
      </c>
      <c r="C318" t="s">
        <v>155</v>
      </c>
      <c r="D318" t="s">
        <v>156</v>
      </c>
      <c r="E318" t="s">
        <v>135</v>
      </c>
      <c r="F318" t="s">
        <v>39</v>
      </c>
      <c r="G318" t="s">
        <v>157</v>
      </c>
      <c r="H318" t="s">
        <v>158</v>
      </c>
      <c r="I318" t="s">
        <v>305</v>
      </c>
      <c r="J318" t="s">
        <v>280</v>
      </c>
      <c r="K318" t="s">
        <v>41</v>
      </c>
      <c r="L318" t="s">
        <v>306</v>
      </c>
      <c r="M318" t="s">
        <v>25</v>
      </c>
      <c r="N318" t="s">
        <v>141</v>
      </c>
      <c r="O318" t="s">
        <v>20</v>
      </c>
      <c r="P318">
        <v>8</v>
      </c>
      <c r="Q318" s="17">
        <v>8</v>
      </c>
      <c r="R318">
        <v>8</v>
      </c>
      <c r="S318">
        <v>0</v>
      </c>
      <c r="T318">
        <v>0</v>
      </c>
      <c r="U318">
        <v>24.6</v>
      </c>
      <c r="V318">
        <v>0.00143744</v>
      </c>
      <c r="W318">
        <v>8</v>
      </c>
      <c r="X318">
        <v>124.44444444</v>
      </c>
      <c r="Y318">
        <v>0.17857143</v>
      </c>
      <c r="Z318">
        <v>0.06428571</v>
      </c>
      <c r="AA318" s="2">
        <v>0</v>
      </c>
      <c r="AB318" s="2">
        <v>2</v>
      </c>
      <c r="AC318" s="2">
        <v>5</v>
      </c>
      <c r="AD318" s="2">
        <v>5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</row>
    <row r="319" spans="1:40">
      <c r="A319" t="s">
        <v>131</v>
      </c>
      <c r="B319" t="s">
        <v>282</v>
      </c>
      <c r="C319" t="s">
        <v>283</v>
      </c>
      <c r="D319" t="s">
        <v>284</v>
      </c>
      <c r="E319" t="s">
        <v>285</v>
      </c>
      <c r="F319" t="s">
        <v>38</v>
      </c>
      <c r="G319" t="s">
        <v>286</v>
      </c>
      <c r="H319" t="s">
        <v>287</v>
      </c>
      <c r="I319" t="s">
        <v>164</v>
      </c>
      <c r="J319" t="s">
        <v>148</v>
      </c>
      <c r="K319" t="s">
        <v>94</v>
      </c>
      <c r="L319" t="s">
        <v>165</v>
      </c>
      <c r="M319" t="s">
        <v>25</v>
      </c>
      <c r="N319" t="s">
        <v>141</v>
      </c>
      <c r="O319" t="s">
        <v>20</v>
      </c>
      <c r="P319">
        <v>7</v>
      </c>
      <c r="Q319" s="17">
        <v>7</v>
      </c>
      <c r="R319">
        <v>7</v>
      </c>
      <c r="S319">
        <v>0</v>
      </c>
      <c r="T319">
        <v>0</v>
      </c>
      <c r="U319">
        <v>999999999</v>
      </c>
      <c r="V319">
        <v>0.00321985</v>
      </c>
      <c r="W319">
        <v>7</v>
      </c>
      <c r="X319">
        <v>21.07526882</v>
      </c>
      <c r="Y319">
        <v>0.03571429</v>
      </c>
      <c r="Z319">
        <v>0.33214286</v>
      </c>
      <c r="AA319" s="2">
        <v>0</v>
      </c>
      <c r="AB319" s="2">
        <v>0</v>
      </c>
      <c r="AC319" s="2">
        <v>0</v>
      </c>
      <c r="AD319" s="2">
        <v>1</v>
      </c>
      <c r="AE319">
        <v>0</v>
      </c>
      <c r="AF319">
        <v>0</v>
      </c>
      <c r="AG319">
        <v>3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</row>
    <row r="320" spans="1:40">
      <c r="A320" t="s">
        <v>131</v>
      </c>
      <c r="B320" t="s">
        <v>282</v>
      </c>
      <c r="C320" t="s">
        <v>283</v>
      </c>
      <c r="D320" t="s">
        <v>284</v>
      </c>
      <c r="E320" t="s">
        <v>285</v>
      </c>
      <c r="F320" t="s">
        <v>38</v>
      </c>
      <c r="G320" t="s">
        <v>286</v>
      </c>
      <c r="H320" t="s">
        <v>287</v>
      </c>
      <c r="I320" t="s">
        <v>171</v>
      </c>
      <c r="J320" t="s">
        <v>148</v>
      </c>
      <c r="K320" t="s">
        <v>75</v>
      </c>
      <c r="L320" t="s">
        <v>172</v>
      </c>
      <c r="M320" t="s">
        <v>25</v>
      </c>
      <c r="N320" t="s">
        <v>141</v>
      </c>
      <c r="O320" t="s">
        <v>20</v>
      </c>
      <c r="P320">
        <v>7</v>
      </c>
      <c r="Q320" s="17">
        <v>7</v>
      </c>
      <c r="R320">
        <v>7</v>
      </c>
      <c r="S320">
        <v>0</v>
      </c>
      <c r="T320">
        <v>0</v>
      </c>
      <c r="U320">
        <v>999999999</v>
      </c>
      <c r="V320">
        <v>0.00290572</v>
      </c>
      <c r="W320">
        <v>7</v>
      </c>
      <c r="X320">
        <v>35.31531532</v>
      </c>
      <c r="Y320">
        <v>0</v>
      </c>
      <c r="Z320">
        <v>0.19821429</v>
      </c>
      <c r="AA320" s="2">
        <v>0</v>
      </c>
      <c r="AB320" s="2">
        <v>0</v>
      </c>
      <c r="AC320" s="2">
        <v>0</v>
      </c>
      <c r="AD320" s="2">
        <v>0</v>
      </c>
      <c r="AE320">
        <v>0</v>
      </c>
      <c r="AF320">
        <v>0</v>
      </c>
      <c r="AG320">
        <v>0</v>
      </c>
      <c r="AH320">
        <v>0</v>
      </c>
      <c r="AI320">
        <v>2.93</v>
      </c>
      <c r="AJ320">
        <v>7</v>
      </c>
      <c r="AK320">
        <v>0</v>
      </c>
      <c r="AL320">
        <v>0</v>
      </c>
      <c r="AM320">
        <v>0</v>
      </c>
      <c r="AN320">
        <v>0</v>
      </c>
    </row>
    <row r="321" spans="1:40">
      <c r="A321" t="s">
        <v>131</v>
      </c>
      <c r="B321" t="s">
        <v>232</v>
      </c>
      <c r="C321" t="s">
        <v>233</v>
      </c>
      <c r="D321" t="s">
        <v>234</v>
      </c>
      <c r="E321" t="s">
        <v>135</v>
      </c>
      <c r="F321" t="s">
        <v>23</v>
      </c>
      <c r="G321" t="s">
        <v>235</v>
      </c>
      <c r="H321" t="s">
        <v>236</v>
      </c>
      <c r="I321" t="s">
        <v>313</v>
      </c>
      <c r="J321" t="s">
        <v>280</v>
      </c>
      <c r="K321" t="s">
        <v>26</v>
      </c>
      <c r="L321" t="s">
        <v>314</v>
      </c>
      <c r="M321" t="s">
        <v>17</v>
      </c>
      <c r="N321" t="s">
        <v>141</v>
      </c>
      <c r="O321" t="s">
        <v>20</v>
      </c>
      <c r="P321">
        <v>7</v>
      </c>
      <c r="Q321" s="17">
        <v>7</v>
      </c>
      <c r="R321">
        <v>7</v>
      </c>
      <c r="S321">
        <v>0</v>
      </c>
      <c r="T321">
        <v>0</v>
      </c>
      <c r="U321">
        <v>57.66666667</v>
      </c>
      <c r="V321">
        <v>0.00475809</v>
      </c>
      <c r="W321">
        <v>7</v>
      </c>
      <c r="X321">
        <v>41.09014675</v>
      </c>
      <c r="Y321">
        <v>0.10714286</v>
      </c>
      <c r="Z321">
        <v>0.17035714</v>
      </c>
      <c r="AA321" s="2">
        <v>1</v>
      </c>
      <c r="AB321" s="2">
        <v>2</v>
      </c>
      <c r="AC321" s="2">
        <v>3</v>
      </c>
      <c r="AD321" s="2">
        <v>3</v>
      </c>
      <c r="AE321">
        <v>0</v>
      </c>
      <c r="AF321">
        <v>0</v>
      </c>
      <c r="AG321">
        <v>0</v>
      </c>
      <c r="AH321">
        <v>0</v>
      </c>
      <c r="AI321">
        <v>2.39</v>
      </c>
      <c r="AJ321">
        <v>0</v>
      </c>
      <c r="AK321">
        <v>0</v>
      </c>
      <c r="AL321">
        <v>0</v>
      </c>
      <c r="AM321">
        <v>0</v>
      </c>
      <c r="AN321">
        <v>0</v>
      </c>
    </row>
    <row r="322" spans="1:40">
      <c r="A322" t="s">
        <v>131</v>
      </c>
      <c r="B322" t="s">
        <v>269</v>
      </c>
      <c r="C322" t="s">
        <v>270</v>
      </c>
      <c r="D322" t="s">
        <v>271</v>
      </c>
      <c r="E322" t="s">
        <v>135</v>
      </c>
      <c r="F322" t="s">
        <v>60</v>
      </c>
      <c r="G322" t="s">
        <v>272</v>
      </c>
      <c r="H322" t="s">
        <v>273</v>
      </c>
      <c r="I322" t="s">
        <v>217</v>
      </c>
      <c r="J322" t="s">
        <v>148</v>
      </c>
      <c r="K322" t="s">
        <v>84</v>
      </c>
      <c r="L322" t="s">
        <v>218</v>
      </c>
      <c r="M322" t="s">
        <v>17</v>
      </c>
      <c r="N322" t="s">
        <v>141</v>
      </c>
      <c r="O322" t="s">
        <v>20</v>
      </c>
      <c r="P322">
        <v>7</v>
      </c>
      <c r="Q322" s="17">
        <v>7</v>
      </c>
      <c r="R322">
        <v>5</v>
      </c>
      <c r="S322">
        <v>0</v>
      </c>
      <c r="T322">
        <v>0</v>
      </c>
      <c r="U322">
        <v>4.44680851</v>
      </c>
      <c r="V322">
        <v>-0.04754334</v>
      </c>
      <c r="W322">
        <v>5</v>
      </c>
      <c r="X322">
        <v>1.27249591</v>
      </c>
      <c r="Y322">
        <v>4</v>
      </c>
      <c r="Z322">
        <v>3.92928571</v>
      </c>
      <c r="AA322" s="2">
        <v>10</v>
      </c>
      <c r="AB322" s="2">
        <v>34</v>
      </c>
      <c r="AC322" s="2">
        <v>75</v>
      </c>
      <c r="AD322" s="2">
        <v>124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133</v>
      </c>
      <c r="AN322">
        <v>0</v>
      </c>
    </row>
    <row r="323" spans="1:40">
      <c r="A323" t="s">
        <v>131</v>
      </c>
      <c r="B323" t="s">
        <v>179</v>
      </c>
      <c r="C323" t="s">
        <v>180</v>
      </c>
      <c r="D323" t="s">
        <v>181</v>
      </c>
      <c r="E323" t="s">
        <v>135</v>
      </c>
      <c r="F323" t="s">
        <v>21</v>
      </c>
      <c r="G323" t="s">
        <v>182</v>
      </c>
      <c r="H323" t="s">
        <v>183</v>
      </c>
      <c r="I323" t="s">
        <v>279</v>
      </c>
      <c r="J323" t="s">
        <v>280</v>
      </c>
      <c r="K323" t="s">
        <v>28</v>
      </c>
      <c r="L323" t="s">
        <v>281</v>
      </c>
      <c r="M323" t="s">
        <v>17</v>
      </c>
      <c r="N323" t="s">
        <v>141</v>
      </c>
      <c r="O323" t="s">
        <v>20</v>
      </c>
      <c r="P323">
        <v>7</v>
      </c>
      <c r="Q323" s="17">
        <v>7</v>
      </c>
      <c r="R323">
        <v>7</v>
      </c>
      <c r="S323">
        <v>0</v>
      </c>
      <c r="T323">
        <v>0</v>
      </c>
      <c r="U323">
        <v>3.97368421</v>
      </c>
      <c r="V323">
        <v>-0.01988434</v>
      </c>
      <c r="W323">
        <v>7</v>
      </c>
      <c r="X323">
        <v>4.25716768</v>
      </c>
      <c r="Y323">
        <v>1.35714286</v>
      </c>
      <c r="Z323">
        <v>1.64428571</v>
      </c>
      <c r="AA323" s="2">
        <v>5</v>
      </c>
      <c r="AB323" s="2">
        <v>18</v>
      </c>
      <c r="AC323" s="2">
        <v>26</v>
      </c>
      <c r="AD323" s="2">
        <v>38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11</v>
      </c>
      <c r="AM323">
        <v>0</v>
      </c>
      <c r="AN323">
        <v>0</v>
      </c>
    </row>
    <row r="324" spans="1:40">
      <c r="A324" t="s">
        <v>131</v>
      </c>
      <c r="B324" t="s">
        <v>242</v>
      </c>
      <c r="C324" t="s">
        <v>243</v>
      </c>
      <c r="D324" t="s">
        <v>244</v>
      </c>
      <c r="E324" t="s">
        <v>135</v>
      </c>
      <c r="F324" t="s">
        <v>24</v>
      </c>
      <c r="G324" t="s">
        <v>245</v>
      </c>
      <c r="H324" t="s">
        <v>246</v>
      </c>
      <c r="I324" t="s">
        <v>313</v>
      </c>
      <c r="J324" t="s">
        <v>280</v>
      </c>
      <c r="K324" t="s">
        <v>26</v>
      </c>
      <c r="L324" t="s">
        <v>314</v>
      </c>
      <c r="M324" t="s">
        <v>25</v>
      </c>
      <c r="N324" t="s">
        <v>141</v>
      </c>
      <c r="O324" t="s">
        <v>20</v>
      </c>
      <c r="P324">
        <v>7</v>
      </c>
      <c r="Q324" s="17">
        <v>6</v>
      </c>
      <c r="R324">
        <v>6</v>
      </c>
      <c r="S324">
        <v>0.14285714</v>
      </c>
      <c r="T324">
        <v>1</v>
      </c>
      <c r="U324">
        <v>141</v>
      </c>
      <c r="V324">
        <v>0.00485824</v>
      </c>
      <c r="W324">
        <v>6</v>
      </c>
      <c r="X324">
        <v>56.56565657</v>
      </c>
      <c r="Y324">
        <v>0.03571429</v>
      </c>
      <c r="Z324">
        <v>0.10607143</v>
      </c>
      <c r="AA324" s="2">
        <v>0</v>
      </c>
      <c r="AB324" s="2">
        <v>0</v>
      </c>
      <c r="AC324" s="2">
        <v>1</v>
      </c>
      <c r="AD324" s="2">
        <v>1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>
      <c r="A325" t="s">
        <v>131</v>
      </c>
      <c r="B325" t="s">
        <v>142</v>
      </c>
      <c r="C325" t="s">
        <v>143</v>
      </c>
      <c r="D325" t="s">
        <v>144</v>
      </c>
      <c r="E325" t="s">
        <v>135</v>
      </c>
      <c r="F325" t="s">
        <v>19</v>
      </c>
      <c r="G325" t="s">
        <v>145</v>
      </c>
      <c r="H325" t="s">
        <v>146</v>
      </c>
      <c r="I325" t="s">
        <v>215</v>
      </c>
      <c r="J325" t="s">
        <v>148</v>
      </c>
      <c r="K325" t="s">
        <v>76</v>
      </c>
      <c r="L325" t="s">
        <v>216</v>
      </c>
      <c r="M325" t="s">
        <v>17</v>
      </c>
      <c r="N325" t="s">
        <v>141</v>
      </c>
      <c r="O325" t="s">
        <v>20</v>
      </c>
      <c r="P325">
        <v>7</v>
      </c>
      <c r="Q325" s="17">
        <v>4</v>
      </c>
      <c r="R325">
        <v>4</v>
      </c>
      <c r="S325">
        <v>0.42857143</v>
      </c>
      <c r="T325">
        <v>3</v>
      </c>
      <c r="U325">
        <v>14.36146789</v>
      </c>
      <c r="V325">
        <v>-0.06382248</v>
      </c>
      <c r="W325">
        <v>4</v>
      </c>
      <c r="X325">
        <v>0.16707192</v>
      </c>
      <c r="Y325">
        <v>22.46428571</v>
      </c>
      <c r="Z325">
        <v>23.94178571</v>
      </c>
      <c r="AA325" s="2">
        <v>25</v>
      </c>
      <c r="AB325" s="2">
        <v>339</v>
      </c>
      <c r="AC325" s="2">
        <v>470</v>
      </c>
      <c r="AD325" s="2">
        <v>629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767</v>
      </c>
      <c r="AN325">
        <v>0</v>
      </c>
    </row>
    <row r="326" spans="1:40">
      <c r="A326" t="s">
        <v>131</v>
      </c>
      <c r="B326" t="s">
        <v>191</v>
      </c>
      <c r="C326" t="s">
        <v>192</v>
      </c>
      <c r="D326" t="s">
        <v>193</v>
      </c>
      <c r="E326" t="s">
        <v>135</v>
      </c>
      <c r="F326" t="s">
        <v>49</v>
      </c>
      <c r="G326" t="s">
        <v>194</v>
      </c>
      <c r="H326" t="s">
        <v>195</v>
      </c>
      <c r="I326" t="s">
        <v>341</v>
      </c>
      <c r="J326" t="s">
        <v>139</v>
      </c>
      <c r="K326" t="s">
        <v>55</v>
      </c>
      <c r="L326" t="s">
        <v>342</v>
      </c>
      <c r="M326" t="s">
        <v>25</v>
      </c>
      <c r="N326" t="s">
        <v>141</v>
      </c>
      <c r="O326" t="s">
        <v>20</v>
      </c>
      <c r="P326">
        <v>7</v>
      </c>
      <c r="Q326" s="17">
        <v>7</v>
      </c>
      <c r="R326">
        <v>7</v>
      </c>
      <c r="S326">
        <v>0</v>
      </c>
      <c r="T326">
        <v>0</v>
      </c>
      <c r="U326">
        <v>12.28571429</v>
      </c>
      <c r="V326">
        <v>-0.00274701</v>
      </c>
      <c r="W326">
        <v>7</v>
      </c>
      <c r="X326">
        <v>11.02362205</v>
      </c>
      <c r="Y326">
        <v>0.60714286</v>
      </c>
      <c r="Z326">
        <v>0.635</v>
      </c>
      <c r="AA326" s="2">
        <v>0</v>
      </c>
      <c r="AB326" s="2">
        <v>7</v>
      </c>
      <c r="AC326" s="2">
        <v>7</v>
      </c>
      <c r="AD326" s="2">
        <v>17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4</v>
      </c>
      <c r="AM326">
        <v>0</v>
      </c>
      <c r="AN326">
        <v>0</v>
      </c>
    </row>
    <row r="327" spans="1:40">
      <c r="A327" t="s">
        <v>131</v>
      </c>
      <c r="B327" t="s">
        <v>191</v>
      </c>
      <c r="C327" t="s">
        <v>192</v>
      </c>
      <c r="D327" t="s">
        <v>193</v>
      </c>
      <c r="E327" t="s">
        <v>135</v>
      </c>
      <c r="F327" t="s">
        <v>49</v>
      </c>
      <c r="G327" t="s">
        <v>194</v>
      </c>
      <c r="H327" t="s">
        <v>195</v>
      </c>
      <c r="I327" t="s">
        <v>349</v>
      </c>
      <c r="J327" t="s">
        <v>148</v>
      </c>
      <c r="K327" t="s">
        <v>47</v>
      </c>
      <c r="L327" t="s">
        <v>350</v>
      </c>
      <c r="M327" t="s">
        <v>25</v>
      </c>
      <c r="N327" t="s">
        <v>141</v>
      </c>
      <c r="O327" t="s">
        <v>20</v>
      </c>
      <c r="P327">
        <v>7</v>
      </c>
      <c r="Q327" s="17">
        <v>7</v>
      </c>
      <c r="R327">
        <v>7</v>
      </c>
      <c r="S327">
        <v>0</v>
      </c>
      <c r="T327">
        <v>0</v>
      </c>
      <c r="U327">
        <v>29.75</v>
      </c>
      <c r="V327">
        <v>0.00195893</v>
      </c>
      <c r="W327">
        <v>7</v>
      </c>
      <c r="X327">
        <v>17.80199818</v>
      </c>
      <c r="Y327">
        <v>0.25</v>
      </c>
      <c r="Z327">
        <v>0.39321429</v>
      </c>
      <c r="AA327" s="2">
        <v>0</v>
      </c>
      <c r="AB327" s="2">
        <v>0</v>
      </c>
      <c r="AC327" s="2">
        <v>1</v>
      </c>
      <c r="AD327" s="2">
        <v>7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2</v>
      </c>
      <c r="AM327">
        <v>0</v>
      </c>
      <c r="AN327">
        <v>0</v>
      </c>
    </row>
    <row r="328" spans="1:40">
      <c r="A328" t="s">
        <v>131</v>
      </c>
      <c r="B328" t="s">
        <v>247</v>
      </c>
      <c r="C328" t="s">
        <v>248</v>
      </c>
      <c r="D328" t="s">
        <v>249</v>
      </c>
      <c r="E328" t="s">
        <v>135</v>
      </c>
      <c r="F328" t="s">
        <v>48</v>
      </c>
      <c r="G328" t="s">
        <v>250</v>
      </c>
      <c r="H328" t="s">
        <v>251</v>
      </c>
      <c r="I328" t="s">
        <v>177</v>
      </c>
      <c r="J328" t="s">
        <v>148</v>
      </c>
      <c r="K328" t="s">
        <v>69</v>
      </c>
      <c r="L328" t="s">
        <v>178</v>
      </c>
      <c r="M328" t="s">
        <v>25</v>
      </c>
      <c r="N328" t="s">
        <v>141</v>
      </c>
      <c r="O328" t="s">
        <v>20</v>
      </c>
      <c r="P328">
        <v>7</v>
      </c>
      <c r="Q328" s="17">
        <v>7</v>
      </c>
      <c r="R328">
        <v>7</v>
      </c>
      <c r="S328">
        <v>0</v>
      </c>
      <c r="T328">
        <v>0</v>
      </c>
      <c r="U328">
        <v>21.8</v>
      </c>
      <c r="V328">
        <v>0.0008876</v>
      </c>
      <c r="W328">
        <v>7</v>
      </c>
      <c r="X328">
        <v>44.85125858</v>
      </c>
      <c r="Y328">
        <v>0.17857143</v>
      </c>
      <c r="Z328">
        <v>0.15607143</v>
      </c>
      <c r="AA328" s="2">
        <v>1</v>
      </c>
      <c r="AB328" s="2">
        <v>2</v>
      </c>
      <c r="AC328" s="2">
        <v>3</v>
      </c>
      <c r="AD328" s="2">
        <v>5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>
      <c r="A329" t="s">
        <v>131</v>
      </c>
      <c r="B329" t="s">
        <v>247</v>
      </c>
      <c r="C329" t="s">
        <v>248</v>
      </c>
      <c r="D329" t="s">
        <v>249</v>
      </c>
      <c r="E329" t="s">
        <v>135</v>
      </c>
      <c r="F329" t="s">
        <v>48</v>
      </c>
      <c r="G329" t="s">
        <v>250</v>
      </c>
      <c r="H329" t="s">
        <v>251</v>
      </c>
      <c r="I329" t="s">
        <v>257</v>
      </c>
      <c r="J329" t="s">
        <v>148</v>
      </c>
      <c r="K329" t="s">
        <v>86</v>
      </c>
      <c r="L329" t="s">
        <v>258</v>
      </c>
      <c r="M329" t="s">
        <v>25</v>
      </c>
      <c r="N329" t="s">
        <v>141</v>
      </c>
      <c r="O329" t="s">
        <v>20</v>
      </c>
      <c r="P329">
        <v>7</v>
      </c>
      <c r="Q329" s="17">
        <v>7</v>
      </c>
      <c r="R329">
        <v>7</v>
      </c>
      <c r="S329">
        <v>0</v>
      </c>
      <c r="T329">
        <v>0</v>
      </c>
      <c r="U329">
        <v>27.8</v>
      </c>
      <c r="V329">
        <v>0.00206583</v>
      </c>
      <c r="W329">
        <v>7</v>
      </c>
      <c r="X329">
        <v>25</v>
      </c>
      <c r="Y329">
        <v>0.32142857</v>
      </c>
      <c r="Z329">
        <v>0.28</v>
      </c>
      <c r="AA329" s="2">
        <v>2</v>
      </c>
      <c r="AB329" s="2">
        <v>3</v>
      </c>
      <c r="AC329" s="2">
        <v>4</v>
      </c>
      <c r="AD329" s="2">
        <v>9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>
      <c r="A330" t="s">
        <v>131</v>
      </c>
      <c r="B330" t="s">
        <v>274</v>
      </c>
      <c r="C330" t="s">
        <v>275</v>
      </c>
      <c r="D330" t="s">
        <v>276</v>
      </c>
      <c r="E330" t="s">
        <v>135</v>
      </c>
      <c r="F330" t="s">
        <v>50</v>
      </c>
      <c r="G330" t="s">
        <v>277</v>
      </c>
      <c r="H330" t="s">
        <v>278</v>
      </c>
      <c r="I330" t="s">
        <v>173</v>
      </c>
      <c r="J330" t="s">
        <v>148</v>
      </c>
      <c r="K330" t="s">
        <v>98</v>
      </c>
      <c r="L330" t="s">
        <v>174</v>
      </c>
      <c r="M330" t="s">
        <v>25</v>
      </c>
      <c r="N330" t="s">
        <v>141</v>
      </c>
      <c r="O330" t="s">
        <v>20</v>
      </c>
      <c r="P330">
        <v>7</v>
      </c>
      <c r="Q330" s="17">
        <v>7</v>
      </c>
      <c r="R330">
        <v>7</v>
      </c>
      <c r="S330">
        <v>0</v>
      </c>
      <c r="T330">
        <v>0</v>
      </c>
      <c r="U330">
        <v>42</v>
      </c>
      <c r="V330">
        <v>0.00194149</v>
      </c>
      <c r="W330">
        <v>7</v>
      </c>
      <c r="X330">
        <v>28.28282828</v>
      </c>
      <c r="Y330">
        <v>0.14285714</v>
      </c>
      <c r="Z330">
        <v>0.2475</v>
      </c>
      <c r="AA330" s="2">
        <v>0</v>
      </c>
      <c r="AB330" s="2">
        <v>0</v>
      </c>
      <c r="AC330" s="2">
        <v>0</v>
      </c>
      <c r="AD330" s="2">
        <v>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</row>
    <row r="331" spans="1:40">
      <c r="A331" t="s">
        <v>131</v>
      </c>
      <c r="B331" t="s">
        <v>259</v>
      </c>
      <c r="C331" t="s">
        <v>260</v>
      </c>
      <c r="D331" t="s">
        <v>261</v>
      </c>
      <c r="E331" t="s">
        <v>135</v>
      </c>
      <c r="F331" t="s">
        <v>43</v>
      </c>
      <c r="G331" t="s">
        <v>262</v>
      </c>
      <c r="H331" t="s">
        <v>263</v>
      </c>
      <c r="I331" t="s">
        <v>164</v>
      </c>
      <c r="J331" t="s">
        <v>148</v>
      </c>
      <c r="K331" t="s">
        <v>94</v>
      </c>
      <c r="L331" t="s">
        <v>165</v>
      </c>
      <c r="M331" t="s">
        <v>25</v>
      </c>
      <c r="N331" t="s">
        <v>141</v>
      </c>
      <c r="O331" t="s">
        <v>20</v>
      </c>
      <c r="P331">
        <v>7</v>
      </c>
      <c r="Q331" s="17">
        <v>7</v>
      </c>
      <c r="R331">
        <v>7</v>
      </c>
      <c r="S331">
        <v>0</v>
      </c>
      <c r="T331">
        <v>0</v>
      </c>
      <c r="U331">
        <v>44</v>
      </c>
      <c r="V331">
        <v>0.00209857</v>
      </c>
      <c r="W331">
        <v>7</v>
      </c>
      <c r="X331">
        <v>40.08179959</v>
      </c>
      <c r="Y331">
        <v>0.07142857</v>
      </c>
      <c r="Z331">
        <v>0.17464286</v>
      </c>
      <c r="AA331" s="2">
        <v>0</v>
      </c>
      <c r="AB331" s="2">
        <v>0</v>
      </c>
      <c r="AC331" s="2">
        <v>0</v>
      </c>
      <c r="AD331" s="2">
        <v>2</v>
      </c>
      <c r="AE331">
        <v>0</v>
      </c>
      <c r="AF331">
        <v>0</v>
      </c>
      <c r="AG331">
        <v>0</v>
      </c>
      <c r="AH331">
        <v>0</v>
      </c>
      <c r="AI331">
        <v>2.12</v>
      </c>
      <c r="AJ331">
        <v>0</v>
      </c>
      <c r="AK331">
        <v>0</v>
      </c>
      <c r="AL331">
        <v>0</v>
      </c>
      <c r="AM331">
        <v>0</v>
      </c>
      <c r="AN331">
        <v>0</v>
      </c>
    </row>
    <row r="332" spans="1:40">
      <c r="A332" t="s">
        <v>131</v>
      </c>
      <c r="B332" t="s">
        <v>154</v>
      </c>
      <c r="C332" t="s">
        <v>155</v>
      </c>
      <c r="D332" t="s">
        <v>156</v>
      </c>
      <c r="E332" t="s">
        <v>135</v>
      </c>
      <c r="F332" t="s">
        <v>39</v>
      </c>
      <c r="G332" t="s">
        <v>157</v>
      </c>
      <c r="H332" t="s">
        <v>158</v>
      </c>
      <c r="I332" t="s">
        <v>152</v>
      </c>
      <c r="J332" t="s">
        <v>148</v>
      </c>
      <c r="K332" t="s">
        <v>79</v>
      </c>
      <c r="L332" t="s">
        <v>153</v>
      </c>
      <c r="M332" t="s">
        <v>25</v>
      </c>
      <c r="N332" t="s">
        <v>141</v>
      </c>
      <c r="O332" t="s">
        <v>20</v>
      </c>
      <c r="P332">
        <v>7</v>
      </c>
      <c r="Q332" s="17">
        <v>7</v>
      </c>
      <c r="R332">
        <v>7</v>
      </c>
      <c r="S332">
        <v>0</v>
      </c>
      <c r="T332">
        <v>0</v>
      </c>
      <c r="U332">
        <v>27.8</v>
      </c>
      <c r="V332">
        <v>0.00206583</v>
      </c>
      <c r="W332">
        <v>7</v>
      </c>
      <c r="X332">
        <v>35.83180987</v>
      </c>
      <c r="Y332">
        <v>0.17857143</v>
      </c>
      <c r="Z332">
        <v>0.19535714</v>
      </c>
      <c r="AA332" s="2">
        <v>0</v>
      </c>
      <c r="AB332" s="2">
        <v>2</v>
      </c>
      <c r="AC332" s="2">
        <v>5</v>
      </c>
      <c r="AD332" s="2">
        <v>5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</row>
    <row r="333" spans="1:40">
      <c r="A333" t="s">
        <v>131</v>
      </c>
      <c r="B333" t="s">
        <v>224</v>
      </c>
      <c r="C333" t="s">
        <v>225</v>
      </c>
      <c r="D333" t="s">
        <v>226</v>
      </c>
      <c r="E333" t="s">
        <v>227</v>
      </c>
      <c r="F333" t="s">
        <v>68</v>
      </c>
      <c r="G333" t="s">
        <v>228</v>
      </c>
      <c r="H333" t="s">
        <v>229</v>
      </c>
      <c r="I333" t="s">
        <v>217</v>
      </c>
      <c r="J333" t="s">
        <v>148</v>
      </c>
      <c r="K333" t="s">
        <v>84</v>
      </c>
      <c r="L333" t="s">
        <v>218</v>
      </c>
      <c r="M333" t="s">
        <v>25</v>
      </c>
      <c r="N333" t="s">
        <v>141</v>
      </c>
      <c r="O333" t="s">
        <v>20</v>
      </c>
      <c r="P333">
        <v>6</v>
      </c>
      <c r="Q333" s="17">
        <v>6</v>
      </c>
      <c r="R333">
        <v>5</v>
      </c>
      <c r="S333">
        <v>0</v>
      </c>
      <c r="T333">
        <v>0</v>
      </c>
      <c r="U333">
        <v>21.75</v>
      </c>
      <c r="V333">
        <v>0.0007022</v>
      </c>
      <c r="W333">
        <v>5</v>
      </c>
      <c r="X333">
        <v>5.84551148</v>
      </c>
      <c r="Y333">
        <v>0.25</v>
      </c>
      <c r="Z333">
        <v>0.85535714</v>
      </c>
      <c r="AA333" s="2">
        <v>0</v>
      </c>
      <c r="AB333" s="2">
        <v>3</v>
      </c>
      <c r="AC333" s="2">
        <v>3</v>
      </c>
      <c r="AD333" s="2">
        <v>7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7</v>
      </c>
      <c r="AM333">
        <v>0</v>
      </c>
      <c r="AN333">
        <v>0</v>
      </c>
    </row>
    <row r="334" spans="1:40">
      <c r="A334" t="s">
        <v>131</v>
      </c>
      <c r="B334" t="s">
        <v>282</v>
      </c>
      <c r="C334" t="s">
        <v>283</v>
      </c>
      <c r="D334" t="s">
        <v>284</v>
      </c>
      <c r="E334" t="s">
        <v>285</v>
      </c>
      <c r="F334" t="s">
        <v>38</v>
      </c>
      <c r="G334" t="s">
        <v>286</v>
      </c>
      <c r="H334" t="s">
        <v>287</v>
      </c>
      <c r="I334" t="s">
        <v>203</v>
      </c>
      <c r="J334" t="s">
        <v>139</v>
      </c>
      <c r="K334" t="s">
        <v>88</v>
      </c>
      <c r="L334" t="s">
        <v>204</v>
      </c>
      <c r="M334" t="s">
        <v>25</v>
      </c>
      <c r="N334" t="s">
        <v>141</v>
      </c>
      <c r="O334" t="s">
        <v>20</v>
      </c>
      <c r="P334">
        <v>6</v>
      </c>
      <c r="Q334" s="17">
        <v>6</v>
      </c>
      <c r="R334">
        <v>6</v>
      </c>
      <c r="S334">
        <v>0</v>
      </c>
      <c r="T334">
        <v>0</v>
      </c>
      <c r="U334">
        <v>30.66666667</v>
      </c>
      <c r="V334">
        <v>0.00157713</v>
      </c>
      <c r="W334">
        <v>6</v>
      </c>
      <c r="X334">
        <v>32.74853801</v>
      </c>
      <c r="Y334">
        <v>0.10714286</v>
      </c>
      <c r="Z334">
        <v>0.18321429</v>
      </c>
      <c r="AA334" s="2">
        <v>0</v>
      </c>
      <c r="AB334" s="2">
        <v>1</v>
      </c>
      <c r="AC334" s="2">
        <v>2</v>
      </c>
      <c r="AD334" s="2">
        <v>3</v>
      </c>
      <c r="AE334">
        <v>0</v>
      </c>
      <c r="AF334">
        <v>0</v>
      </c>
      <c r="AG334">
        <v>0</v>
      </c>
      <c r="AH334">
        <v>0</v>
      </c>
      <c r="AI334">
        <v>0.11</v>
      </c>
      <c r="AJ334">
        <v>0</v>
      </c>
      <c r="AK334">
        <v>0</v>
      </c>
      <c r="AL334">
        <v>0</v>
      </c>
      <c r="AM334">
        <v>0</v>
      </c>
      <c r="AN334">
        <v>0</v>
      </c>
    </row>
    <row r="335" spans="1:40">
      <c r="A335" t="s">
        <v>131</v>
      </c>
      <c r="B335" t="s">
        <v>282</v>
      </c>
      <c r="C335" t="s">
        <v>283</v>
      </c>
      <c r="D335" t="s">
        <v>284</v>
      </c>
      <c r="E335" t="s">
        <v>285</v>
      </c>
      <c r="F335" t="s">
        <v>38</v>
      </c>
      <c r="G335" t="s">
        <v>286</v>
      </c>
      <c r="H335" t="s">
        <v>287</v>
      </c>
      <c r="I335" t="s">
        <v>201</v>
      </c>
      <c r="J335" t="s">
        <v>148</v>
      </c>
      <c r="K335" t="s">
        <v>67</v>
      </c>
      <c r="L335" t="s">
        <v>202</v>
      </c>
      <c r="M335" t="s">
        <v>25</v>
      </c>
      <c r="N335" t="s">
        <v>141</v>
      </c>
      <c r="O335" t="s">
        <v>20</v>
      </c>
      <c r="P335">
        <v>6</v>
      </c>
      <c r="Q335" s="17">
        <v>6</v>
      </c>
      <c r="R335">
        <v>6</v>
      </c>
      <c r="S335">
        <v>0</v>
      </c>
      <c r="T335">
        <v>0</v>
      </c>
      <c r="U335">
        <v>76</v>
      </c>
      <c r="V335">
        <v>0.00230582</v>
      </c>
      <c r="W335">
        <v>6</v>
      </c>
      <c r="X335">
        <v>38.44393593</v>
      </c>
      <c r="Y335">
        <v>0.07142857</v>
      </c>
      <c r="Z335">
        <v>0.15607143</v>
      </c>
      <c r="AA335" s="2">
        <v>0</v>
      </c>
      <c r="AB335" s="2">
        <v>0</v>
      </c>
      <c r="AC335" s="2">
        <v>1</v>
      </c>
      <c r="AD335" s="2">
        <v>2</v>
      </c>
      <c r="AE335">
        <v>0</v>
      </c>
      <c r="AF335">
        <v>0</v>
      </c>
      <c r="AG335">
        <v>0</v>
      </c>
      <c r="AH335">
        <v>0</v>
      </c>
      <c r="AI335">
        <v>1.33</v>
      </c>
      <c r="AJ335">
        <v>0</v>
      </c>
      <c r="AK335">
        <v>0</v>
      </c>
      <c r="AL335">
        <v>0</v>
      </c>
      <c r="AM335">
        <v>0</v>
      </c>
      <c r="AN335">
        <v>0</v>
      </c>
    </row>
    <row r="336" spans="1:40">
      <c r="A336" t="s">
        <v>131</v>
      </c>
      <c r="B336" t="s">
        <v>282</v>
      </c>
      <c r="C336" t="s">
        <v>283</v>
      </c>
      <c r="D336" t="s">
        <v>284</v>
      </c>
      <c r="E336" t="s">
        <v>285</v>
      </c>
      <c r="F336" t="s">
        <v>38</v>
      </c>
      <c r="G336" t="s">
        <v>286</v>
      </c>
      <c r="H336" t="s">
        <v>287</v>
      </c>
      <c r="I336" t="s">
        <v>215</v>
      </c>
      <c r="J336" t="s">
        <v>148</v>
      </c>
      <c r="K336" t="s">
        <v>76</v>
      </c>
      <c r="L336" t="s">
        <v>216</v>
      </c>
      <c r="M336" t="s">
        <v>25</v>
      </c>
      <c r="N336" t="s">
        <v>141</v>
      </c>
      <c r="O336" t="s">
        <v>20</v>
      </c>
      <c r="P336">
        <v>6</v>
      </c>
      <c r="Q336" s="17">
        <v>6</v>
      </c>
      <c r="R336">
        <v>6</v>
      </c>
      <c r="S336">
        <v>0</v>
      </c>
      <c r="T336">
        <v>0</v>
      </c>
      <c r="U336">
        <v>51</v>
      </c>
      <c r="V336">
        <v>0.00264834</v>
      </c>
      <c r="W336">
        <v>6</v>
      </c>
      <c r="X336">
        <v>22.01834862</v>
      </c>
      <c r="Y336">
        <v>0.10714286</v>
      </c>
      <c r="Z336">
        <v>0.2725</v>
      </c>
      <c r="AA336" s="2">
        <v>2</v>
      </c>
      <c r="AB336" s="2">
        <v>2</v>
      </c>
      <c r="AC336" s="2">
        <v>2</v>
      </c>
      <c r="AD336" s="2">
        <v>3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</row>
    <row r="337" spans="1:40">
      <c r="A337" t="s">
        <v>131</v>
      </c>
      <c r="B337" t="s">
        <v>282</v>
      </c>
      <c r="C337" t="s">
        <v>283</v>
      </c>
      <c r="D337" t="s">
        <v>284</v>
      </c>
      <c r="E337" t="s">
        <v>285</v>
      </c>
      <c r="F337" t="s">
        <v>38</v>
      </c>
      <c r="G337" t="s">
        <v>286</v>
      </c>
      <c r="H337" t="s">
        <v>287</v>
      </c>
      <c r="I337" t="s">
        <v>305</v>
      </c>
      <c r="J337" t="s">
        <v>280</v>
      </c>
      <c r="K337" t="s">
        <v>41</v>
      </c>
      <c r="L337" t="s">
        <v>306</v>
      </c>
      <c r="M337" t="s">
        <v>25</v>
      </c>
      <c r="N337" t="s">
        <v>141</v>
      </c>
      <c r="O337" t="s">
        <v>20</v>
      </c>
      <c r="P337">
        <v>6</v>
      </c>
      <c r="Q337" s="17">
        <v>6</v>
      </c>
      <c r="R337">
        <v>6</v>
      </c>
      <c r="S337">
        <v>0</v>
      </c>
      <c r="T337">
        <v>0</v>
      </c>
      <c r="U337">
        <v>18.57142857</v>
      </c>
      <c r="V337">
        <v>0.00035507</v>
      </c>
      <c r="W337">
        <v>6</v>
      </c>
      <c r="X337">
        <v>74.33628319</v>
      </c>
      <c r="Y337">
        <v>0.28571429</v>
      </c>
      <c r="Z337">
        <v>0.08071429</v>
      </c>
      <c r="AA337" s="2">
        <v>1</v>
      </c>
      <c r="AB337" s="2">
        <v>6</v>
      </c>
      <c r="AC337" s="2">
        <v>7</v>
      </c>
      <c r="AD337" s="2">
        <v>8</v>
      </c>
      <c r="AE337">
        <v>0</v>
      </c>
      <c r="AF337">
        <v>0</v>
      </c>
      <c r="AG337">
        <v>0</v>
      </c>
      <c r="AH337">
        <v>0</v>
      </c>
      <c r="AI337">
        <v>0.99</v>
      </c>
      <c r="AJ337">
        <v>0</v>
      </c>
      <c r="AK337">
        <v>0</v>
      </c>
      <c r="AL337">
        <v>0</v>
      </c>
      <c r="AM337">
        <v>0</v>
      </c>
      <c r="AN337">
        <v>0</v>
      </c>
    </row>
    <row r="338" spans="1:40">
      <c r="A338" t="s">
        <v>131</v>
      </c>
      <c r="B338" t="s">
        <v>282</v>
      </c>
      <c r="C338" t="s">
        <v>283</v>
      </c>
      <c r="D338" t="s">
        <v>284</v>
      </c>
      <c r="E338" t="s">
        <v>285</v>
      </c>
      <c r="F338" t="s">
        <v>38</v>
      </c>
      <c r="G338" t="s">
        <v>286</v>
      </c>
      <c r="H338" t="s">
        <v>287</v>
      </c>
      <c r="I338" t="s">
        <v>307</v>
      </c>
      <c r="J338" t="s">
        <v>280</v>
      </c>
      <c r="K338" t="s">
        <v>37</v>
      </c>
      <c r="L338" t="s">
        <v>308</v>
      </c>
      <c r="M338" t="s">
        <v>25</v>
      </c>
      <c r="N338" t="s">
        <v>141</v>
      </c>
      <c r="O338" t="s">
        <v>20</v>
      </c>
      <c r="P338">
        <v>6</v>
      </c>
      <c r="Q338" s="17">
        <v>6</v>
      </c>
      <c r="R338">
        <v>5</v>
      </c>
      <c r="S338">
        <v>0</v>
      </c>
      <c r="T338">
        <v>0</v>
      </c>
      <c r="U338">
        <v>6.47368421</v>
      </c>
      <c r="V338">
        <v>-0.0080682</v>
      </c>
      <c r="W338">
        <v>6</v>
      </c>
      <c r="X338">
        <v>34.9127182</v>
      </c>
      <c r="Y338">
        <v>0.75</v>
      </c>
      <c r="Z338">
        <v>0.14321429</v>
      </c>
      <c r="AA338" s="2">
        <v>0</v>
      </c>
      <c r="AB338" s="2">
        <v>2</v>
      </c>
      <c r="AC338" s="2">
        <v>8</v>
      </c>
      <c r="AD338" s="2">
        <v>21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</row>
    <row r="339" spans="1:40">
      <c r="A339" t="s">
        <v>131</v>
      </c>
      <c r="B339" t="s">
        <v>179</v>
      </c>
      <c r="C339" t="s">
        <v>180</v>
      </c>
      <c r="D339" t="s">
        <v>181</v>
      </c>
      <c r="E339" t="s">
        <v>135</v>
      </c>
      <c r="F339" t="s">
        <v>21</v>
      </c>
      <c r="G339" t="s">
        <v>182</v>
      </c>
      <c r="H339" t="s">
        <v>183</v>
      </c>
      <c r="I339" t="s">
        <v>303</v>
      </c>
      <c r="J339" t="s">
        <v>280</v>
      </c>
      <c r="K339" t="s">
        <v>100</v>
      </c>
      <c r="L339" t="s">
        <v>304</v>
      </c>
      <c r="M339" t="s">
        <v>17</v>
      </c>
      <c r="N339" t="s">
        <v>141</v>
      </c>
      <c r="O339" t="s">
        <v>20</v>
      </c>
      <c r="P339">
        <v>6</v>
      </c>
      <c r="Q339" s="17">
        <v>6</v>
      </c>
      <c r="R339">
        <v>6</v>
      </c>
      <c r="S339">
        <v>0</v>
      </c>
      <c r="T339">
        <v>0</v>
      </c>
      <c r="U339">
        <v>3.2</v>
      </c>
      <c r="V339">
        <v>-0.03325061</v>
      </c>
      <c r="W339">
        <v>6</v>
      </c>
      <c r="X339">
        <v>4.67185762</v>
      </c>
      <c r="Y339">
        <v>2.32142857</v>
      </c>
      <c r="Z339">
        <v>1.28428571</v>
      </c>
      <c r="AA339" s="2">
        <v>2</v>
      </c>
      <c r="AB339" s="2">
        <v>26</v>
      </c>
      <c r="AC339" s="2">
        <v>47</v>
      </c>
      <c r="AD339" s="2">
        <v>67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</row>
    <row r="340" spans="1:40">
      <c r="A340" t="s">
        <v>131</v>
      </c>
      <c r="B340" t="s">
        <v>179</v>
      </c>
      <c r="C340" t="s">
        <v>180</v>
      </c>
      <c r="D340" t="s">
        <v>181</v>
      </c>
      <c r="E340" t="s">
        <v>135</v>
      </c>
      <c r="F340" t="s">
        <v>21</v>
      </c>
      <c r="G340" t="s">
        <v>182</v>
      </c>
      <c r="H340" t="s">
        <v>183</v>
      </c>
      <c r="I340" t="s">
        <v>290</v>
      </c>
      <c r="J340" t="s">
        <v>280</v>
      </c>
      <c r="K340" t="s">
        <v>34</v>
      </c>
      <c r="L340" t="s">
        <v>291</v>
      </c>
      <c r="M340" t="s">
        <v>17</v>
      </c>
      <c r="N340" t="s">
        <v>141</v>
      </c>
      <c r="O340" t="s">
        <v>20</v>
      </c>
      <c r="P340">
        <v>6</v>
      </c>
      <c r="Q340" s="17">
        <v>6</v>
      </c>
      <c r="R340">
        <v>6</v>
      </c>
      <c r="S340">
        <v>0</v>
      </c>
      <c r="T340">
        <v>0</v>
      </c>
      <c r="U340">
        <v>4.77777778</v>
      </c>
      <c r="V340">
        <v>-0.00441982</v>
      </c>
      <c r="W340">
        <v>6</v>
      </c>
      <c r="X340">
        <v>12.43523316</v>
      </c>
      <c r="Y340">
        <v>0.32142857</v>
      </c>
      <c r="Z340">
        <v>0.4825</v>
      </c>
      <c r="AA340" s="2">
        <v>3</v>
      </c>
      <c r="AB340" s="2">
        <v>7</v>
      </c>
      <c r="AC340" s="2">
        <v>9</v>
      </c>
      <c r="AD340" s="2">
        <v>9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</row>
    <row r="341" spans="1:40">
      <c r="A341" t="s">
        <v>131</v>
      </c>
      <c r="B341" t="s">
        <v>179</v>
      </c>
      <c r="C341" t="s">
        <v>180</v>
      </c>
      <c r="D341" t="s">
        <v>181</v>
      </c>
      <c r="E341" t="s">
        <v>135</v>
      </c>
      <c r="F341" t="s">
        <v>21</v>
      </c>
      <c r="G341" t="s">
        <v>182</v>
      </c>
      <c r="H341" t="s">
        <v>183</v>
      </c>
      <c r="I341" t="s">
        <v>309</v>
      </c>
      <c r="J341" t="s">
        <v>280</v>
      </c>
      <c r="K341" t="s">
        <v>35</v>
      </c>
      <c r="L341" t="s">
        <v>310</v>
      </c>
      <c r="M341" t="s">
        <v>17</v>
      </c>
      <c r="N341" t="s">
        <v>141</v>
      </c>
      <c r="O341" t="s">
        <v>20</v>
      </c>
      <c r="P341">
        <v>6</v>
      </c>
      <c r="Q341" s="17">
        <v>6</v>
      </c>
      <c r="R341">
        <v>6</v>
      </c>
      <c r="S341">
        <v>0</v>
      </c>
      <c r="T341">
        <v>0</v>
      </c>
      <c r="U341">
        <v>3.54545455</v>
      </c>
      <c r="V341">
        <v>-0.00593493</v>
      </c>
      <c r="W341">
        <v>6</v>
      </c>
      <c r="X341">
        <v>8.11594203</v>
      </c>
      <c r="Y341">
        <v>0.39285714</v>
      </c>
      <c r="Z341">
        <v>0.73928571</v>
      </c>
      <c r="AA341" s="2">
        <v>2</v>
      </c>
      <c r="AB341" s="2">
        <v>7</v>
      </c>
      <c r="AC341" s="2">
        <v>11</v>
      </c>
      <c r="AD341" s="2">
        <v>11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4</v>
      </c>
      <c r="AM341">
        <v>0</v>
      </c>
      <c r="AN341">
        <v>0</v>
      </c>
    </row>
    <row r="342" spans="1:40">
      <c r="A342" t="s">
        <v>131</v>
      </c>
      <c r="B342" t="s">
        <v>179</v>
      </c>
      <c r="C342" t="s">
        <v>180</v>
      </c>
      <c r="D342" t="s">
        <v>181</v>
      </c>
      <c r="E342" t="s">
        <v>135</v>
      </c>
      <c r="F342" t="s">
        <v>21</v>
      </c>
      <c r="G342" t="s">
        <v>182</v>
      </c>
      <c r="H342" t="s">
        <v>183</v>
      </c>
      <c r="I342" t="s">
        <v>305</v>
      </c>
      <c r="J342" t="s">
        <v>280</v>
      </c>
      <c r="K342" t="s">
        <v>41</v>
      </c>
      <c r="L342" t="s">
        <v>306</v>
      </c>
      <c r="M342" t="s">
        <v>17</v>
      </c>
      <c r="N342" t="s">
        <v>141</v>
      </c>
      <c r="O342" t="s">
        <v>20</v>
      </c>
      <c r="P342">
        <v>6</v>
      </c>
      <c r="Q342" s="17">
        <v>6</v>
      </c>
      <c r="R342">
        <v>6</v>
      </c>
      <c r="S342">
        <v>0</v>
      </c>
      <c r="T342">
        <v>0</v>
      </c>
      <c r="U342">
        <v>6.55555556</v>
      </c>
      <c r="V342">
        <v>-0.00379133</v>
      </c>
      <c r="W342">
        <v>6</v>
      </c>
      <c r="X342">
        <v>19.78798587</v>
      </c>
      <c r="Y342">
        <v>0.32142857</v>
      </c>
      <c r="Z342">
        <v>0.30321429</v>
      </c>
      <c r="AA342" s="2">
        <v>0</v>
      </c>
      <c r="AB342" s="2">
        <v>5</v>
      </c>
      <c r="AC342" s="2">
        <v>9</v>
      </c>
      <c r="AD342" s="2">
        <v>9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</row>
    <row r="343" spans="1:40">
      <c r="A343" t="s">
        <v>131</v>
      </c>
      <c r="B343" t="s">
        <v>191</v>
      </c>
      <c r="C343" t="s">
        <v>192</v>
      </c>
      <c r="D343" t="s">
        <v>193</v>
      </c>
      <c r="E343" t="s">
        <v>135</v>
      </c>
      <c r="F343" t="s">
        <v>49</v>
      </c>
      <c r="G343" t="s">
        <v>194</v>
      </c>
      <c r="H343" t="s">
        <v>195</v>
      </c>
      <c r="I343" t="s">
        <v>351</v>
      </c>
      <c r="J343" t="s">
        <v>148</v>
      </c>
      <c r="K343" t="s">
        <v>51</v>
      </c>
      <c r="L343" t="s">
        <v>352</v>
      </c>
      <c r="M343" t="s">
        <v>25</v>
      </c>
      <c r="N343" t="s">
        <v>141</v>
      </c>
      <c r="O343" t="s">
        <v>20</v>
      </c>
      <c r="P343">
        <v>6</v>
      </c>
      <c r="Q343" s="17">
        <v>6</v>
      </c>
      <c r="R343">
        <v>6</v>
      </c>
      <c r="S343">
        <v>0</v>
      </c>
      <c r="T343">
        <v>0</v>
      </c>
      <c r="U343">
        <v>22.33333333</v>
      </c>
      <c r="V343">
        <v>0.00119085</v>
      </c>
      <c r="W343">
        <v>6</v>
      </c>
      <c r="X343">
        <v>15.25885559</v>
      </c>
      <c r="Y343">
        <v>0.21428571</v>
      </c>
      <c r="Z343">
        <v>0.39321429</v>
      </c>
      <c r="AA343" s="2">
        <v>0</v>
      </c>
      <c r="AB343" s="2">
        <v>1</v>
      </c>
      <c r="AC343" s="2">
        <v>2</v>
      </c>
      <c r="AD343" s="2">
        <v>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4</v>
      </c>
      <c r="AM343">
        <v>0</v>
      </c>
      <c r="AN343">
        <v>0</v>
      </c>
    </row>
    <row r="344" spans="1:40">
      <c r="A344" t="s">
        <v>131</v>
      </c>
      <c r="B344" t="s">
        <v>315</v>
      </c>
      <c r="C344" t="s">
        <v>316</v>
      </c>
      <c r="D344" t="s">
        <v>317</v>
      </c>
      <c r="E344" t="s">
        <v>135</v>
      </c>
      <c r="F344" t="s">
        <v>42</v>
      </c>
      <c r="G344" t="s">
        <v>318</v>
      </c>
      <c r="H344" t="s">
        <v>319</v>
      </c>
      <c r="I344" t="s">
        <v>173</v>
      </c>
      <c r="J344" t="s">
        <v>148</v>
      </c>
      <c r="K344" t="s">
        <v>98</v>
      </c>
      <c r="L344" t="s">
        <v>174</v>
      </c>
      <c r="M344" t="s">
        <v>25</v>
      </c>
      <c r="N344" t="s">
        <v>141</v>
      </c>
      <c r="O344" t="s">
        <v>20</v>
      </c>
      <c r="P344">
        <v>6</v>
      </c>
      <c r="Q344" s="17">
        <v>6</v>
      </c>
      <c r="R344">
        <v>6</v>
      </c>
      <c r="S344">
        <v>0</v>
      </c>
      <c r="T344">
        <v>0</v>
      </c>
      <c r="U344">
        <v>65</v>
      </c>
      <c r="V344">
        <v>0.00187387</v>
      </c>
      <c r="W344">
        <v>6</v>
      </c>
      <c r="X344">
        <v>36.05150215</v>
      </c>
      <c r="Y344">
        <v>0.07142857</v>
      </c>
      <c r="Z344">
        <v>0.16642857</v>
      </c>
      <c r="AA344" s="2">
        <v>0</v>
      </c>
      <c r="AB344" s="2">
        <v>0</v>
      </c>
      <c r="AC344" s="2">
        <v>0</v>
      </c>
      <c r="AD344" s="2">
        <v>2</v>
      </c>
      <c r="AE344">
        <v>0</v>
      </c>
      <c r="AF344">
        <v>0</v>
      </c>
      <c r="AG344">
        <v>0</v>
      </c>
      <c r="AH344">
        <v>0</v>
      </c>
      <c r="AI344">
        <v>1.12</v>
      </c>
      <c r="AJ344">
        <v>0</v>
      </c>
      <c r="AK344">
        <v>0</v>
      </c>
      <c r="AL344">
        <v>0</v>
      </c>
      <c r="AM344">
        <v>0</v>
      </c>
      <c r="AN344">
        <v>0</v>
      </c>
    </row>
    <row r="345" spans="1:40">
      <c r="A345" t="s">
        <v>131</v>
      </c>
      <c r="B345" t="s">
        <v>247</v>
      </c>
      <c r="C345" t="s">
        <v>248</v>
      </c>
      <c r="D345" t="s">
        <v>249</v>
      </c>
      <c r="E345" t="s">
        <v>135</v>
      </c>
      <c r="F345" t="s">
        <v>48</v>
      </c>
      <c r="G345" t="s">
        <v>250</v>
      </c>
      <c r="H345" t="s">
        <v>251</v>
      </c>
      <c r="I345" t="s">
        <v>203</v>
      </c>
      <c r="J345" t="s">
        <v>139</v>
      </c>
      <c r="K345" t="s">
        <v>88</v>
      </c>
      <c r="L345" t="s">
        <v>204</v>
      </c>
      <c r="M345" t="s">
        <v>25</v>
      </c>
      <c r="N345" t="s">
        <v>141</v>
      </c>
      <c r="O345" t="s">
        <v>20</v>
      </c>
      <c r="P345">
        <v>6</v>
      </c>
      <c r="Q345" s="17">
        <v>6</v>
      </c>
      <c r="R345">
        <v>6</v>
      </c>
      <c r="S345">
        <v>0</v>
      </c>
      <c r="T345">
        <v>0</v>
      </c>
      <c r="U345">
        <v>49.66666667</v>
      </c>
      <c r="V345">
        <v>0.00381559</v>
      </c>
      <c r="W345">
        <v>6</v>
      </c>
      <c r="X345">
        <v>38.26879271</v>
      </c>
      <c r="Y345">
        <v>0.14285714</v>
      </c>
      <c r="Z345">
        <v>0.15678571</v>
      </c>
      <c r="AA345" s="2">
        <v>0</v>
      </c>
      <c r="AB345" s="2">
        <v>1</v>
      </c>
      <c r="AC345" s="2">
        <v>2</v>
      </c>
      <c r="AD345" s="2">
        <v>4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</row>
    <row r="346" spans="1:40">
      <c r="A346" t="s">
        <v>131</v>
      </c>
      <c r="B346" t="s">
        <v>247</v>
      </c>
      <c r="C346" t="s">
        <v>248</v>
      </c>
      <c r="D346" t="s">
        <v>249</v>
      </c>
      <c r="E346" t="s">
        <v>135</v>
      </c>
      <c r="F346" t="s">
        <v>48</v>
      </c>
      <c r="G346" t="s">
        <v>250</v>
      </c>
      <c r="H346" t="s">
        <v>251</v>
      </c>
      <c r="I346" t="s">
        <v>201</v>
      </c>
      <c r="J346" t="s">
        <v>148</v>
      </c>
      <c r="K346" t="s">
        <v>67</v>
      </c>
      <c r="L346" t="s">
        <v>202</v>
      </c>
      <c r="M346" t="s">
        <v>25</v>
      </c>
      <c r="N346" t="s">
        <v>141</v>
      </c>
      <c r="O346" t="s">
        <v>20</v>
      </c>
      <c r="P346">
        <v>6</v>
      </c>
      <c r="Q346" s="17">
        <v>6</v>
      </c>
      <c r="R346">
        <v>6</v>
      </c>
      <c r="S346">
        <v>0</v>
      </c>
      <c r="T346">
        <v>0</v>
      </c>
      <c r="U346">
        <v>999999999</v>
      </c>
      <c r="V346">
        <v>0.00384812</v>
      </c>
      <c r="W346">
        <v>6</v>
      </c>
      <c r="X346">
        <v>55.26315789</v>
      </c>
      <c r="Y346">
        <v>0</v>
      </c>
      <c r="Z346">
        <v>0.10857143</v>
      </c>
      <c r="AA346" s="2">
        <v>0</v>
      </c>
      <c r="AB346" s="2">
        <v>0</v>
      </c>
      <c r="AC346" s="2">
        <v>0</v>
      </c>
      <c r="AD346" s="2">
        <v>0</v>
      </c>
      <c r="AE346">
        <v>0</v>
      </c>
      <c r="AF346">
        <v>0</v>
      </c>
      <c r="AG346">
        <v>0</v>
      </c>
      <c r="AH346">
        <v>0</v>
      </c>
      <c r="AI346">
        <v>3.76</v>
      </c>
      <c r="AJ346">
        <v>0</v>
      </c>
      <c r="AK346">
        <v>0</v>
      </c>
      <c r="AL346">
        <v>0</v>
      </c>
      <c r="AM346">
        <v>0</v>
      </c>
      <c r="AN346">
        <v>0</v>
      </c>
    </row>
    <row r="347" spans="1:40">
      <c r="A347" t="s">
        <v>131</v>
      </c>
      <c r="B347" t="s">
        <v>247</v>
      </c>
      <c r="C347" t="s">
        <v>248</v>
      </c>
      <c r="D347" t="s">
        <v>249</v>
      </c>
      <c r="E347" t="s">
        <v>135</v>
      </c>
      <c r="F347" t="s">
        <v>48</v>
      </c>
      <c r="G347" t="s">
        <v>250</v>
      </c>
      <c r="H347" t="s">
        <v>251</v>
      </c>
      <c r="I347" t="s">
        <v>288</v>
      </c>
      <c r="J347" t="s">
        <v>148</v>
      </c>
      <c r="K347" t="s">
        <v>87</v>
      </c>
      <c r="L347" t="s">
        <v>289</v>
      </c>
      <c r="M347" t="s">
        <v>25</v>
      </c>
      <c r="N347" t="s">
        <v>141</v>
      </c>
      <c r="O347" t="s">
        <v>20</v>
      </c>
      <c r="P347">
        <v>6</v>
      </c>
      <c r="Q347" s="17">
        <v>6</v>
      </c>
      <c r="R347">
        <v>6</v>
      </c>
      <c r="S347">
        <v>0</v>
      </c>
      <c r="T347">
        <v>0</v>
      </c>
      <c r="U347">
        <v>999999999</v>
      </c>
      <c r="V347">
        <v>0.00439785</v>
      </c>
      <c r="W347">
        <v>6</v>
      </c>
      <c r="X347">
        <v>21.42857143</v>
      </c>
      <c r="Y347">
        <v>0.07142857</v>
      </c>
      <c r="Z347">
        <v>0.28</v>
      </c>
      <c r="AA347" s="2">
        <v>0</v>
      </c>
      <c r="AB347" s="2">
        <v>0</v>
      </c>
      <c r="AC347" s="2">
        <v>0</v>
      </c>
      <c r="AD347" s="2">
        <v>2</v>
      </c>
      <c r="AE347">
        <v>0</v>
      </c>
      <c r="AF347">
        <v>0</v>
      </c>
      <c r="AG347">
        <v>0</v>
      </c>
      <c r="AH347">
        <v>0</v>
      </c>
      <c r="AI347">
        <v>0.28</v>
      </c>
      <c r="AJ347">
        <v>0</v>
      </c>
      <c r="AK347">
        <v>0</v>
      </c>
      <c r="AL347">
        <v>2</v>
      </c>
      <c r="AM347">
        <v>0</v>
      </c>
      <c r="AN347">
        <v>0</v>
      </c>
    </row>
    <row r="348" spans="1:40">
      <c r="A348" t="s">
        <v>131</v>
      </c>
      <c r="B348" t="s">
        <v>247</v>
      </c>
      <c r="C348" t="s">
        <v>248</v>
      </c>
      <c r="D348" t="s">
        <v>249</v>
      </c>
      <c r="E348" t="s">
        <v>135</v>
      </c>
      <c r="F348" t="s">
        <v>48</v>
      </c>
      <c r="G348" t="s">
        <v>250</v>
      </c>
      <c r="H348" t="s">
        <v>251</v>
      </c>
      <c r="I348" t="s">
        <v>175</v>
      </c>
      <c r="J348" t="s">
        <v>139</v>
      </c>
      <c r="K348" t="s">
        <v>74</v>
      </c>
      <c r="L348" t="s">
        <v>176</v>
      </c>
      <c r="M348" t="s">
        <v>25</v>
      </c>
      <c r="N348" t="s">
        <v>141</v>
      </c>
      <c r="O348" t="s">
        <v>20</v>
      </c>
      <c r="P348">
        <v>6</v>
      </c>
      <c r="Q348" s="17">
        <v>6</v>
      </c>
      <c r="R348">
        <v>6</v>
      </c>
      <c r="S348">
        <v>0</v>
      </c>
      <c r="T348">
        <v>0</v>
      </c>
      <c r="U348">
        <v>37.5</v>
      </c>
      <c r="V348">
        <v>0.00317638</v>
      </c>
      <c r="W348">
        <v>6</v>
      </c>
      <c r="X348">
        <v>25.07462687</v>
      </c>
      <c r="Y348">
        <v>0.21428571</v>
      </c>
      <c r="Z348">
        <v>0.23928571</v>
      </c>
      <c r="AA348" s="2">
        <v>0</v>
      </c>
      <c r="AB348" s="2">
        <v>1</v>
      </c>
      <c r="AC348" s="2">
        <v>2</v>
      </c>
      <c r="AD348" s="2">
        <v>6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</row>
    <row r="349" spans="1:40">
      <c r="A349" t="s">
        <v>131</v>
      </c>
      <c r="B349" t="s">
        <v>264</v>
      </c>
      <c r="C349" t="s">
        <v>265</v>
      </c>
      <c r="D349" t="s">
        <v>266</v>
      </c>
      <c r="E349" t="s">
        <v>135</v>
      </c>
      <c r="F349" t="s">
        <v>53</v>
      </c>
      <c r="G349" t="s">
        <v>267</v>
      </c>
      <c r="H349" t="s">
        <v>268</v>
      </c>
      <c r="I349" t="s">
        <v>150</v>
      </c>
      <c r="J349" t="s">
        <v>148</v>
      </c>
      <c r="K349" t="s">
        <v>83</v>
      </c>
      <c r="L349" t="s">
        <v>151</v>
      </c>
      <c r="M349" t="s">
        <v>25</v>
      </c>
      <c r="N349" t="s">
        <v>141</v>
      </c>
      <c r="O349" t="s">
        <v>20</v>
      </c>
      <c r="P349">
        <v>6</v>
      </c>
      <c r="Q349" s="17">
        <v>6</v>
      </c>
      <c r="R349">
        <v>6</v>
      </c>
      <c r="S349">
        <v>0</v>
      </c>
      <c r="T349">
        <v>0</v>
      </c>
      <c r="U349">
        <v>14.8</v>
      </c>
      <c r="V349">
        <v>-0.00048699</v>
      </c>
      <c r="W349">
        <v>6</v>
      </c>
      <c r="X349">
        <v>24.17266187</v>
      </c>
      <c r="Y349">
        <v>0.17857143</v>
      </c>
      <c r="Z349">
        <v>0.24821429</v>
      </c>
      <c r="AA349" s="2">
        <v>0</v>
      </c>
      <c r="AB349" s="2">
        <v>0</v>
      </c>
      <c r="AC349" s="2">
        <v>1</v>
      </c>
      <c r="AD349" s="2">
        <v>6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</row>
    <row r="350" spans="1:40">
      <c r="A350" t="s">
        <v>131</v>
      </c>
      <c r="B350" t="s">
        <v>274</v>
      </c>
      <c r="C350" t="s">
        <v>275</v>
      </c>
      <c r="D350" t="s">
        <v>276</v>
      </c>
      <c r="E350" t="s">
        <v>135</v>
      </c>
      <c r="F350" t="s">
        <v>50</v>
      </c>
      <c r="G350" t="s">
        <v>277</v>
      </c>
      <c r="H350" t="s">
        <v>278</v>
      </c>
      <c r="I350" t="s">
        <v>215</v>
      </c>
      <c r="J350" t="s">
        <v>148</v>
      </c>
      <c r="K350" t="s">
        <v>76</v>
      </c>
      <c r="L350" t="s">
        <v>216</v>
      </c>
      <c r="M350" t="s">
        <v>25</v>
      </c>
      <c r="N350" t="s">
        <v>141</v>
      </c>
      <c r="O350" t="s">
        <v>20</v>
      </c>
      <c r="P350">
        <v>6</v>
      </c>
      <c r="Q350" s="17">
        <v>6</v>
      </c>
      <c r="R350">
        <v>6</v>
      </c>
      <c r="S350">
        <v>0</v>
      </c>
      <c r="T350">
        <v>0</v>
      </c>
      <c r="U350">
        <v>37</v>
      </c>
      <c r="V350">
        <v>0.00154879</v>
      </c>
      <c r="W350">
        <v>6</v>
      </c>
      <c r="X350">
        <v>30.82568807</v>
      </c>
      <c r="Y350">
        <v>0.14285714</v>
      </c>
      <c r="Z350">
        <v>0.19464286</v>
      </c>
      <c r="AA350" s="2">
        <v>0</v>
      </c>
      <c r="AB350" s="2">
        <v>0</v>
      </c>
      <c r="AC350" s="2">
        <v>0</v>
      </c>
      <c r="AD350" s="2">
        <v>4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</row>
    <row r="351" spans="1:40">
      <c r="A351" t="s">
        <v>131</v>
      </c>
      <c r="B351" t="s">
        <v>259</v>
      </c>
      <c r="C351" t="s">
        <v>260</v>
      </c>
      <c r="D351" t="s">
        <v>261</v>
      </c>
      <c r="E351" t="s">
        <v>135</v>
      </c>
      <c r="F351" t="s">
        <v>43</v>
      </c>
      <c r="G351" t="s">
        <v>262</v>
      </c>
      <c r="H351" t="s">
        <v>263</v>
      </c>
      <c r="I351" t="s">
        <v>257</v>
      </c>
      <c r="J351" t="s">
        <v>148</v>
      </c>
      <c r="K351" t="s">
        <v>86</v>
      </c>
      <c r="L351" t="s">
        <v>258</v>
      </c>
      <c r="M351" t="s">
        <v>25</v>
      </c>
      <c r="N351" t="s">
        <v>141</v>
      </c>
      <c r="O351" t="s">
        <v>20</v>
      </c>
      <c r="P351">
        <v>6</v>
      </c>
      <c r="Q351" s="17">
        <v>6</v>
      </c>
      <c r="R351">
        <v>6</v>
      </c>
      <c r="S351">
        <v>0</v>
      </c>
      <c r="T351">
        <v>0</v>
      </c>
      <c r="U351">
        <v>14.2</v>
      </c>
      <c r="V351">
        <v>-0.00060482</v>
      </c>
      <c r="W351">
        <v>6</v>
      </c>
      <c r="X351">
        <v>54.72312704</v>
      </c>
      <c r="Y351">
        <v>0.21428571</v>
      </c>
      <c r="Z351">
        <v>0.10964286</v>
      </c>
      <c r="AA351" s="2">
        <v>0</v>
      </c>
      <c r="AB351" s="2">
        <v>1</v>
      </c>
      <c r="AC351" s="2">
        <v>5</v>
      </c>
      <c r="AD351" s="2">
        <v>6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</row>
    <row r="352" spans="1:40">
      <c r="A352" t="s">
        <v>131</v>
      </c>
      <c r="B352" t="s">
        <v>154</v>
      </c>
      <c r="C352" t="s">
        <v>155</v>
      </c>
      <c r="D352" t="s">
        <v>156</v>
      </c>
      <c r="E352" t="s">
        <v>135</v>
      </c>
      <c r="F352" t="s">
        <v>39</v>
      </c>
      <c r="G352" t="s">
        <v>157</v>
      </c>
      <c r="H352" t="s">
        <v>158</v>
      </c>
      <c r="I352" t="s">
        <v>294</v>
      </c>
      <c r="J352" t="s">
        <v>148</v>
      </c>
      <c r="K352" t="s">
        <v>99</v>
      </c>
      <c r="L352" t="s">
        <v>295</v>
      </c>
      <c r="M352" t="s">
        <v>25</v>
      </c>
      <c r="N352" t="s">
        <v>141</v>
      </c>
      <c r="O352" t="s">
        <v>20</v>
      </c>
      <c r="P352">
        <v>6</v>
      </c>
      <c r="Q352" s="17">
        <v>6</v>
      </c>
      <c r="R352">
        <v>6</v>
      </c>
      <c r="S352">
        <v>0</v>
      </c>
      <c r="T352">
        <v>0</v>
      </c>
      <c r="U352">
        <v>999999999</v>
      </c>
      <c r="V352">
        <v>0.00518318</v>
      </c>
      <c r="W352">
        <v>6</v>
      </c>
      <c r="X352">
        <v>72.4137931</v>
      </c>
      <c r="Y352">
        <v>0</v>
      </c>
      <c r="Z352">
        <v>0.08285714</v>
      </c>
      <c r="AA352" s="2">
        <v>0</v>
      </c>
      <c r="AB352" s="2">
        <v>0</v>
      </c>
      <c r="AC352" s="2">
        <v>0</v>
      </c>
      <c r="AD352" s="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</row>
    <row r="353" spans="1:40">
      <c r="A353" t="s">
        <v>131</v>
      </c>
      <c r="B353" t="s">
        <v>154</v>
      </c>
      <c r="C353" t="s">
        <v>155</v>
      </c>
      <c r="D353" t="s">
        <v>156</v>
      </c>
      <c r="E353" t="s">
        <v>135</v>
      </c>
      <c r="F353" t="s">
        <v>39</v>
      </c>
      <c r="G353" t="s">
        <v>157</v>
      </c>
      <c r="H353" t="s">
        <v>158</v>
      </c>
      <c r="I353" t="s">
        <v>164</v>
      </c>
      <c r="J353" t="s">
        <v>148</v>
      </c>
      <c r="K353" t="s">
        <v>94</v>
      </c>
      <c r="L353" t="s">
        <v>165</v>
      </c>
      <c r="M353" t="s">
        <v>25</v>
      </c>
      <c r="N353" t="s">
        <v>141</v>
      </c>
      <c r="O353" t="s">
        <v>20</v>
      </c>
      <c r="P353">
        <v>6</v>
      </c>
      <c r="Q353" s="17">
        <v>6</v>
      </c>
      <c r="R353">
        <v>6</v>
      </c>
      <c r="S353">
        <v>0</v>
      </c>
      <c r="T353">
        <v>0</v>
      </c>
      <c r="U353">
        <v>20.33333333</v>
      </c>
      <c r="V353">
        <v>0.00071954</v>
      </c>
      <c r="W353">
        <v>6</v>
      </c>
      <c r="X353">
        <v>22.64150943</v>
      </c>
      <c r="Y353">
        <v>0.21428571</v>
      </c>
      <c r="Z353">
        <v>0.265</v>
      </c>
      <c r="AA353" s="2">
        <v>0</v>
      </c>
      <c r="AB353" s="2">
        <v>1</v>
      </c>
      <c r="AC353" s="2">
        <v>5</v>
      </c>
      <c r="AD353" s="2">
        <v>6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</row>
    <row r="354" spans="1:40">
      <c r="A354" t="s">
        <v>131</v>
      </c>
      <c r="B354" t="s">
        <v>224</v>
      </c>
      <c r="C354" t="s">
        <v>225</v>
      </c>
      <c r="D354" t="s">
        <v>226</v>
      </c>
      <c r="E354" t="s">
        <v>227</v>
      </c>
      <c r="F354" t="s">
        <v>68</v>
      </c>
      <c r="G354" t="s">
        <v>228</v>
      </c>
      <c r="H354" t="s">
        <v>229</v>
      </c>
      <c r="I354" t="s">
        <v>164</v>
      </c>
      <c r="J354" t="s">
        <v>148</v>
      </c>
      <c r="K354" t="s">
        <v>94</v>
      </c>
      <c r="L354" t="s">
        <v>165</v>
      </c>
      <c r="M354" t="s">
        <v>25</v>
      </c>
      <c r="N354" t="s">
        <v>141</v>
      </c>
      <c r="O354" t="s">
        <v>20</v>
      </c>
      <c r="P354">
        <v>5</v>
      </c>
      <c r="Q354" s="17">
        <v>5</v>
      </c>
      <c r="R354">
        <v>5</v>
      </c>
      <c r="S354">
        <v>0</v>
      </c>
      <c r="T354">
        <v>0</v>
      </c>
      <c r="U354">
        <v>17.2</v>
      </c>
      <c r="V354">
        <v>-1.57e-5</v>
      </c>
      <c r="W354">
        <v>5</v>
      </c>
      <c r="X354">
        <v>19.66292135</v>
      </c>
      <c r="Y354">
        <v>0.17857143</v>
      </c>
      <c r="Z354">
        <v>0.25428571</v>
      </c>
      <c r="AA354" s="2">
        <v>0</v>
      </c>
      <c r="AB354" s="2">
        <v>0</v>
      </c>
      <c r="AC354" s="2">
        <v>1</v>
      </c>
      <c r="AD354" s="2">
        <v>5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2</v>
      </c>
      <c r="AM354">
        <v>0</v>
      </c>
      <c r="AN354">
        <v>0</v>
      </c>
    </row>
    <row r="355" spans="1:40">
      <c r="A355" t="s">
        <v>131</v>
      </c>
      <c r="B355" t="s">
        <v>210</v>
      </c>
      <c r="C355" t="s">
        <v>211</v>
      </c>
      <c r="D355" t="s">
        <v>212</v>
      </c>
      <c r="E355" t="s">
        <v>135</v>
      </c>
      <c r="F355" t="s">
        <v>16</v>
      </c>
      <c r="G355" t="s">
        <v>213</v>
      </c>
      <c r="H355" t="s">
        <v>214</v>
      </c>
      <c r="I355" t="s">
        <v>320</v>
      </c>
      <c r="J355" t="s">
        <v>280</v>
      </c>
      <c r="K355" t="s">
        <v>15</v>
      </c>
      <c r="L355" t="s">
        <v>321</v>
      </c>
      <c r="M355" t="s">
        <v>17</v>
      </c>
      <c r="N355" t="s">
        <v>141</v>
      </c>
      <c r="O355" t="s">
        <v>18</v>
      </c>
      <c r="P355">
        <v>5</v>
      </c>
      <c r="Q355" s="17">
        <v>5</v>
      </c>
      <c r="R355">
        <v>5</v>
      </c>
      <c r="S355">
        <v>0</v>
      </c>
      <c r="T355">
        <v>0</v>
      </c>
      <c r="U355">
        <v>36.66666667</v>
      </c>
      <c r="V355">
        <v>0.00228401</v>
      </c>
      <c r="W355">
        <v>5</v>
      </c>
      <c r="X355">
        <v>999999999</v>
      </c>
      <c r="Y355">
        <v>0.32142857</v>
      </c>
      <c r="Z355">
        <v>0</v>
      </c>
      <c r="AA355" s="2">
        <v>0</v>
      </c>
      <c r="AB355" s="2">
        <v>0</v>
      </c>
      <c r="AC355" s="2">
        <v>0</v>
      </c>
      <c r="AD355" s="2">
        <v>9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</row>
    <row r="356" spans="1:40">
      <c r="A356" t="s">
        <v>131</v>
      </c>
      <c r="B356" t="s">
        <v>210</v>
      </c>
      <c r="C356" t="s">
        <v>211</v>
      </c>
      <c r="D356" t="s">
        <v>212</v>
      </c>
      <c r="E356" t="s">
        <v>135</v>
      </c>
      <c r="F356" t="s">
        <v>16</v>
      </c>
      <c r="G356" t="s">
        <v>213</v>
      </c>
      <c r="H356" t="s">
        <v>214</v>
      </c>
      <c r="I356" t="s">
        <v>322</v>
      </c>
      <c r="J356" t="s">
        <v>280</v>
      </c>
      <c r="K356" t="s">
        <v>27</v>
      </c>
      <c r="L356" t="s">
        <v>323</v>
      </c>
      <c r="M356" t="s">
        <v>17</v>
      </c>
      <c r="N356" t="s">
        <v>141</v>
      </c>
      <c r="O356" t="s">
        <v>18</v>
      </c>
      <c r="P356">
        <v>5</v>
      </c>
      <c r="Q356" s="17">
        <v>5</v>
      </c>
      <c r="R356">
        <v>5</v>
      </c>
      <c r="S356">
        <v>0</v>
      </c>
      <c r="T356">
        <v>0</v>
      </c>
      <c r="U356">
        <v>11.77777778</v>
      </c>
      <c r="V356">
        <v>-0.00194515</v>
      </c>
      <c r="W356">
        <v>5</v>
      </c>
      <c r="X356">
        <v>999999999</v>
      </c>
      <c r="Y356">
        <v>0.57142857</v>
      </c>
      <c r="Z356">
        <v>0</v>
      </c>
      <c r="AA356" s="2">
        <v>0</v>
      </c>
      <c r="AB356" s="2">
        <v>0</v>
      </c>
      <c r="AC356" s="2">
        <v>0</v>
      </c>
      <c r="AD356" s="2">
        <v>17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</row>
    <row r="357" spans="1:40">
      <c r="A357" t="s">
        <v>131</v>
      </c>
      <c r="B357" t="s">
        <v>179</v>
      </c>
      <c r="C357" t="s">
        <v>180</v>
      </c>
      <c r="D357" t="s">
        <v>181</v>
      </c>
      <c r="E357" t="s">
        <v>135</v>
      </c>
      <c r="F357" t="s">
        <v>21</v>
      </c>
      <c r="G357" t="s">
        <v>182</v>
      </c>
      <c r="H357" t="s">
        <v>183</v>
      </c>
      <c r="I357" t="s">
        <v>353</v>
      </c>
      <c r="J357" t="s">
        <v>280</v>
      </c>
      <c r="K357" t="s">
        <v>30</v>
      </c>
      <c r="L357" t="s">
        <v>354</v>
      </c>
      <c r="M357" t="s">
        <v>17</v>
      </c>
      <c r="N357" t="s">
        <v>141</v>
      </c>
      <c r="O357" t="s">
        <v>20</v>
      </c>
      <c r="P357">
        <v>5</v>
      </c>
      <c r="Q357" s="17">
        <v>5</v>
      </c>
      <c r="R357">
        <v>5</v>
      </c>
      <c r="S357">
        <v>0</v>
      </c>
      <c r="T357">
        <v>0</v>
      </c>
      <c r="U357">
        <v>3.08695652</v>
      </c>
      <c r="V357">
        <v>-0.01282972</v>
      </c>
      <c r="W357">
        <v>5</v>
      </c>
      <c r="X357">
        <v>5.52268245</v>
      </c>
      <c r="Y357">
        <v>0.82142857</v>
      </c>
      <c r="Z357">
        <v>0.90535714</v>
      </c>
      <c r="AA357" s="2">
        <v>3</v>
      </c>
      <c r="AB357" s="2">
        <v>12</v>
      </c>
      <c r="AC357" s="2">
        <v>20</v>
      </c>
      <c r="AD357" s="2">
        <v>23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6</v>
      </c>
      <c r="AM357">
        <v>0</v>
      </c>
      <c r="AN357">
        <v>0</v>
      </c>
    </row>
    <row r="358" spans="1:40">
      <c r="A358" t="s">
        <v>131</v>
      </c>
      <c r="B358" t="s">
        <v>179</v>
      </c>
      <c r="C358" t="s">
        <v>180</v>
      </c>
      <c r="D358" t="s">
        <v>181</v>
      </c>
      <c r="E358" t="s">
        <v>135</v>
      </c>
      <c r="F358" t="s">
        <v>21</v>
      </c>
      <c r="G358" t="s">
        <v>182</v>
      </c>
      <c r="H358" t="s">
        <v>183</v>
      </c>
      <c r="I358" t="s">
        <v>343</v>
      </c>
      <c r="J358" t="s">
        <v>280</v>
      </c>
      <c r="K358" t="s">
        <v>29</v>
      </c>
      <c r="L358" t="s">
        <v>344</v>
      </c>
      <c r="M358" t="s">
        <v>17</v>
      </c>
      <c r="N358" t="s">
        <v>141</v>
      </c>
      <c r="O358" t="s">
        <v>20</v>
      </c>
      <c r="P358">
        <v>5</v>
      </c>
      <c r="Q358" s="17">
        <v>5</v>
      </c>
      <c r="R358">
        <v>5</v>
      </c>
      <c r="S358">
        <v>0</v>
      </c>
      <c r="T358">
        <v>0</v>
      </c>
      <c r="U358">
        <v>10.14285714</v>
      </c>
      <c r="V358">
        <v>-0.00196229</v>
      </c>
      <c r="W358">
        <v>5</v>
      </c>
      <c r="X358">
        <v>9.45307225</v>
      </c>
      <c r="Y358">
        <v>0.25</v>
      </c>
      <c r="Z358">
        <v>0.52892857</v>
      </c>
      <c r="AA358" s="2">
        <v>2</v>
      </c>
      <c r="AB358" s="2">
        <v>5</v>
      </c>
      <c r="AC358" s="2">
        <v>6</v>
      </c>
      <c r="AD358" s="2">
        <v>7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</row>
    <row r="359" spans="1:40">
      <c r="A359" t="s">
        <v>131</v>
      </c>
      <c r="B359" t="s">
        <v>242</v>
      </c>
      <c r="C359" t="s">
        <v>243</v>
      </c>
      <c r="D359" t="s">
        <v>244</v>
      </c>
      <c r="E359" t="s">
        <v>135</v>
      </c>
      <c r="F359" t="s">
        <v>24</v>
      </c>
      <c r="G359" t="s">
        <v>245</v>
      </c>
      <c r="H359" t="s">
        <v>246</v>
      </c>
      <c r="I359" t="s">
        <v>201</v>
      </c>
      <c r="J359" t="s">
        <v>148</v>
      </c>
      <c r="K359" t="s">
        <v>67</v>
      </c>
      <c r="L359" t="s">
        <v>202</v>
      </c>
      <c r="M359" t="s">
        <v>25</v>
      </c>
      <c r="N359" t="s">
        <v>141</v>
      </c>
      <c r="O359" t="s">
        <v>20</v>
      </c>
      <c r="P359">
        <v>5</v>
      </c>
      <c r="Q359" s="17">
        <v>4</v>
      </c>
      <c r="R359">
        <v>4</v>
      </c>
      <c r="S359">
        <v>0.2</v>
      </c>
      <c r="T359">
        <v>1</v>
      </c>
      <c r="U359">
        <v>4.85714286</v>
      </c>
      <c r="V359">
        <v>-0.02052148</v>
      </c>
      <c r="W359">
        <v>4</v>
      </c>
      <c r="X359">
        <v>4.03749099</v>
      </c>
      <c r="Y359">
        <v>1.64285714</v>
      </c>
      <c r="Z359">
        <v>0.99071429</v>
      </c>
      <c r="AA359" s="2">
        <v>0</v>
      </c>
      <c r="AB359" s="2">
        <v>32</v>
      </c>
      <c r="AC359" s="2">
        <v>39</v>
      </c>
      <c r="AD359" s="2">
        <v>46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</row>
    <row r="360" spans="1:40">
      <c r="A360" t="s">
        <v>131</v>
      </c>
      <c r="B360" t="s">
        <v>191</v>
      </c>
      <c r="C360" t="s">
        <v>192</v>
      </c>
      <c r="D360" t="s">
        <v>193</v>
      </c>
      <c r="E360" t="s">
        <v>135</v>
      </c>
      <c r="F360" t="s">
        <v>49</v>
      </c>
      <c r="G360" t="s">
        <v>194</v>
      </c>
      <c r="H360" t="s">
        <v>195</v>
      </c>
      <c r="I360" t="s">
        <v>339</v>
      </c>
      <c r="J360" t="s">
        <v>148</v>
      </c>
      <c r="K360" t="s">
        <v>90</v>
      </c>
      <c r="L360" t="s">
        <v>340</v>
      </c>
      <c r="M360" t="s">
        <v>25</v>
      </c>
      <c r="N360" t="s">
        <v>141</v>
      </c>
      <c r="O360" t="s">
        <v>20</v>
      </c>
      <c r="P360">
        <v>5</v>
      </c>
      <c r="Q360" s="17">
        <v>5</v>
      </c>
      <c r="R360">
        <v>5</v>
      </c>
      <c r="S360">
        <v>0</v>
      </c>
      <c r="T360">
        <v>0</v>
      </c>
      <c r="U360">
        <v>21.71428571</v>
      </c>
      <c r="V360">
        <v>0.00121918</v>
      </c>
      <c r="W360">
        <v>5</v>
      </c>
      <c r="X360">
        <v>12.68115942</v>
      </c>
      <c r="Y360">
        <v>0.28571429</v>
      </c>
      <c r="Z360">
        <v>0.39428571</v>
      </c>
      <c r="AA360" s="2">
        <v>0</v>
      </c>
      <c r="AB360" s="2">
        <v>2</v>
      </c>
      <c r="AC360" s="2">
        <v>3</v>
      </c>
      <c r="AD360" s="2">
        <v>8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4</v>
      </c>
      <c r="AM360">
        <v>0</v>
      </c>
      <c r="AN360">
        <v>0</v>
      </c>
    </row>
    <row r="361" spans="1:40">
      <c r="A361" t="s">
        <v>131</v>
      </c>
      <c r="B361" t="s">
        <v>315</v>
      </c>
      <c r="C361" t="s">
        <v>316</v>
      </c>
      <c r="D361" t="s">
        <v>317</v>
      </c>
      <c r="E361" t="s">
        <v>135</v>
      </c>
      <c r="F361" t="s">
        <v>42</v>
      </c>
      <c r="G361" t="s">
        <v>318</v>
      </c>
      <c r="H361" t="s">
        <v>319</v>
      </c>
      <c r="I361" t="s">
        <v>215</v>
      </c>
      <c r="J361" t="s">
        <v>148</v>
      </c>
      <c r="K361" t="s">
        <v>76</v>
      </c>
      <c r="L361" t="s">
        <v>216</v>
      </c>
      <c r="M361" t="s">
        <v>25</v>
      </c>
      <c r="N361" t="s">
        <v>141</v>
      </c>
      <c r="O361" t="s">
        <v>20</v>
      </c>
      <c r="P361">
        <v>5</v>
      </c>
      <c r="Q361" s="17">
        <v>5</v>
      </c>
      <c r="R361">
        <v>5</v>
      </c>
      <c r="S361">
        <v>0</v>
      </c>
      <c r="T361">
        <v>0</v>
      </c>
      <c r="U361">
        <v>999999999</v>
      </c>
      <c r="V361">
        <v>0.00133506</v>
      </c>
      <c r="W361">
        <v>5</v>
      </c>
      <c r="X361">
        <v>38.25136612</v>
      </c>
      <c r="Y361">
        <v>0</v>
      </c>
      <c r="Z361">
        <v>0.13071429</v>
      </c>
      <c r="AA361" s="2">
        <v>0</v>
      </c>
      <c r="AB361" s="2">
        <v>0</v>
      </c>
      <c r="AC361" s="2">
        <v>0</v>
      </c>
      <c r="AD361" s="2">
        <v>0</v>
      </c>
      <c r="AE361">
        <v>0</v>
      </c>
      <c r="AF361">
        <v>0</v>
      </c>
      <c r="AG361">
        <v>0</v>
      </c>
      <c r="AH361">
        <v>1</v>
      </c>
      <c r="AI361">
        <v>2.36</v>
      </c>
      <c r="AJ361">
        <v>5</v>
      </c>
      <c r="AK361">
        <v>0</v>
      </c>
      <c r="AL361">
        <v>0</v>
      </c>
      <c r="AM361">
        <v>0</v>
      </c>
      <c r="AN361">
        <v>0</v>
      </c>
    </row>
    <row r="362" spans="1:40">
      <c r="A362" t="s">
        <v>131</v>
      </c>
      <c r="B362" t="s">
        <v>247</v>
      </c>
      <c r="C362" t="s">
        <v>248</v>
      </c>
      <c r="D362" t="s">
        <v>249</v>
      </c>
      <c r="E362" t="s">
        <v>135</v>
      </c>
      <c r="F362" t="s">
        <v>48</v>
      </c>
      <c r="G362" t="s">
        <v>250</v>
      </c>
      <c r="H362" t="s">
        <v>251</v>
      </c>
      <c r="I362" t="s">
        <v>349</v>
      </c>
      <c r="J362" t="s">
        <v>148</v>
      </c>
      <c r="K362" t="s">
        <v>47</v>
      </c>
      <c r="L362" t="s">
        <v>350</v>
      </c>
      <c r="M362" t="s">
        <v>25</v>
      </c>
      <c r="N362" t="s">
        <v>141</v>
      </c>
      <c r="O362" t="s">
        <v>20</v>
      </c>
      <c r="P362">
        <v>5</v>
      </c>
      <c r="Q362" s="17">
        <v>5</v>
      </c>
      <c r="R362">
        <v>5</v>
      </c>
      <c r="S362">
        <v>0</v>
      </c>
      <c r="T362">
        <v>0</v>
      </c>
      <c r="U362">
        <v>13.4</v>
      </c>
      <c r="V362">
        <v>-0.00076191</v>
      </c>
      <c r="W362">
        <v>5</v>
      </c>
      <c r="X362">
        <v>31.81818182</v>
      </c>
      <c r="Y362">
        <v>0.17857143</v>
      </c>
      <c r="Z362">
        <v>0.15714286</v>
      </c>
      <c r="AA362" s="2">
        <v>0</v>
      </c>
      <c r="AB362" s="2">
        <v>1</v>
      </c>
      <c r="AC362" s="2">
        <v>3</v>
      </c>
      <c r="AD362" s="2">
        <v>5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</row>
    <row r="363" spans="1:40">
      <c r="A363" t="s">
        <v>131</v>
      </c>
      <c r="B363" t="s">
        <v>334</v>
      </c>
      <c r="C363" t="s">
        <v>335</v>
      </c>
      <c r="D363" t="s">
        <v>336</v>
      </c>
      <c r="E363" t="s">
        <v>135</v>
      </c>
      <c r="F363" t="s">
        <v>56</v>
      </c>
      <c r="G363" t="s">
        <v>337</v>
      </c>
      <c r="H363" t="s">
        <v>338</v>
      </c>
      <c r="I363" t="s">
        <v>164</v>
      </c>
      <c r="J363" t="s">
        <v>148</v>
      </c>
      <c r="K363" t="s">
        <v>94</v>
      </c>
      <c r="L363" t="s">
        <v>165</v>
      </c>
      <c r="M363" t="s">
        <v>25</v>
      </c>
      <c r="N363" t="s">
        <v>141</v>
      </c>
      <c r="O363" t="s">
        <v>20</v>
      </c>
      <c r="P363">
        <v>5</v>
      </c>
      <c r="Q363" s="17">
        <v>5</v>
      </c>
      <c r="R363">
        <v>5</v>
      </c>
      <c r="S363">
        <v>0</v>
      </c>
      <c r="T363">
        <v>0</v>
      </c>
      <c r="U363">
        <v>35</v>
      </c>
      <c r="V363">
        <v>0.00139172</v>
      </c>
      <c r="W363">
        <v>5</v>
      </c>
      <c r="X363">
        <v>53.23193916</v>
      </c>
      <c r="Y363">
        <v>0.07142857</v>
      </c>
      <c r="Z363">
        <v>0.09392857</v>
      </c>
      <c r="AA363" s="2">
        <v>0</v>
      </c>
      <c r="AB363" s="2">
        <v>2</v>
      </c>
      <c r="AC363" s="2">
        <v>2</v>
      </c>
      <c r="AD363" s="2">
        <v>3</v>
      </c>
      <c r="AE363">
        <v>0</v>
      </c>
      <c r="AF363">
        <v>0</v>
      </c>
      <c r="AG363">
        <v>0</v>
      </c>
      <c r="AH363">
        <v>0</v>
      </c>
      <c r="AI363">
        <v>1.75</v>
      </c>
      <c r="AJ363">
        <v>0</v>
      </c>
      <c r="AK363">
        <v>0</v>
      </c>
      <c r="AL363">
        <v>0</v>
      </c>
      <c r="AM363">
        <v>0</v>
      </c>
      <c r="AN363">
        <v>0</v>
      </c>
    </row>
    <row r="364" spans="1:40">
      <c r="A364" t="s">
        <v>131</v>
      </c>
      <c r="B364" t="s">
        <v>334</v>
      </c>
      <c r="C364" t="s">
        <v>335</v>
      </c>
      <c r="D364" t="s">
        <v>336</v>
      </c>
      <c r="E364" t="s">
        <v>135</v>
      </c>
      <c r="F364" t="s">
        <v>56</v>
      </c>
      <c r="G364" t="s">
        <v>337</v>
      </c>
      <c r="H364" t="s">
        <v>338</v>
      </c>
      <c r="I364" t="s">
        <v>171</v>
      </c>
      <c r="J364" t="s">
        <v>148</v>
      </c>
      <c r="K364" t="s">
        <v>75</v>
      </c>
      <c r="L364" t="s">
        <v>172</v>
      </c>
      <c r="M364" t="s">
        <v>25</v>
      </c>
      <c r="N364" t="s">
        <v>141</v>
      </c>
      <c r="O364" t="s">
        <v>20</v>
      </c>
      <c r="P364">
        <v>5</v>
      </c>
      <c r="Q364" s="17">
        <v>5</v>
      </c>
      <c r="R364">
        <v>5</v>
      </c>
      <c r="S364">
        <v>0</v>
      </c>
      <c r="T364">
        <v>0</v>
      </c>
      <c r="U364">
        <v>999999999</v>
      </c>
      <c r="V364">
        <v>0.001178</v>
      </c>
      <c r="W364">
        <v>5</v>
      </c>
      <c r="X364">
        <v>89.74358974</v>
      </c>
      <c r="Y364">
        <v>0</v>
      </c>
      <c r="Z364">
        <v>0.05571429</v>
      </c>
      <c r="AA364" s="2">
        <v>0</v>
      </c>
      <c r="AB364" s="2">
        <v>0</v>
      </c>
      <c r="AC364" s="2">
        <v>0</v>
      </c>
      <c r="AD364" s="2">
        <v>0</v>
      </c>
      <c r="AE364">
        <v>1</v>
      </c>
      <c r="AF364">
        <v>0.2</v>
      </c>
      <c r="AG364">
        <v>1</v>
      </c>
      <c r="AH364">
        <v>0</v>
      </c>
      <c r="AI364">
        <v>3.78</v>
      </c>
      <c r="AJ364">
        <v>5</v>
      </c>
      <c r="AK364">
        <v>0</v>
      </c>
      <c r="AL364">
        <v>0</v>
      </c>
      <c r="AM364">
        <v>0</v>
      </c>
      <c r="AN364">
        <v>0</v>
      </c>
    </row>
    <row r="365" spans="1:40">
      <c r="A365" t="s">
        <v>131</v>
      </c>
      <c r="B365" t="s">
        <v>274</v>
      </c>
      <c r="C365" t="s">
        <v>275</v>
      </c>
      <c r="D365" t="s">
        <v>276</v>
      </c>
      <c r="E365" t="s">
        <v>135</v>
      </c>
      <c r="F365" t="s">
        <v>50</v>
      </c>
      <c r="G365" t="s">
        <v>277</v>
      </c>
      <c r="H365" t="s">
        <v>278</v>
      </c>
      <c r="I365" t="s">
        <v>164</v>
      </c>
      <c r="J365" t="s">
        <v>148</v>
      </c>
      <c r="K365" t="s">
        <v>94</v>
      </c>
      <c r="L365" t="s">
        <v>165</v>
      </c>
      <c r="M365" t="s">
        <v>25</v>
      </c>
      <c r="N365" t="s">
        <v>141</v>
      </c>
      <c r="O365" t="s">
        <v>20</v>
      </c>
      <c r="P365">
        <v>5</v>
      </c>
      <c r="Q365" s="17">
        <v>5</v>
      </c>
      <c r="R365">
        <v>5</v>
      </c>
      <c r="S365">
        <v>0</v>
      </c>
      <c r="T365">
        <v>0</v>
      </c>
      <c r="U365">
        <v>37.33333333</v>
      </c>
      <c r="V365">
        <v>0.00236255</v>
      </c>
      <c r="W365">
        <v>5</v>
      </c>
      <c r="X365">
        <v>21.08433735</v>
      </c>
      <c r="Y365">
        <v>0.10714286</v>
      </c>
      <c r="Z365">
        <v>0.23714286</v>
      </c>
      <c r="AA365" s="2">
        <v>0</v>
      </c>
      <c r="AB365" s="2">
        <v>1</v>
      </c>
      <c r="AC365" s="2">
        <v>1</v>
      </c>
      <c r="AD365" s="2">
        <v>3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</row>
    <row r="366" spans="1:40">
      <c r="A366" t="s">
        <v>131</v>
      </c>
      <c r="B366" t="s">
        <v>274</v>
      </c>
      <c r="C366" t="s">
        <v>275</v>
      </c>
      <c r="D366" t="s">
        <v>276</v>
      </c>
      <c r="E366" t="s">
        <v>135</v>
      </c>
      <c r="F366" t="s">
        <v>50</v>
      </c>
      <c r="G366" t="s">
        <v>277</v>
      </c>
      <c r="H366" t="s">
        <v>278</v>
      </c>
      <c r="I366" t="s">
        <v>171</v>
      </c>
      <c r="J366" t="s">
        <v>148</v>
      </c>
      <c r="K366" t="s">
        <v>75</v>
      </c>
      <c r="L366" t="s">
        <v>172</v>
      </c>
      <c r="M366" t="s">
        <v>25</v>
      </c>
      <c r="N366" t="s">
        <v>141</v>
      </c>
      <c r="O366" t="s">
        <v>20</v>
      </c>
      <c r="P366">
        <v>5</v>
      </c>
      <c r="Q366" s="17">
        <v>5</v>
      </c>
      <c r="R366">
        <v>5</v>
      </c>
      <c r="S366">
        <v>0</v>
      </c>
      <c r="T366">
        <v>0</v>
      </c>
      <c r="U366">
        <v>17</v>
      </c>
      <c r="V366">
        <v>-2.199e-5</v>
      </c>
      <c r="W366">
        <v>5</v>
      </c>
      <c r="X366">
        <v>35.26448363</v>
      </c>
      <c r="Y366">
        <v>0.10714286</v>
      </c>
      <c r="Z366">
        <v>0.14178571</v>
      </c>
      <c r="AA366" s="2">
        <v>0</v>
      </c>
      <c r="AB366" s="2">
        <v>0</v>
      </c>
      <c r="AC366" s="2">
        <v>0</v>
      </c>
      <c r="AD366" s="2">
        <v>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</row>
    <row r="367" spans="1:40">
      <c r="A367" t="s">
        <v>131</v>
      </c>
      <c r="B367" t="s">
        <v>259</v>
      </c>
      <c r="C367" t="s">
        <v>260</v>
      </c>
      <c r="D367" t="s">
        <v>261</v>
      </c>
      <c r="E367" t="s">
        <v>135</v>
      </c>
      <c r="F367" t="s">
        <v>43</v>
      </c>
      <c r="G367" t="s">
        <v>262</v>
      </c>
      <c r="H367" t="s">
        <v>263</v>
      </c>
      <c r="I367" t="s">
        <v>150</v>
      </c>
      <c r="J367" t="s">
        <v>148</v>
      </c>
      <c r="K367" t="s">
        <v>83</v>
      </c>
      <c r="L367" t="s">
        <v>151</v>
      </c>
      <c r="M367" t="s">
        <v>25</v>
      </c>
      <c r="N367" t="s">
        <v>141</v>
      </c>
      <c r="O367" t="s">
        <v>20</v>
      </c>
      <c r="P367">
        <v>5</v>
      </c>
      <c r="Q367" s="17">
        <v>5</v>
      </c>
      <c r="R367">
        <v>5</v>
      </c>
      <c r="S367">
        <v>0</v>
      </c>
      <c r="T367">
        <v>0</v>
      </c>
      <c r="U367">
        <v>12.85714286</v>
      </c>
      <c r="V367">
        <v>-0.00121602</v>
      </c>
      <c r="W367">
        <v>5</v>
      </c>
      <c r="X367">
        <v>21.43950995</v>
      </c>
      <c r="Y367">
        <v>0.39285714</v>
      </c>
      <c r="Z367">
        <v>0.23321429</v>
      </c>
      <c r="AA367" s="2">
        <v>0</v>
      </c>
      <c r="AB367" s="2">
        <v>3</v>
      </c>
      <c r="AC367" s="2">
        <v>5</v>
      </c>
      <c r="AD367" s="2">
        <v>11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</row>
    <row r="368" spans="1:40">
      <c r="A368" t="s">
        <v>131</v>
      </c>
      <c r="B368" t="s">
        <v>259</v>
      </c>
      <c r="C368" t="s">
        <v>260</v>
      </c>
      <c r="D368" t="s">
        <v>261</v>
      </c>
      <c r="E368" t="s">
        <v>135</v>
      </c>
      <c r="F368" t="s">
        <v>43</v>
      </c>
      <c r="G368" t="s">
        <v>262</v>
      </c>
      <c r="H368" t="s">
        <v>263</v>
      </c>
      <c r="I368" t="s">
        <v>171</v>
      </c>
      <c r="J368" t="s">
        <v>148</v>
      </c>
      <c r="K368" t="s">
        <v>75</v>
      </c>
      <c r="L368" t="s">
        <v>172</v>
      </c>
      <c r="M368" t="s">
        <v>25</v>
      </c>
      <c r="N368" t="s">
        <v>141</v>
      </c>
      <c r="O368" t="s">
        <v>20</v>
      </c>
      <c r="P368">
        <v>5</v>
      </c>
      <c r="Q368" s="17">
        <v>5</v>
      </c>
      <c r="R368">
        <v>5</v>
      </c>
      <c r="S368">
        <v>0</v>
      </c>
      <c r="T368">
        <v>0</v>
      </c>
      <c r="U368">
        <v>999999999</v>
      </c>
      <c r="V368">
        <v>0.00431932</v>
      </c>
      <c r="W368">
        <v>5</v>
      </c>
      <c r="X368">
        <v>47.78156997</v>
      </c>
      <c r="Y368">
        <v>0</v>
      </c>
      <c r="Z368">
        <v>0.10464286</v>
      </c>
      <c r="AA368" s="2">
        <v>0</v>
      </c>
      <c r="AB368" s="2">
        <v>0</v>
      </c>
      <c r="AC368" s="2">
        <v>0</v>
      </c>
      <c r="AD368" s="2">
        <v>0</v>
      </c>
      <c r="AE368">
        <v>0</v>
      </c>
      <c r="AF368">
        <v>0</v>
      </c>
      <c r="AG368">
        <v>0</v>
      </c>
      <c r="AH368">
        <v>1</v>
      </c>
      <c r="AI368">
        <v>2.97</v>
      </c>
      <c r="AJ368">
        <v>5</v>
      </c>
      <c r="AK368">
        <v>0</v>
      </c>
      <c r="AL368">
        <v>0</v>
      </c>
      <c r="AM368">
        <v>0</v>
      </c>
      <c r="AN368">
        <v>0</v>
      </c>
    </row>
    <row r="369" spans="1:40">
      <c r="A369" t="s">
        <v>131</v>
      </c>
      <c r="B369" t="s">
        <v>259</v>
      </c>
      <c r="C369" t="s">
        <v>260</v>
      </c>
      <c r="D369" t="s">
        <v>261</v>
      </c>
      <c r="E369" t="s">
        <v>135</v>
      </c>
      <c r="F369" t="s">
        <v>43</v>
      </c>
      <c r="G369" t="s">
        <v>262</v>
      </c>
      <c r="H369" t="s">
        <v>263</v>
      </c>
      <c r="I369" t="s">
        <v>305</v>
      </c>
      <c r="J369" t="s">
        <v>280</v>
      </c>
      <c r="K369" t="s">
        <v>41</v>
      </c>
      <c r="L369" t="s">
        <v>306</v>
      </c>
      <c r="M369" t="s">
        <v>25</v>
      </c>
      <c r="N369" t="s">
        <v>141</v>
      </c>
      <c r="O369" t="s">
        <v>20</v>
      </c>
      <c r="P369">
        <v>5</v>
      </c>
      <c r="Q369" s="17">
        <v>5</v>
      </c>
      <c r="R369">
        <v>5</v>
      </c>
      <c r="S369">
        <v>0</v>
      </c>
      <c r="T369">
        <v>0</v>
      </c>
      <c r="U369">
        <v>39</v>
      </c>
      <c r="V369">
        <v>0.00255891</v>
      </c>
      <c r="W369">
        <v>5</v>
      </c>
      <c r="X369">
        <v>127.27272727</v>
      </c>
      <c r="Y369">
        <v>0.10714286</v>
      </c>
      <c r="Z369">
        <v>0.03928571</v>
      </c>
      <c r="AA369" s="2">
        <v>0</v>
      </c>
      <c r="AB369" s="2">
        <v>1</v>
      </c>
      <c r="AC369" s="2">
        <v>1</v>
      </c>
      <c r="AD369" s="2">
        <v>3</v>
      </c>
      <c r="AE369">
        <v>0</v>
      </c>
      <c r="AF369">
        <v>0</v>
      </c>
      <c r="AG369">
        <v>0</v>
      </c>
      <c r="AH369">
        <v>5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</row>
    <row r="370" spans="1:40">
      <c r="A370" t="s">
        <v>131</v>
      </c>
      <c r="B370" t="s">
        <v>154</v>
      </c>
      <c r="C370" t="s">
        <v>155</v>
      </c>
      <c r="D370" t="s">
        <v>156</v>
      </c>
      <c r="E370" t="s">
        <v>135</v>
      </c>
      <c r="F370" t="s">
        <v>39</v>
      </c>
      <c r="G370" t="s">
        <v>157</v>
      </c>
      <c r="H370" t="s">
        <v>158</v>
      </c>
      <c r="I370" t="s">
        <v>175</v>
      </c>
      <c r="J370" t="s">
        <v>139</v>
      </c>
      <c r="K370" t="s">
        <v>74</v>
      </c>
      <c r="L370" t="s">
        <v>176</v>
      </c>
      <c r="M370" t="s">
        <v>25</v>
      </c>
      <c r="N370" t="s">
        <v>141</v>
      </c>
      <c r="O370" t="s">
        <v>20</v>
      </c>
      <c r="P370">
        <v>5</v>
      </c>
      <c r="Q370" s="17">
        <v>5</v>
      </c>
      <c r="R370">
        <v>5</v>
      </c>
      <c r="S370">
        <v>0</v>
      </c>
      <c r="T370">
        <v>0</v>
      </c>
      <c r="U370">
        <v>129</v>
      </c>
      <c r="V370">
        <v>0.00438703</v>
      </c>
      <c r="W370">
        <v>5</v>
      </c>
      <c r="X370">
        <v>70.70707071</v>
      </c>
      <c r="Y370">
        <v>0.03571429</v>
      </c>
      <c r="Z370">
        <v>0.07071429</v>
      </c>
      <c r="AA370" s="2">
        <v>0</v>
      </c>
      <c r="AB370" s="2">
        <v>1</v>
      </c>
      <c r="AC370" s="2">
        <v>1</v>
      </c>
      <c r="AD370" s="2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>
      <c r="A371" t="s">
        <v>131</v>
      </c>
      <c r="B371" t="s">
        <v>252</v>
      </c>
      <c r="C371" t="s">
        <v>253</v>
      </c>
      <c r="D371" t="s">
        <v>254</v>
      </c>
      <c r="E371" t="s">
        <v>135</v>
      </c>
      <c r="F371" t="s">
        <v>40</v>
      </c>
      <c r="G371" t="s">
        <v>255</v>
      </c>
      <c r="H371" t="s">
        <v>256</v>
      </c>
      <c r="I371" t="s">
        <v>355</v>
      </c>
      <c r="J371" t="s">
        <v>356</v>
      </c>
      <c r="K371" t="s">
        <v>81</v>
      </c>
      <c r="L371" t="s">
        <v>357</v>
      </c>
      <c r="M371" t="s">
        <v>25</v>
      </c>
      <c r="N371" t="s">
        <v>141</v>
      </c>
      <c r="P371">
        <v>4</v>
      </c>
      <c r="Q371" s="17">
        <v>0</v>
      </c>
      <c r="R371">
        <v>0</v>
      </c>
      <c r="S371">
        <v>1</v>
      </c>
      <c r="T371">
        <v>4</v>
      </c>
      <c r="U371">
        <v>-99</v>
      </c>
      <c r="W371">
        <v>0</v>
      </c>
      <c r="X371">
        <v>-99</v>
      </c>
      <c r="Y371">
        <v>0</v>
      </c>
      <c r="AA371" s="2">
        <v>0</v>
      </c>
      <c r="AB371" s="2">
        <v>0</v>
      </c>
      <c r="AC371" s="2">
        <v>0</v>
      </c>
      <c r="AD371" s="2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</row>
    <row r="372" spans="1:40">
      <c r="A372" t="s">
        <v>131</v>
      </c>
      <c r="B372" t="s">
        <v>252</v>
      </c>
      <c r="C372" t="s">
        <v>253</v>
      </c>
      <c r="D372" t="s">
        <v>254</v>
      </c>
      <c r="E372" t="s">
        <v>135</v>
      </c>
      <c r="F372" t="s">
        <v>40</v>
      </c>
      <c r="G372" t="s">
        <v>255</v>
      </c>
      <c r="H372" t="s">
        <v>256</v>
      </c>
      <c r="I372" t="s">
        <v>171</v>
      </c>
      <c r="J372" t="s">
        <v>148</v>
      </c>
      <c r="K372" t="s">
        <v>75</v>
      </c>
      <c r="L372" t="s">
        <v>172</v>
      </c>
      <c r="M372" t="s">
        <v>25</v>
      </c>
      <c r="N372" t="s">
        <v>141</v>
      </c>
      <c r="O372" t="s">
        <v>20</v>
      </c>
      <c r="P372">
        <v>4</v>
      </c>
      <c r="Q372" s="17">
        <v>4</v>
      </c>
      <c r="R372">
        <v>4</v>
      </c>
      <c r="S372">
        <v>0</v>
      </c>
      <c r="T372">
        <v>0</v>
      </c>
      <c r="U372">
        <v>999999999</v>
      </c>
      <c r="V372">
        <v>0.00345545</v>
      </c>
      <c r="W372">
        <v>4</v>
      </c>
      <c r="X372">
        <v>23.43096234</v>
      </c>
      <c r="Y372">
        <v>0.03571429</v>
      </c>
      <c r="Z372">
        <v>0.17071429</v>
      </c>
      <c r="AA372" s="2">
        <v>0</v>
      </c>
      <c r="AB372" s="2">
        <v>0</v>
      </c>
      <c r="AC372" s="2">
        <v>0</v>
      </c>
      <c r="AD372" s="2">
        <v>1</v>
      </c>
      <c r="AE372">
        <v>0</v>
      </c>
      <c r="AF372">
        <v>0</v>
      </c>
      <c r="AG372">
        <v>4</v>
      </c>
      <c r="AH372">
        <v>0</v>
      </c>
      <c r="AI372">
        <v>0</v>
      </c>
      <c r="AJ372">
        <v>0</v>
      </c>
      <c r="AK372">
        <v>0</v>
      </c>
      <c r="AL372">
        <v>4</v>
      </c>
      <c r="AM372">
        <v>0</v>
      </c>
      <c r="AN372">
        <v>0</v>
      </c>
    </row>
    <row r="373" spans="1:40">
      <c r="A373" t="s">
        <v>131</v>
      </c>
      <c r="B373" t="s">
        <v>252</v>
      </c>
      <c r="C373" t="s">
        <v>253</v>
      </c>
      <c r="D373" t="s">
        <v>254</v>
      </c>
      <c r="E373" t="s">
        <v>135</v>
      </c>
      <c r="F373" t="s">
        <v>40</v>
      </c>
      <c r="G373" t="s">
        <v>255</v>
      </c>
      <c r="H373" t="s">
        <v>256</v>
      </c>
      <c r="I373" t="s">
        <v>199</v>
      </c>
      <c r="J373" t="s">
        <v>148</v>
      </c>
      <c r="K373" t="s">
        <v>78</v>
      </c>
      <c r="L373" t="s">
        <v>200</v>
      </c>
      <c r="M373" t="s">
        <v>25</v>
      </c>
      <c r="N373" t="s">
        <v>141</v>
      </c>
      <c r="O373" t="s">
        <v>20</v>
      </c>
      <c r="P373">
        <v>4</v>
      </c>
      <c r="Q373" s="17">
        <v>4</v>
      </c>
      <c r="R373">
        <v>4</v>
      </c>
      <c r="S373">
        <v>0</v>
      </c>
      <c r="T373">
        <v>0</v>
      </c>
      <c r="U373">
        <v>26.25</v>
      </c>
      <c r="V373">
        <v>0.00140911</v>
      </c>
      <c r="W373">
        <v>4</v>
      </c>
      <c r="X373">
        <v>14.67889908</v>
      </c>
      <c r="Y373">
        <v>0.21428571</v>
      </c>
      <c r="Z373">
        <v>0.2725</v>
      </c>
      <c r="AA373" s="2">
        <v>1</v>
      </c>
      <c r="AB373" s="2">
        <v>4</v>
      </c>
      <c r="AC373" s="2">
        <v>4</v>
      </c>
      <c r="AD373" s="2">
        <v>7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4</v>
      </c>
      <c r="AM373">
        <v>0</v>
      </c>
      <c r="AN373">
        <v>0</v>
      </c>
    </row>
    <row r="374" spans="1:40">
      <c r="A374" t="s">
        <v>131</v>
      </c>
      <c r="B374" t="s">
        <v>282</v>
      </c>
      <c r="C374" t="s">
        <v>283</v>
      </c>
      <c r="D374" t="s">
        <v>284</v>
      </c>
      <c r="E374" t="s">
        <v>285</v>
      </c>
      <c r="F374" t="s">
        <v>38</v>
      </c>
      <c r="G374" t="s">
        <v>286</v>
      </c>
      <c r="H374" t="s">
        <v>287</v>
      </c>
      <c r="I374" t="s">
        <v>294</v>
      </c>
      <c r="J374" t="s">
        <v>148</v>
      </c>
      <c r="K374" t="s">
        <v>99</v>
      </c>
      <c r="L374" t="s">
        <v>295</v>
      </c>
      <c r="M374" t="s">
        <v>25</v>
      </c>
      <c r="N374" t="s">
        <v>141</v>
      </c>
      <c r="O374" t="s">
        <v>52</v>
      </c>
      <c r="P374">
        <v>4</v>
      </c>
      <c r="Q374" s="17">
        <v>4</v>
      </c>
      <c r="R374">
        <v>4</v>
      </c>
      <c r="S374">
        <v>0</v>
      </c>
      <c r="T374">
        <v>0</v>
      </c>
      <c r="U374">
        <v>20</v>
      </c>
      <c r="V374">
        <v>0.00042729</v>
      </c>
      <c r="W374">
        <v>4</v>
      </c>
      <c r="X374">
        <v>37.96610169</v>
      </c>
      <c r="Y374">
        <v>0.14285714</v>
      </c>
      <c r="Z374">
        <v>0.10535714</v>
      </c>
      <c r="AA374" s="2">
        <v>0</v>
      </c>
      <c r="AB374" s="2">
        <v>4</v>
      </c>
      <c r="AC374" s="2">
        <v>4</v>
      </c>
      <c r="AD374" s="2">
        <v>4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</row>
    <row r="375" spans="1:40">
      <c r="A375" t="s">
        <v>131</v>
      </c>
      <c r="B375" t="s">
        <v>210</v>
      </c>
      <c r="C375" t="s">
        <v>211</v>
      </c>
      <c r="D375" t="s">
        <v>212</v>
      </c>
      <c r="E375" t="s">
        <v>135</v>
      </c>
      <c r="F375" t="s">
        <v>16</v>
      </c>
      <c r="G375" t="s">
        <v>213</v>
      </c>
      <c r="H375" t="s">
        <v>214</v>
      </c>
      <c r="I375" t="s">
        <v>353</v>
      </c>
      <c r="J375" t="s">
        <v>280</v>
      </c>
      <c r="K375" t="s">
        <v>30</v>
      </c>
      <c r="L375" t="s">
        <v>354</v>
      </c>
      <c r="M375" t="s">
        <v>17</v>
      </c>
      <c r="N375" t="s">
        <v>141</v>
      </c>
      <c r="O375" t="s">
        <v>18</v>
      </c>
      <c r="P375">
        <v>4</v>
      </c>
      <c r="Q375" s="17">
        <v>4</v>
      </c>
      <c r="R375">
        <v>4</v>
      </c>
      <c r="S375">
        <v>0</v>
      </c>
      <c r="T375">
        <v>0</v>
      </c>
      <c r="U375">
        <v>999999999</v>
      </c>
      <c r="V375">
        <v>0.00345545</v>
      </c>
      <c r="W375">
        <v>4</v>
      </c>
      <c r="X375">
        <v>999999999</v>
      </c>
      <c r="Y375">
        <v>0.14285714</v>
      </c>
      <c r="Z375">
        <v>0</v>
      </c>
      <c r="AA375" s="2">
        <v>0</v>
      </c>
      <c r="AB375" s="2">
        <v>0</v>
      </c>
      <c r="AC375" s="2">
        <v>0</v>
      </c>
      <c r="AD375" s="2">
        <v>5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</row>
    <row r="376" spans="1:40">
      <c r="A376" t="s">
        <v>131</v>
      </c>
      <c r="B376" t="s">
        <v>179</v>
      </c>
      <c r="C376" t="s">
        <v>180</v>
      </c>
      <c r="D376" t="s">
        <v>181</v>
      </c>
      <c r="E376" t="s">
        <v>135</v>
      </c>
      <c r="F376" t="s">
        <v>21</v>
      </c>
      <c r="G376" t="s">
        <v>182</v>
      </c>
      <c r="H376" t="s">
        <v>183</v>
      </c>
      <c r="I376" t="s">
        <v>326</v>
      </c>
      <c r="J376" t="s">
        <v>280</v>
      </c>
      <c r="K376" t="s">
        <v>22</v>
      </c>
      <c r="L376" t="s">
        <v>327</v>
      </c>
      <c r="M376" t="s">
        <v>17</v>
      </c>
      <c r="N376" t="s">
        <v>141</v>
      </c>
      <c r="O376" t="s">
        <v>20</v>
      </c>
      <c r="P376">
        <v>4</v>
      </c>
      <c r="Q376" s="17">
        <v>4</v>
      </c>
      <c r="R376">
        <v>4</v>
      </c>
      <c r="S376">
        <v>0</v>
      </c>
      <c r="T376">
        <v>0</v>
      </c>
      <c r="U376">
        <v>3.02325581</v>
      </c>
      <c r="V376">
        <v>-0.0241126</v>
      </c>
      <c r="W376">
        <v>4</v>
      </c>
      <c r="X376">
        <v>2.4691358</v>
      </c>
      <c r="Y376">
        <v>1.71428571</v>
      </c>
      <c r="Z376">
        <v>1.62</v>
      </c>
      <c r="AA376" s="2">
        <v>0</v>
      </c>
      <c r="AB376" s="2">
        <v>13</v>
      </c>
      <c r="AC376" s="2">
        <v>23</v>
      </c>
      <c r="AD376" s="2">
        <v>48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</row>
    <row r="377" spans="1:40">
      <c r="A377" t="s">
        <v>131</v>
      </c>
      <c r="B377" t="s">
        <v>179</v>
      </c>
      <c r="C377" t="s">
        <v>180</v>
      </c>
      <c r="D377" t="s">
        <v>181</v>
      </c>
      <c r="E377" t="s">
        <v>135</v>
      </c>
      <c r="F377" t="s">
        <v>21</v>
      </c>
      <c r="G377" t="s">
        <v>182</v>
      </c>
      <c r="H377" t="s">
        <v>183</v>
      </c>
      <c r="I377" t="s">
        <v>307</v>
      </c>
      <c r="J377" t="s">
        <v>280</v>
      </c>
      <c r="K377" t="s">
        <v>37</v>
      </c>
      <c r="L377" t="s">
        <v>308</v>
      </c>
      <c r="M377" t="s">
        <v>17</v>
      </c>
      <c r="N377" t="s">
        <v>141</v>
      </c>
      <c r="O377" t="s">
        <v>20</v>
      </c>
      <c r="P377">
        <v>4</v>
      </c>
      <c r="Q377" s="17">
        <v>4</v>
      </c>
      <c r="R377">
        <v>4</v>
      </c>
      <c r="S377">
        <v>0</v>
      </c>
      <c r="T377">
        <v>0</v>
      </c>
      <c r="U377">
        <v>4.06666667</v>
      </c>
      <c r="V377">
        <v>-0.00778719</v>
      </c>
      <c r="W377">
        <v>4</v>
      </c>
      <c r="X377">
        <v>13.42925659</v>
      </c>
      <c r="Y377">
        <v>0.53571429</v>
      </c>
      <c r="Z377">
        <v>0.29785714</v>
      </c>
      <c r="AA377" s="2">
        <v>1</v>
      </c>
      <c r="AB377" s="2">
        <v>9</v>
      </c>
      <c r="AC377" s="2">
        <v>15</v>
      </c>
      <c r="AD377" s="2">
        <v>15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</row>
    <row r="378" spans="1:40">
      <c r="A378" t="s">
        <v>131</v>
      </c>
      <c r="B378" t="s">
        <v>179</v>
      </c>
      <c r="C378" t="s">
        <v>180</v>
      </c>
      <c r="D378" t="s">
        <v>181</v>
      </c>
      <c r="E378" t="s">
        <v>135</v>
      </c>
      <c r="F378" t="s">
        <v>21</v>
      </c>
      <c r="G378" t="s">
        <v>182</v>
      </c>
      <c r="H378" t="s">
        <v>183</v>
      </c>
      <c r="I378" t="s">
        <v>358</v>
      </c>
      <c r="J378" t="s">
        <v>280</v>
      </c>
      <c r="K378" t="s">
        <v>44</v>
      </c>
      <c r="L378" t="s">
        <v>359</v>
      </c>
      <c r="M378" t="s">
        <v>17</v>
      </c>
      <c r="N378" t="s">
        <v>141</v>
      </c>
      <c r="O378" t="s">
        <v>20</v>
      </c>
      <c r="P378">
        <v>4</v>
      </c>
      <c r="Q378" s="17">
        <v>4</v>
      </c>
      <c r="R378">
        <v>4</v>
      </c>
      <c r="S378">
        <v>0</v>
      </c>
      <c r="T378">
        <v>0</v>
      </c>
      <c r="U378">
        <v>4.83333333</v>
      </c>
      <c r="V378">
        <v>-0.00293311</v>
      </c>
      <c r="W378">
        <v>4</v>
      </c>
      <c r="X378">
        <v>22.62626263</v>
      </c>
      <c r="Y378">
        <v>0.21428571</v>
      </c>
      <c r="Z378">
        <v>0.17678571</v>
      </c>
      <c r="AA378" s="2">
        <v>1</v>
      </c>
      <c r="AB378" s="2">
        <v>2</v>
      </c>
      <c r="AC378" s="2">
        <v>5</v>
      </c>
      <c r="AD378" s="2">
        <v>6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</row>
    <row r="379" spans="1:40">
      <c r="A379" t="s">
        <v>131</v>
      </c>
      <c r="B379" t="s">
        <v>315</v>
      </c>
      <c r="C379" t="s">
        <v>316</v>
      </c>
      <c r="D379" t="s">
        <v>317</v>
      </c>
      <c r="E379" t="s">
        <v>135</v>
      </c>
      <c r="F379" t="s">
        <v>42</v>
      </c>
      <c r="G379" t="s">
        <v>318</v>
      </c>
      <c r="H379" t="s">
        <v>319</v>
      </c>
      <c r="I379" t="s">
        <v>311</v>
      </c>
      <c r="J379" t="s">
        <v>139</v>
      </c>
      <c r="K379" t="s">
        <v>57</v>
      </c>
      <c r="L379" t="s">
        <v>312</v>
      </c>
      <c r="M379" t="s">
        <v>25</v>
      </c>
      <c r="N379" t="s">
        <v>141</v>
      </c>
      <c r="O379" t="s">
        <v>52</v>
      </c>
      <c r="P379">
        <v>4</v>
      </c>
      <c r="Q379" s="17">
        <v>4</v>
      </c>
      <c r="R379">
        <v>4</v>
      </c>
      <c r="S379">
        <v>0</v>
      </c>
      <c r="T379">
        <v>0</v>
      </c>
      <c r="U379">
        <v>17.33333333</v>
      </c>
      <c r="V379">
        <v>6.29e-6</v>
      </c>
      <c r="W379">
        <v>4</v>
      </c>
      <c r="X379">
        <v>157.74647887</v>
      </c>
      <c r="Y379">
        <v>0.14285714</v>
      </c>
      <c r="Z379">
        <v>0.02535714</v>
      </c>
      <c r="AA379" s="2">
        <v>0</v>
      </c>
      <c r="AB379" s="2">
        <v>2</v>
      </c>
      <c r="AC379" s="2">
        <v>2</v>
      </c>
      <c r="AD379" s="2">
        <v>4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</row>
    <row r="380" spans="1:40">
      <c r="A380" t="s">
        <v>131</v>
      </c>
      <c r="B380" t="s">
        <v>315</v>
      </c>
      <c r="C380" t="s">
        <v>316</v>
      </c>
      <c r="D380" t="s">
        <v>317</v>
      </c>
      <c r="E380" t="s">
        <v>135</v>
      </c>
      <c r="F380" t="s">
        <v>42</v>
      </c>
      <c r="G380" t="s">
        <v>318</v>
      </c>
      <c r="H380" t="s">
        <v>319</v>
      </c>
      <c r="I380" t="s">
        <v>203</v>
      </c>
      <c r="J380" t="s">
        <v>139</v>
      </c>
      <c r="K380" t="s">
        <v>88</v>
      </c>
      <c r="L380" t="s">
        <v>204</v>
      </c>
      <c r="M380" t="s">
        <v>25</v>
      </c>
      <c r="N380" t="s">
        <v>141</v>
      </c>
      <c r="O380" t="s">
        <v>20</v>
      </c>
      <c r="P380">
        <v>4</v>
      </c>
      <c r="Q380" s="17">
        <v>4</v>
      </c>
      <c r="R380">
        <v>4</v>
      </c>
      <c r="S380">
        <v>0</v>
      </c>
      <c r="T380">
        <v>0</v>
      </c>
      <c r="U380">
        <v>999999999</v>
      </c>
      <c r="V380">
        <v>0.00345545</v>
      </c>
      <c r="W380">
        <v>4</v>
      </c>
      <c r="X380">
        <v>46.09053498</v>
      </c>
      <c r="Y380">
        <v>0</v>
      </c>
      <c r="Z380">
        <v>0.08678571</v>
      </c>
      <c r="AA380" s="2">
        <v>0</v>
      </c>
      <c r="AB380" s="2">
        <v>0</v>
      </c>
      <c r="AC380" s="2">
        <v>0</v>
      </c>
      <c r="AD380" s="2">
        <v>0</v>
      </c>
      <c r="AE380">
        <v>0</v>
      </c>
      <c r="AF380">
        <v>0</v>
      </c>
      <c r="AG380">
        <v>0</v>
      </c>
      <c r="AH380">
        <v>0</v>
      </c>
      <c r="AI380">
        <v>2.17</v>
      </c>
      <c r="AJ380">
        <v>4</v>
      </c>
      <c r="AK380">
        <v>0</v>
      </c>
      <c r="AL380">
        <v>0</v>
      </c>
      <c r="AM380">
        <v>0</v>
      </c>
      <c r="AN380">
        <v>0</v>
      </c>
    </row>
    <row r="381" spans="1:40">
      <c r="A381" t="s">
        <v>131</v>
      </c>
      <c r="B381" t="s">
        <v>315</v>
      </c>
      <c r="C381" t="s">
        <v>316</v>
      </c>
      <c r="D381" t="s">
        <v>317</v>
      </c>
      <c r="E381" t="s">
        <v>135</v>
      </c>
      <c r="F381" t="s">
        <v>42</v>
      </c>
      <c r="G381" t="s">
        <v>318</v>
      </c>
      <c r="H381" t="s">
        <v>319</v>
      </c>
      <c r="I381" t="s">
        <v>164</v>
      </c>
      <c r="J381" t="s">
        <v>148</v>
      </c>
      <c r="K381" t="s">
        <v>94</v>
      </c>
      <c r="L381" t="s">
        <v>165</v>
      </c>
      <c r="M381" t="s">
        <v>25</v>
      </c>
      <c r="N381" t="s">
        <v>141</v>
      </c>
      <c r="O381" t="s">
        <v>20</v>
      </c>
      <c r="P381">
        <v>4</v>
      </c>
      <c r="Q381" s="17">
        <v>4</v>
      </c>
      <c r="R381">
        <v>2</v>
      </c>
      <c r="S381">
        <v>0</v>
      </c>
      <c r="T381">
        <v>0</v>
      </c>
      <c r="U381">
        <v>12.33333333</v>
      </c>
      <c r="V381">
        <v>-0.00058278</v>
      </c>
      <c r="W381">
        <v>2</v>
      </c>
      <c r="X381">
        <v>12.61261261</v>
      </c>
      <c r="Y381">
        <v>0.14285714</v>
      </c>
      <c r="Z381">
        <v>0.15857143</v>
      </c>
      <c r="AA381" s="2">
        <v>0</v>
      </c>
      <c r="AB381" s="2">
        <v>1</v>
      </c>
      <c r="AC381" s="2">
        <v>1</v>
      </c>
      <c r="AD381" s="2">
        <v>4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</row>
    <row r="382" spans="1:40">
      <c r="A382" t="s">
        <v>131</v>
      </c>
      <c r="B382" t="s">
        <v>315</v>
      </c>
      <c r="C382" t="s">
        <v>316</v>
      </c>
      <c r="D382" t="s">
        <v>317</v>
      </c>
      <c r="E382" t="s">
        <v>135</v>
      </c>
      <c r="F382" t="s">
        <v>42</v>
      </c>
      <c r="G382" t="s">
        <v>318</v>
      </c>
      <c r="H382" t="s">
        <v>319</v>
      </c>
      <c r="I382" t="s">
        <v>339</v>
      </c>
      <c r="J382" t="s">
        <v>148</v>
      </c>
      <c r="K382" t="s">
        <v>90</v>
      </c>
      <c r="L382" t="s">
        <v>340</v>
      </c>
      <c r="M382" t="s">
        <v>25</v>
      </c>
      <c r="N382" t="s">
        <v>141</v>
      </c>
      <c r="O382" t="s">
        <v>20</v>
      </c>
      <c r="P382">
        <v>4</v>
      </c>
      <c r="Q382" s="17">
        <v>4</v>
      </c>
      <c r="R382">
        <v>4</v>
      </c>
      <c r="S382">
        <v>0</v>
      </c>
      <c r="T382">
        <v>0</v>
      </c>
      <c r="U382">
        <v>999999999</v>
      </c>
      <c r="V382">
        <v>0.00345545</v>
      </c>
      <c r="W382">
        <v>4</v>
      </c>
      <c r="X382">
        <v>143.58974359</v>
      </c>
      <c r="Y382">
        <v>0</v>
      </c>
      <c r="Z382">
        <v>0.02785714</v>
      </c>
      <c r="AA382" s="2">
        <v>0</v>
      </c>
      <c r="AB382" s="2">
        <v>0</v>
      </c>
      <c r="AC382" s="2">
        <v>0</v>
      </c>
      <c r="AD382" s="2">
        <v>0</v>
      </c>
      <c r="AE382">
        <v>0</v>
      </c>
      <c r="AF382">
        <v>0</v>
      </c>
      <c r="AG382">
        <v>0</v>
      </c>
      <c r="AH382">
        <v>4</v>
      </c>
      <c r="AI382">
        <v>3.39</v>
      </c>
      <c r="AJ382">
        <v>4</v>
      </c>
      <c r="AK382">
        <v>0</v>
      </c>
      <c r="AL382">
        <v>0</v>
      </c>
      <c r="AM382">
        <v>0</v>
      </c>
      <c r="AN382">
        <v>0</v>
      </c>
    </row>
    <row r="383" spans="1:40">
      <c r="A383" t="s">
        <v>131</v>
      </c>
      <c r="B383" t="s">
        <v>315</v>
      </c>
      <c r="C383" t="s">
        <v>316</v>
      </c>
      <c r="D383" t="s">
        <v>317</v>
      </c>
      <c r="E383" t="s">
        <v>135</v>
      </c>
      <c r="F383" t="s">
        <v>42</v>
      </c>
      <c r="G383" t="s">
        <v>318</v>
      </c>
      <c r="H383" t="s">
        <v>319</v>
      </c>
      <c r="I383" t="s">
        <v>196</v>
      </c>
      <c r="J383" t="s">
        <v>197</v>
      </c>
      <c r="K383" t="s">
        <v>96</v>
      </c>
      <c r="L383" t="s">
        <v>198</v>
      </c>
      <c r="M383" t="s">
        <v>25</v>
      </c>
      <c r="N383" t="s">
        <v>141</v>
      </c>
      <c r="P383">
        <v>4</v>
      </c>
      <c r="Q383" s="17">
        <v>4</v>
      </c>
      <c r="R383">
        <v>0</v>
      </c>
      <c r="S383">
        <v>0</v>
      </c>
      <c r="T383">
        <v>0</v>
      </c>
      <c r="U383">
        <v>-99</v>
      </c>
      <c r="W383">
        <v>4</v>
      </c>
      <c r="X383">
        <v>-99</v>
      </c>
      <c r="Y383">
        <v>0</v>
      </c>
      <c r="AA383" s="2">
        <v>0</v>
      </c>
      <c r="AB383" s="2">
        <v>0</v>
      </c>
      <c r="AC383" s="2">
        <v>0</v>
      </c>
      <c r="AD383" s="2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104</v>
      </c>
      <c r="AN383">
        <v>0</v>
      </c>
    </row>
    <row r="384" spans="1:40">
      <c r="A384" t="s">
        <v>131</v>
      </c>
      <c r="B384" t="s">
        <v>247</v>
      </c>
      <c r="C384" t="s">
        <v>248</v>
      </c>
      <c r="D384" t="s">
        <v>249</v>
      </c>
      <c r="E384" t="s">
        <v>135</v>
      </c>
      <c r="F384" t="s">
        <v>48</v>
      </c>
      <c r="G384" t="s">
        <v>250</v>
      </c>
      <c r="H384" t="s">
        <v>251</v>
      </c>
      <c r="I384" t="s">
        <v>311</v>
      </c>
      <c r="J384" t="s">
        <v>139</v>
      </c>
      <c r="K384" t="s">
        <v>57</v>
      </c>
      <c r="L384" t="s">
        <v>312</v>
      </c>
      <c r="M384" t="s">
        <v>25</v>
      </c>
      <c r="N384" t="s">
        <v>141</v>
      </c>
      <c r="O384" t="s">
        <v>20</v>
      </c>
      <c r="P384">
        <v>4</v>
      </c>
      <c r="Q384" s="17">
        <v>4</v>
      </c>
      <c r="R384">
        <v>4</v>
      </c>
      <c r="S384">
        <v>0</v>
      </c>
      <c r="T384">
        <v>0</v>
      </c>
      <c r="U384">
        <v>36</v>
      </c>
      <c r="V384">
        <v>0.00147026</v>
      </c>
      <c r="W384">
        <v>4</v>
      </c>
      <c r="X384">
        <v>25.33936652</v>
      </c>
      <c r="Y384">
        <v>0.07142857</v>
      </c>
      <c r="Z384">
        <v>0.15785714</v>
      </c>
      <c r="AA384" s="2">
        <v>0</v>
      </c>
      <c r="AB384" s="2">
        <v>0</v>
      </c>
      <c r="AC384" s="2">
        <v>2</v>
      </c>
      <c r="AD384" s="2">
        <v>2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</row>
    <row r="385" spans="1:40">
      <c r="A385" t="s">
        <v>131</v>
      </c>
      <c r="B385" t="s">
        <v>247</v>
      </c>
      <c r="C385" t="s">
        <v>248</v>
      </c>
      <c r="D385" t="s">
        <v>249</v>
      </c>
      <c r="E385" t="s">
        <v>135</v>
      </c>
      <c r="F385" t="s">
        <v>48</v>
      </c>
      <c r="G385" t="s">
        <v>250</v>
      </c>
      <c r="H385" t="s">
        <v>251</v>
      </c>
      <c r="I385" t="s">
        <v>230</v>
      </c>
      <c r="J385" t="s">
        <v>148</v>
      </c>
      <c r="K385" t="s">
        <v>91</v>
      </c>
      <c r="L385" t="s">
        <v>231</v>
      </c>
      <c r="M385" t="s">
        <v>25</v>
      </c>
      <c r="N385" t="s">
        <v>141</v>
      </c>
      <c r="O385" t="s">
        <v>20</v>
      </c>
      <c r="P385">
        <v>4</v>
      </c>
      <c r="Q385" s="17">
        <v>4</v>
      </c>
      <c r="R385">
        <v>4</v>
      </c>
      <c r="S385">
        <v>0</v>
      </c>
      <c r="T385">
        <v>0</v>
      </c>
      <c r="U385">
        <v>32</v>
      </c>
      <c r="V385">
        <v>0.0011561</v>
      </c>
      <c r="W385">
        <v>4</v>
      </c>
      <c r="X385">
        <v>25.62929062</v>
      </c>
      <c r="Y385">
        <v>0.07142857</v>
      </c>
      <c r="Z385">
        <v>0.15607143</v>
      </c>
      <c r="AA385" s="2">
        <v>0</v>
      </c>
      <c r="AB385" s="2">
        <v>0</v>
      </c>
      <c r="AC385" s="2">
        <v>2</v>
      </c>
      <c r="AD385" s="2">
        <v>4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</row>
    <row r="386" spans="1:40">
      <c r="A386" t="s">
        <v>131</v>
      </c>
      <c r="B386" t="s">
        <v>247</v>
      </c>
      <c r="C386" t="s">
        <v>248</v>
      </c>
      <c r="D386" t="s">
        <v>249</v>
      </c>
      <c r="E386" t="s">
        <v>135</v>
      </c>
      <c r="F386" t="s">
        <v>48</v>
      </c>
      <c r="G386" t="s">
        <v>250</v>
      </c>
      <c r="H386" t="s">
        <v>251</v>
      </c>
      <c r="I386" t="s">
        <v>199</v>
      </c>
      <c r="J386" t="s">
        <v>148</v>
      </c>
      <c r="K386" t="s">
        <v>78</v>
      </c>
      <c r="L386" t="s">
        <v>200</v>
      </c>
      <c r="M386" t="s">
        <v>25</v>
      </c>
      <c r="N386" t="s">
        <v>141</v>
      </c>
      <c r="O386" t="s">
        <v>20</v>
      </c>
      <c r="P386">
        <v>4</v>
      </c>
      <c r="Q386" s="17">
        <v>4</v>
      </c>
      <c r="R386">
        <v>4</v>
      </c>
      <c r="S386">
        <v>0</v>
      </c>
      <c r="T386">
        <v>0</v>
      </c>
      <c r="U386">
        <v>24.33333333</v>
      </c>
      <c r="V386">
        <v>0.00083098</v>
      </c>
      <c r="W386">
        <v>4</v>
      </c>
      <c r="X386">
        <v>25.68807339</v>
      </c>
      <c r="Y386">
        <v>0.14285714</v>
      </c>
      <c r="Z386">
        <v>0.15571429</v>
      </c>
      <c r="AA386" s="2">
        <v>0</v>
      </c>
      <c r="AB386" s="2">
        <v>1</v>
      </c>
      <c r="AC386" s="2">
        <v>2</v>
      </c>
      <c r="AD386" s="2">
        <v>4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</row>
    <row r="387" spans="1:40">
      <c r="A387" t="s">
        <v>131</v>
      </c>
      <c r="B387" t="s">
        <v>247</v>
      </c>
      <c r="C387" t="s">
        <v>248</v>
      </c>
      <c r="D387" t="s">
        <v>249</v>
      </c>
      <c r="E387" t="s">
        <v>135</v>
      </c>
      <c r="F387" t="s">
        <v>48</v>
      </c>
      <c r="G387" t="s">
        <v>250</v>
      </c>
      <c r="H387" t="s">
        <v>251</v>
      </c>
      <c r="I387" t="s">
        <v>328</v>
      </c>
      <c r="J387" t="s">
        <v>148</v>
      </c>
      <c r="K387" t="s">
        <v>93</v>
      </c>
      <c r="L387" t="s">
        <v>329</v>
      </c>
      <c r="M387" t="s">
        <v>25</v>
      </c>
      <c r="N387" t="s">
        <v>141</v>
      </c>
      <c r="O387" t="s">
        <v>20</v>
      </c>
      <c r="P387">
        <v>4</v>
      </c>
      <c r="Q387" s="17">
        <v>4</v>
      </c>
      <c r="R387">
        <v>4</v>
      </c>
      <c r="S387">
        <v>0</v>
      </c>
      <c r="T387">
        <v>0</v>
      </c>
      <c r="U387">
        <v>70</v>
      </c>
      <c r="V387">
        <v>0.00207021</v>
      </c>
      <c r="W387">
        <v>4</v>
      </c>
      <c r="X387">
        <v>34.89096573</v>
      </c>
      <c r="Y387">
        <v>0.07142857</v>
      </c>
      <c r="Z387">
        <v>0.11464286</v>
      </c>
      <c r="AA387" s="2">
        <v>0</v>
      </c>
      <c r="AB387" s="2">
        <v>0</v>
      </c>
      <c r="AC387" s="2">
        <v>1</v>
      </c>
      <c r="AD387" s="2">
        <v>2</v>
      </c>
      <c r="AE387">
        <v>0</v>
      </c>
      <c r="AF387">
        <v>0</v>
      </c>
      <c r="AG387">
        <v>0</v>
      </c>
      <c r="AH387">
        <v>0</v>
      </c>
      <c r="AI387">
        <v>0.34</v>
      </c>
      <c r="AJ387">
        <v>0</v>
      </c>
      <c r="AK387">
        <v>0</v>
      </c>
      <c r="AL387">
        <v>0</v>
      </c>
      <c r="AM387">
        <v>0</v>
      </c>
      <c r="AN387">
        <v>0</v>
      </c>
    </row>
    <row r="388" spans="1:40">
      <c r="A388" t="s">
        <v>131</v>
      </c>
      <c r="B388" t="s">
        <v>264</v>
      </c>
      <c r="C388" t="s">
        <v>265</v>
      </c>
      <c r="D388" t="s">
        <v>266</v>
      </c>
      <c r="E388" t="s">
        <v>135</v>
      </c>
      <c r="F388" t="s">
        <v>53</v>
      </c>
      <c r="G388" t="s">
        <v>267</v>
      </c>
      <c r="H388" t="s">
        <v>268</v>
      </c>
      <c r="I388" t="s">
        <v>173</v>
      </c>
      <c r="J388" t="s">
        <v>148</v>
      </c>
      <c r="K388" t="s">
        <v>98</v>
      </c>
      <c r="L388" t="s">
        <v>174</v>
      </c>
      <c r="M388" t="s">
        <v>25</v>
      </c>
      <c r="N388" t="s">
        <v>141</v>
      </c>
      <c r="O388" t="s">
        <v>20</v>
      </c>
      <c r="P388">
        <v>4</v>
      </c>
      <c r="Q388" s="17">
        <v>4</v>
      </c>
      <c r="R388">
        <v>4</v>
      </c>
      <c r="S388">
        <v>0</v>
      </c>
      <c r="T388">
        <v>0</v>
      </c>
      <c r="U388">
        <v>19.5</v>
      </c>
      <c r="V388">
        <v>0.00034875</v>
      </c>
      <c r="W388">
        <v>4</v>
      </c>
      <c r="X388">
        <v>20.58823529</v>
      </c>
      <c r="Y388">
        <v>0.17857143</v>
      </c>
      <c r="Z388">
        <v>0.19428571</v>
      </c>
      <c r="AA388" s="2">
        <v>0</v>
      </c>
      <c r="AB388" s="2">
        <v>0</v>
      </c>
      <c r="AC388" s="2">
        <v>0</v>
      </c>
      <c r="AD388" s="2">
        <v>7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</row>
    <row r="389" spans="1:40">
      <c r="A389" t="s">
        <v>131</v>
      </c>
      <c r="B389" t="s">
        <v>264</v>
      </c>
      <c r="C389" t="s">
        <v>265</v>
      </c>
      <c r="D389" t="s">
        <v>266</v>
      </c>
      <c r="E389" t="s">
        <v>135</v>
      </c>
      <c r="F389" t="s">
        <v>53</v>
      </c>
      <c r="G389" t="s">
        <v>267</v>
      </c>
      <c r="H389" t="s">
        <v>268</v>
      </c>
      <c r="I389" t="s">
        <v>152</v>
      </c>
      <c r="J389" t="s">
        <v>148</v>
      </c>
      <c r="K389" t="s">
        <v>79</v>
      </c>
      <c r="L389" t="s">
        <v>153</v>
      </c>
      <c r="M389" t="s">
        <v>25</v>
      </c>
      <c r="N389" t="s">
        <v>141</v>
      </c>
      <c r="O389" t="s">
        <v>20</v>
      </c>
      <c r="P389">
        <v>4</v>
      </c>
      <c r="Q389" s="17">
        <v>4</v>
      </c>
      <c r="R389">
        <v>4</v>
      </c>
      <c r="S389">
        <v>0</v>
      </c>
      <c r="T389">
        <v>0</v>
      </c>
      <c r="U389">
        <v>18</v>
      </c>
      <c r="V389">
        <v>5.655e-5</v>
      </c>
      <c r="W389">
        <v>4</v>
      </c>
      <c r="X389">
        <v>29.24281984</v>
      </c>
      <c r="Y389">
        <v>0.14285714</v>
      </c>
      <c r="Z389">
        <v>0.13678571</v>
      </c>
      <c r="AA389" s="2">
        <v>0</v>
      </c>
      <c r="AB389" s="2">
        <v>1</v>
      </c>
      <c r="AC389" s="2">
        <v>1</v>
      </c>
      <c r="AD389" s="2">
        <v>4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</row>
    <row r="390" spans="1:40">
      <c r="A390" t="s">
        <v>131</v>
      </c>
      <c r="B390" t="s">
        <v>334</v>
      </c>
      <c r="C390" t="s">
        <v>335</v>
      </c>
      <c r="D390" t="s">
        <v>336</v>
      </c>
      <c r="E390" t="s">
        <v>135</v>
      </c>
      <c r="F390" t="s">
        <v>56</v>
      </c>
      <c r="G390" t="s">
        <v>337</v>
      </c>
      <c r="H390" t="s">
        <v>338</v>
      </c>
      <c r="I390" t="s">
        <v>217</v>
      </c>
      <c r="J390" t="s">
        <v>148</v>
      </c>
      <c r="K390" t="s">
        <v>84</v>
      </c>
      <c r="L390" t="s">
        <v>218</v>
      </c>
      <c r="M390" t="s">
        <v>25</v>
      </c>
      <c r="N390" t="s">
        <v>141</v>
      </c>
      <c r="O390" t="s">
        <v>20</v>
      </c>
      <c r="P390">
        <v>4</v>
      </c>
      <c r="Q390" s="17">
        <v>4</v>
      </c>
      <c r="R390">
        <v>4</v>
      </c>
      <c r="S390">
        <v>0</v>
      </c>
      <c r="T390">
        <v>0</v>
      </c>
      <c r="U390">
        <v>999999999</v>
      </c>
      <c r="V390">
        <v>0.00345545</v>
      </c>
      <c r="W390">
        <v>4</v>
      </c>
      <c r="X390">
        <v>52.83018868</v>
      </c>
      <c r="Y390">
        <v>0</v>
      </c>
      <c r="Z390">
        <v>0.07571429</v>
      </c>
      <c r="AA390" s="2">
        <v>0</v>
      </c>
      <c r="AB390" s="2">
        <v>0</v>
      </c>
      <c r="AC390" s="2">
        <v>0</v>
      </c>
      <c r="AD390" s="2">
        <v>0</v>
      </c>
      <c r="AE390">
        <v>0</v>
      </c>
      <c r="AF390">
        <v>0</v>
      </c>
      <c r="AG390">
        <v>0</v>
      </c>
      <c r="AH390">
        <v>0</v>
      </c>
      <c r="AI390">
        <v>2.37</v>
      </c>
      <c r="AJ390">
        <v>0</v>
      </c>
      <c r="AK390">
        <v>0</v>
      </c>
      <c r="AL390">
        <v>0</v>
      </c>
      <c r="AM390">
        <v>0</v>
      </c>
      <c r="AN390">
        <v>0</v>
      </c>
    </row>
    <row r="391" spans="1:40">
      <c r="A391" t="s">
        <v>131</v>
      </c>
      <c r="B391" t="s">
        <v>334</v>
      </c>
      <c r="C391" t="s">
        <v>335</v>
      </c>
      <c r="D391" t="s">
        <v>336</v>
      </c>
      <c r="E391" t="s">
        <v>135</v>
      </c>
      <c r="F391" t="s">
        <v>56</v>
      </c>
      <c r="G391" t="s">
        <v>337</v>
      </c>
      <c r="H391" t="s">
        <v>338</v>
      </c>
      <c r="I391" t="s">
        <v>339</v>
      </c>
      <c r="J391" t="s">
        <v>148</v>
      </c>
      <c r="K391" t="s">
        <v>90</v>
      </c>
      <c r="L391" t="s">
        <v>340</v>
      </c>
      <c r="M391" t="s">
        <v>25</v>
      </c>
      <c r="N391" t="s">
        <v>141</v>
      </c>
      <c r="O391" t="s">
        <v>20</v>
      </c>
      <c r="P391">
        <v>4</v>
      </c>
      <c r="Q391" s="17">
        <v>4</v>
      </c>
      <c r="R391">
        <v>4</v>
      </c>
      <c r="S391">
        <v>0</v>
      </c>
      <c r="T391">
        <v>0</v>
      </c>
      <c r="U391">
        <v>999999999</v>
      </c>
      <c r="V391">
        <v>0.00251306</v>
      </c>
      <c r="W391">
        <v>4</v>
      </c>
      <c r="X391">
        <v>273.17073171</v>
      </c>
      <c r="Y391">
        <v>0</v>
      </c>
      <c r="Z391">
        <v>0.01464286</v>
      </c>
      <c r="AA391" s="2">
        <v>0</v>
      </c>
      <c r="AB391" s="2">
        <v>0</v>
      </c>
      <c r="AC391" s="2">
        <v>0</v>
      </c>
      <c r="AD391" s="2">
        <v>0</v>
      </c>
      <c r="AE391">
        <v>0</v>
      </c>
      <c r="AF391">
        <v>0</v>
      </c>
      <c r="AG391">
        <v>0</v>
      </c>
      <c r="AH391">
        <v>0</v>
      </c>
      <c r="AI391">
        <v>3.8</v>
      </c>
      <c r="AJ391">
        <v>0</v>
      </c>
      <c r="AK391">
        <v>0</v>
      </c>
      <c r="AL391">
        <v>0</v>
      </c>
      <c r="AM391">
        <v>0</v>
      </c>
      <c r="AN391">
        <v>0</v>
      </c>
    </row>
    <row r="392" spans="1:40">
      <c r="A392" t="s">
        <v>131</v>
      </c>
      <c r="B392" t="s">
        <v>334</v>
      </c>
      <c r="C392" t="s">
        <v>335</v>
      </c>
      <c r="D392" t="s">
        <v>336</v>
      </c>
      <c r="E392" t="s">
        <v>135</v>
      </c>
      <c r="F392" t="s">
        <v>56</v>
      </c>
      <c r="G392" t="s">
        <v>337</v>
      </c>
      <c r="H392" t="s">
        <v>338</v>
      </c>
      <c r="I392" t="s">
        <v>341</v>
      </c>
      <c r="J392" t="s">
        <v>139</v>
      </c>
      <c r="K392" t="s">
        <v>55</v>
      </c>
      <c r="L392" t="s">
        <v>342</v>
      </c>
      <c r="M392" t="s">
        <v>25</v>
      </c>
      <c r="N392" t="s">
        <v>141</v>
      </c>
      <c r="O392" t="s">
        <v>20</v>
      </c>
      <c r="P392">
        <v>4</v>
      </c>
      <c r="Q392" s="17">
        <v>4</v>
      </c>
      <c r="R392">
        <v>4</v>
      </c>
      <c r="S392">
        <v>0</v>
      </c>
      <c r="T392">
        <v>0</v>
      </c>
      <c r="U392">
        <v>999999999</v>
      </c>
      <c r="V392">
        <v>0.00345545</v>
      </c>
      <c r="W392">
        <v>4</v>
      </c>
      <c r="X392">
        <v>1866.66666667</v>
      </c>
      <c r="Y392">
        <v>0</v>
      </c>
      <c r="Z392">
        <v>0.00214286</v>
      </c>
      <c r="AA392" s="2">
        <v>0</v>
      </c>
      <c r="AB392" s="2">
        <v>0</v>
      </c>
      <c r="AC392" s="2">
        <v>0</v>
      </c>
      <c r="AD392" s="2">
        <v>0</v>
      </c>
      <c r="AE392">
        <v>0</v>
      </c>
      <c r="AF392">
        <v>0</v>
      </c>
      <c r="AG392">
        <v>0</v>
      </c>
      <c r="AH392">
        <v>4</v>
      </c>
      <c r="AI392">
        <v>4</v>
      </c>
      <c r="AJ392">
        <v>4</v>
      </c>
      <c r="AK392">
        <v>0</v>
      </c>
      <c r="AL392">
        <v>0</v>
      </c>
      <c r="AM392">
        <v>0</v>
      </c>
      <c r="AN392">
        <v>0</v>
      </c>
    </row>
    <row r="393" spans="1:40">
      <c r="A393" t="s">
        <v>131</v>
      </c>
      <c r="B393" t="s">
        <v>334</v>
      </c>
      <c r="C393" t="s">
        <v>335</v>
      </c>
      <c r="D393" t="s">
        <v>336</v>
      </c>
      <c r="E393" t="s">
        <v>135</v>
      </c>
      <c r="F393" t="s">
        <v>56</v>
      </c>
      <c r="G393" t="s">
        <v>337</v>
      </c>
      <c r="H393" t="s">
        <v>338</v>
      </c>
      <c r="I393" t="s">
        <v>199</v>
      </c>
      <c r="J393" t="s">
        <v>148</v>
      </c>
      <c r="K393" t="s">
        <v>78</v>
      </c>
      <c r="L393" t="s">
        <v>200</v>
      </c>
      <c r="M393" t="s">
        <v>25</v>
      </c>
      <c r="N393" t="s">
        <v>141</v>
      </c>
      <c r="O393" t="s">
        <v>52</v>
      </c>
      <c r="P393">
        <v>4</v>
      </c>
      <c r="Q393" s="17">
        <v>4</v>
      </c>
      <c r="R393">
        <v>4</v>
      </c>
      <c r="S393">
        <v>0</v>
      </c>
      <c r="T393">
        <v>0</v>
      </c>
      <c r="U393">
        <v>13.66666667</v>
      </c>
      <c r="V393">
        <v>-0.0004257</v>
      </c>
      <c r="W393">
        <v>4</v>
      </c>
      <c r="X393">
        <v>109.80392157</v>
      </c>
      <c r="Y393">
        <v>0.14285714</v>
      </c>
      <c r="Z393">
        <v>0.03642857</v>
      </c>
      <c r="AA393" s="2">
        <v>0</v>
      </c>
      <c r="AB393" s="2">
        <v>1</v>
      </c>
      <c r="AC393" s="2">
        <v>1</v>
      </c>
      <c r="AD393" s="2">
        <v>4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</row>
    <row r="394" spans="1:40">
      <c r="A394" t="s">
        <v>131</v>
      </c>
      <c r="B394" t="s">
        <v>274</v>
      </c>
      <c r="C394" t="s">
        <v>275</v>
      </c>
      <c r="D394" t="s">
        <v>276</v>
      </c>
      <c r="E394" t="s">
        <v>135</v>
      </c>
      <c r="F394" t="s">
        <v>50</v>
      </c>
      <c r="G394" t="s">
        <v>277</v>
      </c>
      <c r="H394" t="s">
        <v>278</v>
      </c>
      <c r="I394" t="s">
        <v>177</v>
      </c>
      <c r="J394" t="s">
        <v>148</v>
      </c>
      <c r="K394" t="s">
        <v>69</v>
      </c>
      <c r="L394" t="s">
        <v>178</v>
      </c>
      <c r="M394" t="s">
        <v>25</v>
      </c>
      <c r="N394" t="s">
        <v>141</v>
      </c>
      <c r="O394" t="s">
        <v>20</v>
      </c>
      <c r="P394">
        <v>4</v>
      </c>
      <c r="Q394" s="17">
        <v>4</v>
      </c>
      <c r="R394">
        <v>4</v>
      </c>
      <c r="S394">
        <v>0</v>
      </c>
      <c r="T394">
        <v>0</v>
      </c>
      <c r="U394">
        <v>27.33333333</v>
      </c>
      <c r="V394">
        <v>0.00118442</v>
      </c>
      <c r="W394">
        <v>4</v>
      </c>
      <c r="X394">
        <v>21.62162162</v>
      </c>
      <c r="Y394">
        <v>0.17857143</v>
      </c>
      <c r="Z394">
        <v>0.185</v>
      </c>
      <c r="AA394" s="2">
        <v>2</v>
      </c>
      <c r="AB394" s="2">
        <v>2</v>
      </c>
      <c r="AC394" s="2">
        <v>2</v>
      </c>
      <c r="AD394" s="2">
        <v>5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</row>
    <row r="395" spans="1:40">
      <c r="A395" t="s">
        <v>131</v>
      </c>
      <c r="B395" t="s">
        <v>274</v>
      </c>
      <c r="C395" t="s">
        <v>275</v>
      </c>
      <c r="D395" t="s">
        <v>276</v>
      </c>
      <c r="E395" t="s">
        <v>135</v>
      </c>
      <c r="F395" t="s">
        <v>50</v>
      </c>
      <c r="G395" t="s">
        <v>277</v>
      </c>
      <c r="H395" t="s">
        <v>278</v>
      </c>
      <c r="I395" t="s">
        <v>152</v>
      </c>
      <c r="J395" t="s">
        <v>148</v>
      </c>
      <c r="K395" t="s">
        <v>79</v>
      </c>
      <c r="L395" t="s">
        <v>153</v>
      </c>
      <c r="M395" t="s">
        <v>25</v>
      </c>
      <c r="N395" t="s">
        <v>141</v>
      </c>
      <c r="O395" t="s">
        <v>20</v>
      </c>
      <c r="P395">
        <v>4</v>
      </c>
      <c r="Q395" s="17">
        <v>4</v>
      </c>
      <c r="R395">
        <v>4</v>
      </c>
      <c r="S395">
        <v>0</v>
      </c>
      <c r="T395">
        <v>0</v>
      </c>
      <c r="U395">
        <v>12.25</v>
      </c>
      <c r="V395">
        <v>-0.00079016</v>
      </c>
      <c r="W395">
        <v>4</v>
      </c>
      <c r="X395">
        <v>22.62626263</v>
      </c>
      <c r="Y395">
        <v>0.17857143</v>
      </c>
      <c r="Z395">
        <v>0.17678571</v>
      </c>
      <c r="AA395" s="2">
        <v>0</v>
      </c>
      <c r="AB395" s="2">
        <v>1</v>
      </c>
      <c r="AC395" s="2">
        <v>1</v>
      </c>
      <c r="AD395" s="2">
        <v>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</row>
    <row r="396" spans="1:40">
      <c r="A396" t="s">
        <v>131</v>
      </c>
      <c r="B396" t="s">
        <v>274</v>
      </c>
      <c r="C396" t="s">
        <v>275</v>
      </c>
      <c r="D396" t="s">
        <v>276</v>
      </c>
      <c r="E396" t="s">
        <v>135</v>
      </c>
      <c r="F396" t="s">
        <v>50</v>
      </c>
      <c r="G396" t="s">
        <v>277</v>
      </c>
      <c r="H396" t="s">
        <v>278</v>
      </c>
      <c r="I396" t="s">
        <v>147</v>
      </c>
      <c r="J396" t="s">
        <v>148</v>
      </c>
      <c r="K396" t="s">
        <v>58</v>
      </c>
      <c r="L396" t="s">
        <v>149</v>
      </c>
      <c r="M396" t="s">
        <v>25</v>
      </c>
      <c r="N396" t="s">
        <v>141</v>
      </c>
      <c r="O396" t="s">
        <v>20</v>
      </c>
      <c r="P396">
        <v>4</v>
      </c>
      <c r="Q396" s="17">
        <v>4</v>
      </c>
      <c r="R396">
        <v>4</v>
      </c>
      <c r="S396">
        <v>0</v>
      </c>
      <c r="T396">
        <v>0</v>
      </c>
      <c r="U396">
        <v>79</v>
      </c>
      <c r="V396">
        <v>0.00242362</v>
      </c>
      <c r="W396">
        <v>4</v>
      </c>
      <c r="X396">
        <v>23.1884058</v>
      </c>
      <c r="Y396">
        <v>0.07142857</v>
      </c>
      <c r="Z396">
        <v>0.1725</v>
      </c>
      <c r="AA396" s="2">
        <v>0</v>
      </c>
      <c r="AB396" s="2">
        <v>1</v>
      </c>
      <c r="AC396" s="2">
        <v>1</v>
      </c>
      <c r="AD396" s="2">
        <v>2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</row>
    <row r="397" spans="1:40">
      <c r="A397" t="s">
        <v>131</v>
      </c>
      <c r="B397" t="s">
        <v>259</v>
      </c>
      <c r="C397" t="s">
        <v>260</v>
      </c>
      <c r="D397" t="s">
        <v>261</v>
      </c>
      <c r="E397" t="s">
        <v>135</v>
      </c>
      <c r="F397" t="s">
        <v>43</v>
      </c>
      <c r="G397" t="s">
        <v>262</v>
      </c>
      <c r="H397" t="s">
        <v>263</v>
      </c>
      <c r="I397" t="s">
        <v>184</v>
      </c>
      <c r="J397" t="s">
        <v>139</v>
      </c>
      <c r="K397" t="s">
        <v>80</v>
      </c>
      <c r="L397" t="s">
        <v>185</v>
      </c>
      <c r="M397" t="s">
        <v>25</v>
      </c>
      <c r="N397" t="s">
        <v>141</v>
      </c>
      <c r="O397" t="s">
        <v>52</v>
      </c>
      <c r="P397">
        <v>4</v>
      </c>
      <c r="Q397" s="17">
        <v>4</v>
      </c>
      <c r="R397">
        <v>4</v>
      </c>
      <c r="S397">
        <v>0</v>
      </c>
      <c r="T397">
        <v>0</v>
      </c>
      <c r="U397">
        <v>14.75</v>
      </c>
      <c r="V397">
        <v>-0.00039743</v>
      </c>
      <c r="W397">
        <v>4</v>
      </c>
      <c r="X397">
        <v>47.65957447</v>
      </c>
      <c r="Y397">
        <v>0.25</v>
      </c>
      <c r="Z397">
        <v>0.08392857</v>
      </c>
      <c r="AA397" s="2">
        <v>0</v>
      </c>
      <c r="AB397" s="2">
        <v>0</v>
      </c>
      <c r="AC397" s="2">
        <v>4</v>
      </c>
      <c r="AD397" s="2">
        <v>7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</row>
    <row r="398" spans="1:40">
      <c r="A398" t="s">
        <v>131</v>
      </c>
      <c r="B398" t="s">
        <v>259</v>
      </c>
      <c r="C398" t="s">
        <v>260</v>
      </c>
      <c r="D398" t="s">
        <v>261</v>
      </c>
      <c r="E398" t="s">
        <v>135</v>
      </c>
      <c r="F398" t="s">
        <v>43</v>
      </c>
      <c r="G398" t="s">
        <v>262</v>
      </c>
      <c r="H398" t="s">
        <v>263</v>
      </c>
      <c r="I398" t="s">
        <v>147</v>
      </c>
      <c r="J398" t="s">
        <v>148</v>
      </c>
      <c r="K398" t="s">
        <v>58</v>
      </c>
      <c r="L398" t="s">
        <v>149</v>
      </c>
      <c r="M398" t="s">
        <v>25</v>
      </c>
      <c r="N398" t="s">
        <v>141</v>
      </c>
      <c r="O398" t="s">
        <v>20</v>
      </c>
      <c r="P398">
        <v>4</v>
      </c>
      <c r="Q398" s="17">
        <v>4</v>
      </c>
      <c r="R398">
        <v>4</v>
      </c>
      <c r="S398">
        <v>0</v>
      </c>
      <c r="T398">
        <v>0</v>
      </c>
      <c r="U398">
        <v>39.5</v>
      </c>
      <c r="V398">
        <v>0.00174514</v>
      </c>
      <c r="W398">
        <v>4</v>
      </c>
      <c r="X398">
        <v>31.2849162</v>
      </c>
      <c r="Y398">
        <v>0.14285714</v>
      </c>
      <c r="Z398">
        <v>0.12785714</v>
      </c>
      <c r="AA398" s="2">
        <v>0</v>
      </c>
      <c r="AB398" s="2">
        <v>0</v>
      </c>
      <c r="AC398" s="2">
        <v>1</v>
      </c>
      <c r="AD398" s="2">
        <v>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</row>
    <row r="399" spans="1:40">
      <c r="A399" t="s">
        <v>131</v>
      </c>
      <c r="B399" t="s">
        <v>259</v>
      </c>
      <c r="C399" t="s">
        <v>260</v>
      </c>
      <c r="D399" t="s">
        <v>261</v>
      </c>
      <c r="E399" t="s">
        <v>135</v>
      </c>
      <c r="F399" t="s">
        <v>43</v>
      </c>
      <c r="G399" t="s">
        <v>262</v>
      </c>
      <c r="H399" t="s">
        <v>263</v>
      </c>
      <c r="I399" t="s">
        <v>196</v>
      </c>
      <c r="J399" t="s">
        <v>197</v>
      </c>
      <c r="K399" t="s">
        <v>96</v>
      </c>
      <c r="L399" t="s">
        <v>198</v>
      </c>
      <c r="M399" t="s">
        <v>25</v>
      </c>
      <c r="N399" t="s">
        <v>141</v>
      </c>
      <c r="P399">
        <v>4</v>
      </c>
      <c r="Q399" s="17">
        <v>4</v>
      </c>
      <c r="R399">
        <v>0</v>
      </c>
      <c r="S399">
        <v>0</v>
      </c>
      <c r="T399">
        <v>0</v>
      </c>
      <c r="U399">
        <v>-99</v>
      </c>
      <c r="W399">
        <v>4</v>
      </c>
      <c r="X399">
        <v>-99</v>
      </c>
      <c r="Y399">
        <v>0</v>
      </c>
      <c r="AA399" s="2">
        <v>0</v>
      </c>
      <c r="AB399" s="2">
        <v>0</v>
      </c>
      <c r="AC399" s="2">
        <v>0</v>
      </c>
      <c r="AD399" s="2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76</v>
      </c>
      <c r="AN399">
        <v>0</v>
      </c>
    </row>
    <row r="400" spans="1:40">
      <c r="A400" t="s">
        <v>131</v>
      </c>
      <c r="B400" t="s">
        <v>259</v>
      </c>
      <c r="C400" t="s">
        <v>260</v>
      </c>
      <c r="D400" t="s">
        <v>261</v>
      </c>
      <c r="E400" t="s">
        <v>135</v>
      </c>
      <c r="F400" t="s">
        <v>43</v>
      </c>
      <c r="G400" t="s">
        <v>262</v>
      </c>
      <c r="H400" t="s">
        <v>263</v>
      </c>
      <c r="I400" t="s">
        <v>199</v>
      </c>
      <c r="J400" t="s">
        <v>148</v>
      </c>
      <c r="K400" t="s">
        <v>78</v>
      </c>
      <c r="L400" t="s">
        <v>200</v>
      </c>
      <c r="M400" t="s">
        <v>25</v>
      </c>
      <c r="N400" t="s">
        <v>141</v>
      </c>
      <c r="O400" t="s">
        <v>20</v>
      </c>
      <c r="P400">
        <v>4</v>
      </c>
      <c r="Q400" s="17">
        <v>4</v>
      </c>
      <c r="R400">
        <v>4</v>
      </c>
      <c r="S400">
        <v>0</v>
      </c>
      <c r="T400">
        <v>0</v>
      </c>
      <c r="U400">
        <v>25.5</v>
      </c>
      <c r="V400">
        <v>0.00064559</v>
      </c>
      <c r="W400">
        <v>4</v>
      </c>
      <c r="X400">
        <v>53.33333333</v>
      </c>
      <c r="Y400">
        <v>0.07142857</v>
      </c>
      <c r="Z400">
        <v>0.075</v>
      </c>
      <c r="AA400" s="2">
        <v>0</v>
      </c>
      <c r="AB400" s="2">
        <v>1</v>
      </c>
      <c r="AC400" s="2">
        <v>2</v>
      </c>
      <c r="AD400" s="2">
        <v>2</v>
      </c>
      <c r="AE400">
        <v>0</v>
      </c>
      <c r="AF400">
        <v>0</v>
      </c>
      <c r="AG400">
        <v>0</v>
      </c>
      <c r="AH400">
        <v>0</v>
      </c>
      <c r="AI400">
        <v>0.95</v>
      </c>
      <c r="AJ400">
        <v>0</v>
      </c>
      <c r="AK400">
        <v>0</v>
      </c>
      <c r="AL400">
        <v>0</v>
      </c>
      <c r="AM400">
        <v>0</v>
      </c>
      <c r="AN400">
        <v>0</v>
      </c>
    </row>
    <row r="401" spans="1:40">
      <c r="A401" t="s">
        <v>131</v>
      </c>
      <c r="B401" t="s">
        <v>259</v>
      </c>
      <c r="C401" t="s">
        <v>260</v>
      </c>
      <c r="D401" t="s">
        <v>261</v>
      </c>
      <c r="E401" t="s">
        <v>135</v>
      </c>
      <c r="F401" t="s">
        <v>43</v>
      </c>
      <c r="G401" t="s">
        <v>262</v>
      </c>
      <c r="H401" t="s">
        <v>263</v>
      </c>
      <c r="I401" t="s">
        <v>328</v>
      </c>
      <c r="J401" t="s">
        <v>148</v>
      </c>
      <c r="K401" t="s">
        <v>93</v>
      </c>
      <c r="L401" t="s">
        <v>329</v>
      </c>
      <c r="M401" t="s">
        <v>25</v>
      </c>
      <c r="N401" t="s">
        <v>141</v>
      </c>
      <c r="O401" t="s">
        <v>20</v>
      </c>
      <c r="P401">
        <v>4</v>
      </c>
      <c r="Q401" s="17">
        <v>4</v>
      </c>
      <c r="R401">
        <v>4</v>
      </c>
      <c r="S401">
        <v>0</v>
      </c>
      <c r="T401">
        <v>0</v>
      </c>
      <c r="U401">
        <v>999999999</v>
      </c>
      <c r="V401">
        <v>0.00345545</v>
      </c>
      <c r="W401">
        <v>4</v>
      </c>
      <c r="X401">
        <v>117.89473684</v>
      </c>
      <c r="Y401">
        <v>0</v>
      </c>
      <c r="Z401">
        <v>0.03392857</v>
      </c>
      <c r="AA401" s="2">
        <v>0</v>
      </c>
      <c r="AB401" s="2">
        <v>0</v>
      </c>
      <c r="AC401" s="2">
        <v>0</v>
      </c>
      <c r="AD401" s="2">
        <v>0</v>
      </c>
      <c r="AE401">
        <v>0</v>
      </c>
      <c r="AF401">
        <v>0</v>
      </c>
      <c r="AG401">
        <v>0</v>
      </c>
      <c r="AH401">
        <v>4</v>
      </c>
      <c r="AI401">
        <v>3.39</v>
      </c>
      <c r="AJ401">
        <v>4</v>
      </c>
      <c r="AK401">
        <v>0</v>
      </c>
      <c r="AL401">
        <v>0</v>
      </c>
      <c r="AM401">
        <v>0</v>
      </c>
      <c r="AN401">
        <v>0</v>
      </c>
    </row>
    <row r="402" spans="1:40">
      <c r="A402" t="s">
        <v>131</v>
      </c>
      <c r="B402" t="s">
        <v>154</v>
      </c>
      <c r="C402" t="s">
        <v>155</v>
      </c>
      <c r="D402" t="s">
        <v>156</v>
      </c>
      <c r="E402" t="s">
        <v>135</v>
      </c>
      <c r="F402" t="s">
        <v>39</v>
      </c>
      <c r="G402" t="s">
        <v>157</v>
      </c>
      <c r="H402" t="s">
        <v>158</v>
      </c>
      <c r="I402" t="s">
        <v>307</v>
      </c>
      <c r="J402" t="s">
        <v>280</v>
      </c>
      <c r="K402" t="s">
        <v>37</v>
      </c>
      <c r="L402" t="s">
        <v>308</v>
      </c>
      <c r="M402" t="s">
        <v>25</v>
      </c>
      <c r="N402" t="s">
        <v>141</v>
      </c>
      <c r="O402" t="s">
        <v>20</v>
      </c>
      <c r="P402">
        <v>4</v>
      </c>
      <c r="Q402" s="17">
        <v>4</v>
      </c>
      <c r="R402">
        <v>4</v>
      </c>
      <c r="S402">
        <v>0</v>
      </c>
      <c r="T402">
        <v>0</v>
      </c>
      <c r="U402">
        <v>16.5</v>
      </c>
      <c r="V402">
        <v>-0.00024509</v>
      </c>
      <c r="W402">
        <v>4</v>
      </c>
      <c r="X402">
        <v>35.22012579</v>
      </c>
      <c r="Y402">
        <v>0.28571429</v>
      </c>
      <c r="Z402">
        <v>0.11357143</v>
      </c>
      <c r="AA402" s="2">
        <v>0</v>
      </c>
      <c r="AB402" s="2">
        <v>3</v>
      </c>
      <c r="AC402" s="2">
        <v>6</v>
      </c>
      <c r="AD402" s="2">
        <v>8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6</v>
      </c>
      <c r="AM402">
        <v>0</v>
      </c>
      <c r="AN402">
        <v>0</v>
      </c>
    </row>
    <row r="403" spans="1:40">
      <c r="A403" t="s">
        <v>131</v>
      </c>
      <c r="B403" t="s">
        <v>252</v>
      </c>
      <c r="C403" t="s">
        <v>253</v>
      </c>
      <c r="D403" t="s">
        <v>254</v>
      </c>
      <c r="E403" t="s">
        <v>135</v>
      </c>
      <c r="F403" t="s">
        <v>40</v>
      </c>
      <c r="G403" t="s">
        <v>255</v>
      </c>
      <c r="H403" t="s">
        <v>256</v>
      </c>
      <c r="I403" t="s">
        <v>360</v>
      </c>
      <c r="J403" t="s">
        <v>356</v>
      </c>
      <c r="K403" t="s">
        <v>95</v>
      </c>
      <c r="L403" t="s">
        <v>361</v>
      </c>
      <c r="M403" t="s">
        <v>25</v>
      </c>
      <c r="N403" t="s">
        <v>141</v>
      </c>
      <c r="P403">
        <v>3</v>
      </c>
      <c r="Q403" s="17">
        <v>0</v>
      </c>
      <c r="R403">
        <v>0</v>
      </c>
      <c r="S403">
        <v>1</v>
      </c>
      <c r="T403">
        <v>3</v>
      </c>
      <c r="U403">
        <v>-99</v>
      </c>
      <c r="W403">
        <v>0</v>
      </c>
      <c r="X403">
        <v>-99</v>
      </c>
      <c r="Y403">
        <v>0</v>
      </c>
      <c r="AA403" s="2">
        <v>0</v>
      </c>
      <c r="AB403" s="2">
        <v>0</v>
      </c>
      <c r="AC403" s="2">
        <v>0</v>
      </c>
      <c r="AD403" s="2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</row>
    <row r="404" spans="1:40">
      <c r="A404" t="s">
        <v>131</v>
      </c>
      <c r="B404" t="s">
        <v>224</v>
      </c>
      <c r="C404" t="s">
        <v>225</v>
      </c>
      <c r="D404" t="s">
        <v>226</v>
      </c>
      <c r="E404" t="s">
        <v>227</v>
      </c>
      <c r="F404" t="s">
        <v>68</v>
      </c>
      <c r="G404" t="s">
        <v>228</v>
      </c>
      <c r="H404" t="s">
        <v>229</v>
      </c>
      <c r="I404" t="s">
        <v>294</v>
      </c>
      <c r="J404" t="s">
        <v>148</v>
      </c>
      <c r="K404" t="s">
        <v>99</v>
      </c>
      <c r="L404" t="s">
        <v>295</v>
      </c>
      <c r="M404" t="s">
        <v>25</v>
      </c>
      <c r="N404" t="s">
        <v>141</v>
      </c>
      <c r="O404" t="s">
        <v>20</v>
      </c>
      <c r="P404">
        <v>3</v>
      </c>
      <c r="Q404" s="17">
        <v>3</v>
      </c>
      <c r="R404">
        <v>3</v>
      </c>
      <c r="S404">
        <v>0</v>
      </c>
      <c r="T404">
        <v>0</v>
      </c>
      <c r="U404">
        <v>31</v>
      </c>
      <c r="V404">
        <v>0.00053876</v>
      </c>
      <c r="W404">
        <v>3</v>
      </c>
      <c r="X404">
        <v>20.94763092</v>
      </c>
      <c r="Y404">
        <v>0.03571429</v>
      </c>
      <c r="Z404">
        <v>0.14321429</v>
      </c>
      <c r="AA404" s="2">
        <v>0</v>
      </c>
      <c r="AB404" s="2">
        <v>0</v>
      </c>
      <c r="AC404" s="2">
        <v>0</v>
      </c>
      <c r="AD404" s="2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</row>
    <row r="405" spans="1:40">
      <c r="A405" t="s">
        <v>131</v>
      </c>
      <c r="B405" t="s">
        <v>282</v>
      </c>
      <c r="C405" t="s">
        <v>283</v>
      </c>
      <c r="D405" t="s">
        <v>284</v>
      </c>
      <c r="E405" t="s">
        <v>285</v>
      </c>
      <c r="F405" t="s">
        <v>38</v>
      </c>
      <c r="G405" t="s">
        <v>286</v>
      </c>
      <c r="H405" t="s">
        <v>287</v>
      </c>
      <c r="I405" t="s">
        <v>175</v>
      </c>
      <c r="J405" t="s">
        <v>139</v>
      </c>
      <c r="K405" t="s">
        <v>74</v>
      </c>
      <c r="L405" t="s">
        <v>176</v>
      </c>
      <c r="M405" t="s">
        <v>25</v>
      </c>
      <c r="N405" t="s">
        <v>141</v>
      </c>
      <c r="O405" t="s">
        <v>20</v>
      </c>
      <c r="P405">
        <v>3</v>
      </c>
      <c r="Q405" s="17">
        <v>3</v>
      </c>
      <c r="R405">
        <v>3</v>
      </c>
      <c r="S405">
        <v>0</v>
      </c>
      <c r="T405">
        <v>0</v>
      </c>
      <c r="U405">
        <v>83</v>
      </c>
      <c r="V405">
        <v>0.0025807</v>
      </c>
      <c r="W405">
        <v>3</v>
      </c>
      <c r="X405">
        <v>33.6</v>
      </c>
      <c r="Y405">
        <v>0.03571429</v>
      </c>
      <c r="Z405">
        <v>0.08928571</v>
      </c>
      <c r="AA405" s="2">
        <v>0</v>
      </c>
      <c r="AB405" s="2">
        <v>1</v>
      </c>
      <c r="AC405" s="2">
        <v>1</v>
      </c>
      <c r="AD405" s="2">
        <v>1</v>
      </c>
      <c r="AE405">
        <v>0</v>
      </c>
      <c r="AF405">
        <v>0</v>
      </c>
      <c r="AG405">
        <v>0</v>
      </c>
      <c r="AH405">
        <v>0</v>
      </c>
      <c r="AI405">
        <v>0.36</v>
      </c>
      <c r="AJ405">
        <v>0</v>
      </c>
      <c r="AK405">
        <v>0</v>
      </c>
      <c r="AL405">
        <v>0</v>
      </c>
      <c r="AM405">
        <v>0</v>
      </c>
      <c r="AN405">
        <v>0</v>
      </c>
    </row>
    <row r="406" spans="1:40">
      <c r="A406" t="s">
        <v>131</v>
      </c>
      <c r="B406" t="s">
        <v>179</v>
      </c>
      <c r="C406" t="s">
        <v>180</v>
      </c>
      <c r="D406" t="s">
        <v>181</v>
      </c>
      <c r="E406" t="s">
        <v>135</v>
      </c>
      <c r="F406" t="s">
        <v>21</v>
      </c>
      <c r="G406" t="s">
        <v>182</v>
      </c>
      <c r="H406" t="s">
        <v>183</v>
      </c>
      <c r="I406" t="s">
        <v>313</v>
      </c>
      <c r="J406" t="s">
        <v>280</v>
      </c>
      <c r="K406" t="s">
        <v>26</v>
      </c>
      <c r="L406" t="s">
        <v>314</v>
      </c>
      <c r="M406" t="s">
        <v>17</v>
      </c>
      <c r="N406" t="s">
        <v>141</v>
      </c>
      <c r="O406" t="s">
        <v>20</v>
      </c>
      <c r="P406">
        <v>3</v>
      </c>
      <c r="Q406" s="17">
        <v>3</v>
      </c>
      <c r="R406">
        <v>3</v>
      </c>
      <c r="S406">
        <v>0</v>
      </c>
      <c r="T406">
        <v>0</v>
      </c>
      <c r="U406">
        <v>2.74285714</v>
      </c>
      <c r="V406">
        <v>-0.02000625</v>
      </c>
      <c r="W406">
        <v>3</v>
      </c>
      <c r="X406">
        <v>2.33592881</v>
      </c>
      <c r="Y406">
        <v>1.42857143</v>
      </c>
      <c r="Z406">
        <v>1.28428571</v>
      </c>
      <c r="AA406" s="2">
        <v>2</v>
      </c>
      <c r="AB406" s="2">
        <v>10</v>
      </c>
      <c r="AC406" s="2">
        <v>19</v>
      </c>
      <c r="AD406" s="2">
        <v>40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</row>
    <row r="407" spans="1:40">
      <c r="A407" t="s">
        <v>131</v>
      </c>
      <c r="B407" t="s">
        <v>179</v>
      </c>
      <c r="C407" t="s">
        <v>180</v>
      </c>
      <c r="D407" t="s">
        <v>181</v>
      </c>
      <c r="E407" t="s">
        <v>135</v>
      </c>
      <c r="F407" t="s">
        <v>21</v>
      </c>
      <c r="G407" t="s">
        <v>182</v>
      </c>
      <c r="H407" t="s">
        <v>183</v>
      </c>
      <c r="I407" t="s">
        <v>322</v>
      </c>
      <c r="J407" t="s">
        <v>280</v>
      </c>
      <c r="K407" t="s">
        <v>27</v>
      </c>
      <c r="L407" t="s">
        <v>323</v>
      </c>
      <c r="M407" t="s">
        <v>17</v>
      </c>
      <c r="N407" t="s">
        <v>141</v>
      </c>
      <c r="O407" t="s">
        <v>20</v>
      </c>
      <c r="P407">
        <v>3</v>
      </c>
      <c r="Q407" s="17">
        <v>3</v>
      </c>
      <c r="R407">
        <v>3</v>
      </c>
      <c r="S407">
        <v>0</v>
      </c>
      <c r="T407">
        <v>0</v>
      </c>
      <c r="U407">
        <v>4.33333333</v>
      </c>
      <c r="V407">
        <v>-0.00305093</v>
      </c>
      <c r="W407">
        <v>3</v>
      </c>
      <c r="X407">
        <v>5.84958217</v>
      </c>
      <c r="Y407">
        <v>0.21428571</v>
      </c>
      <c r="Z407">
        <v>0.51285714</v>
      </c>
      <c r="AA407" s="2">
        <v>0</v>
      </c>
      <c r="AB407" s="2">
        <v>6</v>
      </c>
      <c r="AC407" s="2">
        <v>6</v>
      </c>
      <c r="AD407" s="2">
        <v>6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3</v>
      </c>
      <c r="AM407">
        <v>0</v>
      </c>
      <c r="AN407">
        <v>0</v>
      </c>
    </row>
    <row r="408" spans="1:40">
      <c r="A408" t="s">
        <v>131</v>
      </c>
      <c r="B408" t="s">
        <v>242</v>
      </c>
      <c r="C408" t="s">
        <v>243</v>
      </c>
      <c r="D408" t="s">
        <v>244</v>
      </c>
      <c r="E408" t="s">
        <v>135</v>
      </c>
      <c r="F408" t="s">
        <v>24</v>
      </c>
      <c r="G408" t="s">
        <v>245</v>
      </c>
      <c r="H408" t="s">
        <v>246</v>
      </c>
      <c r="I408" t="s">
        <v>339</v>
      </c>
      <c r="J408" t="s">
        <v>148</v>
      </c>
      <c r="K408" t="s">
        <v>90</v>
      </c>
      <c r="L408" t="s">
        <v>340</v>
      </c>
      <c r="M408" t="s">
        <v>25</v>
      </c>
      <c r="N408" t="s">
        <v>141</v>
      </c>
      <c r="O408" t="s">
        <v>20</v>
      </c>
      <c r="P408">
        <v>3</v>
      </c>
      <c r="Q408" s="17">
        <v>2</v>
      </c>
      <c r="R408">
        <v>2</v>
      </c>
      <c r="S408">
        <v>0.33333333</v>
      </c>
      <c r="T408">
        <v>1</v>
      </c>
      <c r="U408">
        <v>19.63636364</v>
      </c>
      <c r="V408">
        <v>0.00101824</v>
      </c>
      <c r="W408">
        <v>2</v>
      </c>
      <c r="X408">
        <v>3.92156863</v>
      </c>
      <c r="Y408">
        <v>0.42857143</v>
      </c>
      <c r="Z408">
        <v>0.51</v>
      </c>
      <c r="AA408" s="2">
        <v>0</v>
      </c>
      <c r="AB408" s="2">
        <v>0</v>
      </c>
      <c r="AC408" s="2">
        <v>5</v>
      </c>
      <c r="AD408" s="2">
        <v>12</v>
      </c>
      <c r="AE408">
        <v>0</v>
      </c>
      <c r="AF408">
        <v>0</v>
      </c>
      <c r="AG408">
        <v>0</v>
      </c>
      <c r="AH408">
        <v>0</v>
      </c>
      <c r="AI408">
        <v>2.69</v>
      </c>
      <c r="AJ408">
        <v>0</v>
      </c>
      <c r="AK408">
        <v>0</v>
      </c>
      <c r="AL408">
        <v>20</v>
      </c>
      <c r="AM408">
        <v>0</v>
      </c>
      <c r="AN408">
        <v>0</v>
      </c>
    </row>
    <row r="409" spans="1:40">
      <c r="A409" t="s">
        <v>131</v>
      </c>
      <c r="B409" t="s">
        <v>315</v>
      </c>
      <c r="C409" t="s">
        <v>316</v>
      </c>
      <c r="D409" t="s">
        <v>317</v>
      </c>
      <c r="E409" t="s">
        <v>135</v>
      </c>
      <c r="F409" t="s">
        <v>42</v>
      </c>
      <c r="G409" t="s">
        <v>318</v>
      </c>
      <c r="H409" t="s">
        <v>319</v>
      </c>
      <c r="I409" t="s">
        <v>294</v>
      </c>
      <c r="J409" t="s">
        <v>148</v>
      </c>
      <c r="K409" t="s">
        <v>99</v>
      </c>
      <c r="L409" t="s">
        <v>295</v>
      </c>
      <c r="M409" t="s">
        <v>25</v>
      </c>
      <c r="N409" t="s">
        <v>141</v>
      </c>
      <c r="O409" t="s">
        <v>20</v>
      </c>
      <c r="P409">
        <v>3</v>
      </c>
      <c r="Q409" s="17">
        <v>3</v>
      </c>
      <c r="R409">
        <v>3</v>
      </c>
      <c r="S409">
        <v>0</v>
      </c>
      <c r="T409">
        <v>0</v>
      </c>
      <c r="U409">
        <v>81</v>
      </c>
      <c r="V409">
        <v>0.00250216</v>
      </c>
      <c r="W409">
        <v>3</v>
      </c>
      <c r="X409">
        <v>62.68656716</v>
      </c>
      <c r="Y409">
        <v>0.03571429</v>
      </c>
      <c r="Z409">
        <v>0.04785714</v>
      </c>
      <c r="AA409" s="2">
        <v>0</v>
      </c>
      <c r="AB409" s="2">
        <v>1</v>
      </c>
      <c r="AC409" s="2">
        <v>1</v>
      </c>
      <c r="AD409" s="2">
        <v>1</v>
      </c>
      <c r="AE409">
        <v>0</v>
      </c>
      <c r="AF409">
        <v>0</v>
      </c>
      <c r="AG409">
        <v>0</v>
      </c>
      <c r="AH409">
        <v>0</v>
      </c>
      <c r="AI409">
        <v>1.17</v>
      </c>
      <c r="AJ409">
        <v>0</v>
      </c>
      <c r="AK409">
        <v>0</v>
      </c>
      <c r="AL409">
        <v>0</v>
      </c>
      <c r="AM409">
        <v>0</v>
      </c>
      <c r="AN409">
        <v>0</v>
      </c>
    </row>
    <row r="410" spans="1:40">
      <c r="A410" t="s">
        <v>131</v>
      </c>
      <c r="B410" t="s">
        <v>315</v>
      </c>
      <c r="C410" t="s">
        <v>316</v>
      </c>
      <c r="D410" t="s">
        <v>317</v>
      </c>
      <c r="E410" t="s">
        <v>135</v>
      </c>
      <c r="F410" t="s">
        <v>42</v>
      </c>
      <c r="G410" t="s">
        <v>318</v>
      </c>
      <c r="H410" t="s">
        <v>319</v>
      </c>
      <c r="I410" t="s">
        <v>199</v>
      </c>
      <c r="J410" t="s">
        <v>148</v>
      </c>
      <c r="K410" t="s">
        <v>78</v>
      </c>
      <c r="L410" t="s">
        <v>200</v>
      </c>
      <c r="M410" t="s">
        <v>25</v>
      </c>
      <c r="N410" t="s">
        <v>141</v>
      </c>
      <c r="O410" t="s">
        <v>20</v>
      </c>
      <c r="P410">
        <v>3</v>
      </c>
      <c r="Q410" s="17">
        <v>3</v>
      </c>
      <c r="R410">
        <v>3</v>
      </c>
      <c r="S410">
        <v>0</v>
      </c>
      <c r="T410">
        <v>0</v>
      </c>
      <c r="U410">
        <v>999999999</v>
      </c>
      <c r="V410">
        <v>0.00259159</v>
      </c>
      <c r="W410">
        <v>3</v>
      </c>
      <c r="X410">
        <v>44.9197861</v>
      </c>
      <c r="Y410">
        <v>0</v>
      </c>
      <c r="Z410">
        <v>0.06678571</v>
      </c>
      <c r="AA410" s="2">
        <v>0</v>
      </c>
      <c r="AB410" s="2">
        <v>0</v>
      </c>
      <c r="AC410" s="2">
        <v>0</v>
      </c>
      <c r="AD410" s="2">
        <v>0</v>
      </c>
      <c r="AE410">
        <v>1.58</v>
      </c>
      <c r="AF410">
        <v>0.52666667</v>
      </c>
      <c r="AG410">
        <v>3</v>
      </c>
      <c r="AH410">
        <v>0</v>
      </c>
      <c r="AI410">
        <v>1.58</v>
      </c>
      <c r="AJ410">
        <v>3</v>
      </c>
      <c r="AK410">
        <v>0</v>
      </c>
      <c r="AL410">
        <v>0</v>
      </c>
      <c r="AM410">
        <v>0</v>
      </c>
      <c r="AN410">
        <v>0</v>
      </c>
    </row>
    <row r="411" spans="1:40">
      <c r="A411" t="s">
        <v>131</v>
      </c>
      <c r="B411" t="s">
        <v>247</v>
      </c>
      <c r="C411" t="s">
        <v>248</v>
      </c>
      <c r="D411" t="s">
        <v>249</v>
      </c>
      <c r="E411" t="s">
        <v>135</v>
      </c>
      <c r="F411" t="s">
        <v>48</v>
      </c>
      <c r="G411" t="s">
        <v>250</v>
      </c>
      <c r="H411" t="s">
        <v>251</v>
      </c>
      <c r="I411" t="s">
        <v>294</v>
      </c>
      <c r="J411" t="s">
        <v>148</v>
      </c>
      <c r="K411" t="s">
        <v>99</v>
      </c>
      <c r="L411" t="s">
        <v>295</v>
      </c>
      <c r="M411" t="s">
        <v>25</v>
      </c>
      <c r="N411" t="s">
        <v>141</v>
      </c>
      <c r="O411" t="s">
        <v>20</v>
      </c>
      <c r="P411">
        <v>3</v>
      </c>
      <c r="Q411" s="17">
        <v>3</v>
      </c>
      <c r="R411">
        <v>3</v>
      </c>
      <c r="S411">
        <v>0</v>
      </c>
      <c r="T411">
        <v>0</v>
      </c>
      <c r="U411">
        <v>999999999</v>
      </c>
      <c r="V411">
        <v>0.00259159</v>
      </c>
      <c r="W411">
        <v>3</v>
      </c>
      <c r="X411">
        <v>27.63157895</v>
      </c>
      <c r="Y411">
        <v>0.03571429</v>
      </c>
      <c r="Z411">
        <v>0.10857143</v>
      </c>
      <c r="AA411" s="2">
        <v>0</v>
      </c>
      <c r="AB411" s="2">
        <v>0</v>
      </c>
      <c r="AC411" s="2">
        <v>0</v>
      </c>
      <c r="AD411" s="2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</row>
    <row r="412" spans="1:40">
      <c r="A412" t="s">
        <v>131</v>
      </c>
      <c r="B412" t="s">
        <v>247</v>
      </c>
      <c r="C412" t="s">
        <v>248</v>
      </c>
      <c r="D412" t="s">
        <v>249</v>
      </c>
      <c r="E412" t="s">
        <v>135</v>
      </c>
      <c r="F412" t="s">
        <v>48</v>
      </c>
      <c r="G412" t="s">
        <v>250</v>
      </c>
      <c r="H412" t="s">
        <v>251</v>
      </c>
      <c r="I412" t="s">
        <v>339</v>
      </c>
      <c r="J412" t="s">
        <v>148</v>
      </c>
      <c r="K412" t="s">
        <v>90</v>
      </c>
      <c r="L412" t="s">
        <v>340</v>
      </c>
      <c r="M412" t="s">
        <v>25</v>
      </c>
      <c r="N412" t="s">
        <v>141</v>
      </c>
      <c r="O412" t="s">
        <v>20</v>
      </c>
      <c r="P412">
        <v>3</v>
      </c>
      <c r="Q412" s="17">
        <v>3</v>
      </c>
      <c r="R412">
        <v>3</v>
      </c>
      <c r="S412">
        <v>0</v>
      </c>
      <c r="T412">
        <v>0</v>
      </c>
      <c r="U412">
        <v>87</v>
      </c>
      <c r="V412">
        <v>0.00273777</v>
      </c>
      <c r="W412">
        <v>3</v>
      </c>
      <c r="X412">
        <v>27.63157895</v>
      </c>
      <c r="Y412">
        <v>0.10714286</v>
      </c>
      <c r="Z412">
        <v>0.10857143</v>
      </c>
      <c r="AA412" s="2">
        <v>1</v>
      </c>
      <c r="AB412" s="2">
        <v>1</v>
      </c>
      <c r="AC412" s="2">
        <v>1</v>
      </c>
      <c r="AD412" s="2">
        <v>3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</row>
    <row r="413" spans="1:40">
      <c r="A413" t="s">
        <v>131</v>
      </c>
      <c r="B413" t="s">
        <v>247</v>
      </c>
      <c r="C413" t="s">
        <v>248</v>
      </c>
      <c r="D413" t="s">
        <v>249</v>
      </c>
      <c r="E413" t="s">
        <v>135</v>
      </c>
      <c r="F413" t="s">
        <v>48</v>
      </c>
      <c r="G413" t="s">
        <v>250</v>
      </c>
      <c r="H413" t="s">
        <v>251</v>
      </c>
      <c r="I413" t="s">
        <v>341</v>
      </c>
      <c r="J413" t="s">
        <v>139</v>
      </c>
      <c r="K413" t="s">
        <v>55</v>
      </c>
      <c r="L413" t="s">
        <v>342</v>
      </c>
      <c r="M413" t="s">
        <v>25</v>
      </c>
      <c r="N413" t="s">
        <v>141</v>
      </c>
      <c r="O413" t="s">
        <v>20</v>
      </c>
      <c r="P413">
        <v>3</v>
      </c>
      <c r="Q413" s="17">
        <v>3</v>
      </c>
      <c r="R413">
        <v>3</v>
      </c>
      <c r="S413">
        <v>0</v>
      </c>
      <c r="T413">
        <v>0</v>
      </c>
      <c r="U413">
        <v>77</v>
      </c>
      <c r="V413">
        <v>0.00234509</v>
      </c>
      <c r="W413">
        <v>3</v>
      </c>
      <c r="X413">
        <v>27.63157895</v>
      </c>
      <c r="Y413">
        <v>0.03571429</v>
      </c>
      <c r="Z413">
        <v>0.10857143</v>
      </c>
      <c r="AA413" s="2">
        <v>1</v>
      </c>
      <c r="AB413" s="2">
        <v>1</v>
      </c>
      <c r="AC413" s="2">
        <v>1</v>
      </c>
      <c r="AD413" s="2">
        <v>2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</row>
    <row r="414" spans="1:40">
      <c r="A414" t="s">
        <v>131</v>
      </c>
      <c r="B414" t="s">
        <v>247</v>
      </c>
      <c r="C414" t="s">
        <v>248</v>
      </c>
      <c r="D414" t="s">
        <v>249</v>
      </c>
      <c r="E414" t="s">
        <v>135</v>
      </c>
      <c r="F414" t="s">
        <v>48</v>
      </c>
      <c r="G414" t="s">
        <v>250</v>
      </c>
      <c r="H414" t="s">
        <v>251</v>
      </c>
      <c r="I414" t="s">
        <v>351</v>
      </c>
      <c r="J414" t="s">
        <v>148</v>
      </c>
      <c r="K414" t="s">
        <v>51</v>
      </c>
      <c r="L414" t="s">
        <v>352</v>
      </c>
      <c r="M414" t="s">
        <v>25</v>
      </c>
      <c r="N414" t="s">
        <v>141</v>
      </c>
      <c r="O414" t="s">
        <v>20</v>
      </c>
      <c r="P414">
        <v>3</v>
      </c>
      <c r="Q414" s="17">
        <v>3</v>
      </c>
      <c r="R414">
        <v>3</v>
      </c>
      <c r="S414">
        <v>0</v>
      </c>
      <c r="T414">
        <v>0</v>
      </c>
      <c r="U414">
        <v>999999999</v>
      </c>
      <c r="V414">
        <v>0.00259159</v>
      </c>
      <c r="W414">
        <v>3</v>
      </c>
      <c r="X414">
        <v>27.63157895</v>
      </c>
      <c r="Y414">
        <v>0</v>
      </c>
      <c r="Z414">
        <v>0.10857143</v>
      </c>
      <c r="AA414" s="2">
        <v>0</v>
      </c>
      <c r="AB414" s="2">
        <v>0</v>
      </c>
      <c r="AC414" s="2">
        <v>0</v>
      </c>
      <c r="AD414" s="2">
        <v>0</v>
      </c>
      <c r="AE414">
        <v>0.76</v>
      </c>
      <c r="AF414">
        <v>0.25333333</v>
      </c>
      <c r="AG414">
        <v>1</v>
      </c>
      <c r="AH414">
        <v>0</v>
      </c>
      <c r="AI414">
        <v>0.76</v>
      </c>
      <c r="AJ414">
        <v>3</v>
      </c>
      <c r="AK414">
        <v>1</v>
      </c>
      <c r="AL414">
        <v>0</v>
      </c>
      <c r="AM414">
        <v>0</v>
      </c>
      <c r="AN414">
        <v>0</v>
      </c>
    </row>
    <row r="415" spans="1:40">
      <c r="A415" t="s">
        <v>131</v>
      </c>
      <c r="B415" t="s">
        <v>247</v>
      </c>
      <c r="C415" t="s">
        <v>248</v>
      </c>
      <c r="D415" t="s">
        <v>249</v>
      </c>
      <c r="E415" t="s">
        <v>135</v>
      </c>
      <c r="F415" t="s">
        <v>48</v>
      </c>
      <c r="G415" t="s">
        <v>250</v>
      </c>
      <c r="H415" t="s">
        <v>251</v>
      </c>
      <c r="I415" t="s">
        <v>345</v>
      </c>
      <c r="J415" t="s">
        <v>148</v>
      </c>
      <c r="K415" t="s">
        <v>54</v>
      </c>
      <c r="L415" t="s">
        <v>346</v>
      </c>
      <c r="M415" t="s">
        <v>25</v>
      </c>
      <c r="N415" t="s">
        <v>141</v>
      </c>
      <c r="O415" t="s">
        <v>20</v>
      </c>
      <c r="P415">
        <v>3</v>
      </c>
      <c r="Q415" s="17">
        <v>3</v>
      </c>
      <c r="R415">
        <v>3</v>
      </c>
      <c r="S415">
        <v>0</v>
      </c>
      <c r="T415">
        <v>0</v>
      </c>
      <c r="U415">
        <v>999999999</v>
      </c>
      <c r="V415">
        <v>0.00259159</v>
      </c>
      <c r="W415">
        <v>3</v>
      </c>
      <c r="X415">
        <v>27.63157895</v>
      </c>
      <c r="Y415">
        <v>0</v>
      </c>
      <c r="Z415">
        <v>0.10857143</v>
      </c>
      <c r="AA415" s="2">
        <v>0</v>
      </c>
      <c r="AB415" s="2">
        <v>0</v>
      </c>
      <c r="AC415" s="2">
        <v>0</v>
      </c>
      <c r="AD415" s="2">
        <v>0</v>
      </c>
      <c r="AE415">
        <v>0</v>
      </c>
      <c r="AF415">
        <v>0</v>
      </c>
      <c r="AG415">
        <v>0</v>
      </c>
      <c r="AH415">
        <v>0</v>
      </c>
      <c r="AI415">
        <v>0.76</v>
      </c>
      <c r="AJ415">
        <v>3</v>
      </c>
      <c r="AK415">
        <v>0</v>
      </c>
      <c r="AL415">
        <v>0</v>
      </c>
      <c r="AM415">
        <v>0</v>
      </c>
      <c r="AN415">
        <v>0</v>
      </c>
    </row>
    <row r="416" spans="1:40">
      <c r="A416" t="s">
        <v>131</v>
      </c>
      <c r="B416" t="s">
        <v>264</v>
      </c>
      <c r="C416" t="s">
        <v>265</v>
      </c>
      <c r="D416" t="s">
        <v>266</v>
      </c>
      <c r="E416" t="s">
        <v>135</v>
      </c>
      <c r="F416" t="s">
        <v>53</v>
      </c>
      <c r="G416" t="s">
        <v>267</v>
      </c>
      <c r="H416" t="s">
        <v>268</v>
      </c>
      <c r="I416" t="s">
        <v>177</v>
      </c>
      <c r="J416" t="s">
        <v>148</v>
      </c>
      <c r="K416" t="s">
        <v>69</v>
      </c>
      <c r="L416" t="s">
        <v>178</v>
      </c>
      <c r="M416" t="s">
        <v>25</v>
      </c>
      <c r="N416" t="s">
        <v>141</v>
      </c>
      <c r="O416" t="s">
        <v>20</v>
      </c>
      <c r="P416">
        <v>3</v>
      </c>
      <c r="Q416" s="17">
        <v>3</v>
      </c>
      <c r="R416">
        <v>3</v>
      </c>
      <c r="S416">
        <v>0</v>
      </c>
      <c r="T416">
        <v>0</v>
      </c>
      <c r="U416">
        <v>35</v>
      </c>
      <c r="V416">
        <v>0.00139172</v>
      </c>
      <c r="W416">
        <v>3</v>
      </c>
      <c r="X416">
        <v>20.68965517</v>
      </c>
      <c r="Y416">
        <v>0.07142857</v>
      </c>
      <c r="Z416">
        <v>0.145</v>
      </c>
      <c r="AA416" s="2">
        <v>1</v>
      </c>
      <c r="AB416" s="2">
        <v>1</v>
      </c>
      <c r="AC416" s="2">
        <v>1</v>
      </c>
      <c r="AD416" s="2">
        <v>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</row>
    <row r="417" spans="1:40">
      <c r="A417" t="s">
        <v>131</v>
      </c>
      <c r="B417" t="s">
        <v>264</v>
      </c>
      <c r="C417" t="s">
        <v>265</v>
      </c>
      <c r="D417" t="s">
        <v>266</v>
      </c>
      <c r="E417" t="s">
        <v>135</v>
      </c>
      <c r="F417" t="s">
        <v>53</v>
      </c>
      <c r="G417" t="s">
        <v>267</v>
      </c>
      <c r="H417" t="s">
        <v>268</v>
      </c>
      <c r="I417" t="s">
        <v>184</v>
      </c>
      <c r="J417" t="s">
        <v>139</v>
      </c>
      <c r="K417" t="s">
        <v>80</v>
      </c>
      <c r="L417" t="s">
        <v>185</v>
      </c>
      <c r="M417" t="s">
        <v>25</v>
      </c>
      <c r="N417" t="s">
        <v>141</v>
      </c>
      <c r="O417" t="s">
        <v>20</v>
      </c>
      <c r="P417">
        <v>3</v>
      </c>
      <c r="Q417" s="17">
        <v>3</v>
      </c>
      <c r="R417">
        <v>3</v>
      </c>
      <c r="S417">
        <v>0</v>
      </c>
      <c r="T417">
        <v>0</v>
      </c>
      <c r="U417">
        <v>15</v>
      </c>
      <c r="V417">
        <v>-0.00026861</v>
      </c>
      <c r="W417">
        <v>3</v>
      </c>
      <c r="X417">
        <v>35.44303797</v>
      </c>
      <c r="Y417">
        <v>0.10714286</v>
      </c>
      <c r="Z417">
        <v>0.08464286</v>
      </c>
      <c r="AA417" s="2">
        <v>0</v>
      </c>
      <c r="AB417" s="2">
        <v>0</v>
      </c>
      <c r="AC417" s="2">
        <v>0</v>
      </c>
      <c r="AD417" s="2">
        <v>3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</row>
    <row r="418" spans="1:40">
      <c r="A418" t="s">
        <v>131</v>
      </c>
      <c r="B418" t="s">
        <v>264</v>
      </c>
      <c r="C418" t="s">
        <v>265</v>
      </c>
      <c r="D418" t="s">
        <v>266</v>
      </c>
      <c r="E418" t="s">
        <v>135</v>
      </c>
      <c r="F418" t="s">
        <v>53</v>
      </c>
      <c r="G418" t="s">
        <v>267</v>
      </c>
      <c r="H418" t="s">
        <v>268</v>
      </c>
      <c r="I418" t="s">
        <v>215</v>
      </c>
      <c r="J418" t="s">
        <v>148</v>
      </c>
      <c r="K418" t="s">
        <v>76</v>
      </c>
      <c r="L418" t="s">
        <v>216</v>
      </c>
      <c r="M418" t="s">
        <v>25</v>
      </c>
      <c r="N418" t="s">
        <v>141</v>
      </c>
      <c r="O418" t="s">
        <v>20</v>
      </c>
      <c r="P418">
        <v>3</v>
      </c>
      <c r="Q418" s="17">
        <v>3</v>
      </c>
      <c r="R418">
        <v>3</v>
      </c>
      <c r="S418">
        <v>0</v>
      </c>
      <c r="T418">
        <v>0</v>
      </c>
      <c r="U418">
        <v>55</v>
      </c>
      <c r="V418">
        <v>0.00148119</v>
      </c>
      <c r="W418">
        <v>3</v>
      </c>
      <c r="X418">
        <v>19.62616822</v>
      </c>
      <c r="Y418">
        <v>0.03571429</v>
      </c>
      <c r="Z418">
        <v>0.15285714</v>
      </c>
      <c r="AA418" s="2">
        <v>0</v>
      </c>
      <c r="AB418" s="2">
        <v>0</v>
      </c>
      <c r="AC418" s="2">
        <v>1</v>
      </c>
      <c r="AD418" s="2">
        <v>1</v>
      </c>
      <c r="AE418">
        <v>0</v>
      </c>
      <c r="AF418">
        <v>0</v>
      </c>
      <c r="AG418">
        <v>0</v>
      </c>
      <c r="AH418">
        <v>0</v>
      </c>
      <c r="AI418">
        <v>0.14</v>
      </c>
      <c r="AJ418">
        <v>0</v>
      </c>
      <c r="AK418">
        <v>0</v>
      </c>
      <c r="AL418">
        <v>1</v>
      </c>
      <c r="AM418">
        <v>0</v>
      </c>
      <c r="AN418">
        <v>0</v>
      </c>
    </row>
    <row r="419" spans="1:40">
      <c r="A419" t="s">
        <v>131</v>
      </c>
      <c r="B419" t="s">
        <v>334</v>
      </c>
      <c r="C419" t="s">
        <v>335</v>
      </c>
      <c r="D419" t="s">
        <v>336</v>
      </c>
      <c r="E419" t="s">
        <v>135</v>
      </c>
      <c r="F419" t="s">
        <v>56</v>
      </c>
      <c r="G419" t="s">
        <v>337</v>
      </c>
      <c r="H419" t="s">
        <v>338</v>
      </c>
      <c r="I419" t="s">
        <v>177</v>
      </c>
      <c r="J419" t="s">
        <v>148</v>
      </c>
      <c r="K419" t="s">
        <v>69</v>
      </c>
      <c r="L419" t="s">
        <v>178</v>
      </c>
      <c r="M419" t="s">
        <v>25</v>
      </c>
      <c r="N419" t="s">
        <v>141</v>
      </c>
      <c r="O419" t="s">
        <v>20</v>
      </c>
      <c r="P419">
        <v>3</v>
      </c>
      <c r="Q419" s="17">
        <v>3</v>
      </c>
      <c r="R419">
        <v>3</v>
      </c>
      <c r="S419">
        <v>0</v>
      </c>
      <c r="T419">
        <v>0</v>
      </c>
      <c r="U419">
        <v>56</v>
      </c>
      <c r="V419">
        <v>0.00152046</v>
      </c>
      <c r="W419">
        <v>3</v>
      </c>
      <c r="X419">
        <v>40.77669903</v>
      </c>
      <c r="Y419">
        <v>0.03571429</v>
      </c>
      <c r="Z419">
        <v>0.07357143</v>
      </c>
      <c r="AA419" s="2">
        <v>0</v>
      </c>
      <c r="AB419" s="2">
        <v>1</v>
      </c>
      <c r="AC419" s="2">
        <v>1</v>
      </c>
      <c r="AD419" s="2">
        <v>1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</row>
    <row r="420" spans="1:40">
      <c r="A420" t="s">
        <v>131</v>
      </c>
      <c r="B420" t="s">
        <v>334</v>
      </c>
      <c r="C420" t="s">
        <v>335</v>
      </c>
      <c r="D420" t="s">
        <v>336</v>
      </c>
      <c r="E420" t="s">
        <v>135</v>
      </c>
      <c r="F420" t="s">
        <v>56</v>
      </c>
      <c r="G420" t="s">
        <v>337</v>
      </c>
      <c r="H420" t="s">
        <v>338</v>
      </c>
      <c r="I420" t="s">
        <v>184</v>
      </c>
      <c r="J420" t="s">
        <v>139</v>
      </c>
      <c r="K420" t="s">
        <v>80</v>
      </c>
      <c r="L420" t="s">
        <v>185</v>
      </c>
      <c r="M420" t="s">
        <v>25</v>
      </c>
      <c r="N420" t="s">
        <v>141</v>
      </c>
      <c r="O420" t="s">
        <v>20</v>
      </c>
      <c r="P420">
        <v>3</v>
      </c>
      <c r="Q420" s="17">
        <v>3</v>
      </c>
      <c r="R420">
        <v>2</v>
      </c>
      <c r="S420">
        <v>0</v>
      </c>
      <c r="T420">
        <v>0</v>
      </c>
      <c r="U420">
        <v>58</v>
      </c>
      <c r="V420">
        <v>0.001599</v>
      </c>
      <c r="W420">
        <v>2</v>
      </c>
      <c r="X420">
        <v>48.27586207</v>
      </c>
      <c r="Y420">
        <v>0.03571429</v>
      </c>
      <c r="Z420">
        <v>0.04142857</v>
      </c>
      <c r="AA420" s="2">
        <v>1</v>
      </c>
      <c r="AB420" s="2">
        <v>1</v>
      </c>
      <c r="AC420" s="2">
        <v>1</v>
      </c>
      <c r="AD420" s="2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</row>
    <row r="421" spans="1:40">
      <c r="A421" t="s">
        <v>131</v>
      </c>
      <c r="B421" t="s">
        <v>334</v>
      </c>
      <c r="C421" t="s">
        <v>335</v>
      </c>
      <c r="D421" t="s">
        <v>336</v>
      </c>
      <c r="E421" t="s">
        <v>135</v>
      </c>
      <c r="F421" t="s">
        <v>56</v>
      </c>
      <c r="G421" t="s">
        <v>337</v>
      </c>
      <c r="H421" t="s">
        <v>338</v>
      </c>
      <c r="I421" t="s">
        <v>173</v>
      </c>
      <c r="J421" t="s">
        <v>148</v>
      </c>
      <c r="K421" t="s">
        <v>98</v>
      </c>
      <c r="L421" t="s">
        <v>174</v>
      </c>
      <c r="M421" t="s">
        <v>25</v>
      </c>
      <c r="N421" t="s">
        <v>141</v>
      </c>
      <c r="O421" t="s">
        <v>20</v>
      </c>
      <c r="P421">
        <v>3</v>
      </c>
      <c r="Q421" s="17">
        <v>3</v>
      </c>
      <c r="R421">
        <v>3</v>
      </c>
      <c r="S421">
        <v>0</v>
      </c>
      <c r="T421">
        <v>0</v>
      </c>
      <c r="U421">
        <v>68</v>
      </c>
      <c r="V421">
        <v>0.00199168</v>
      </c>
      <c r="W421">
        <v>3</v>
      </c>
      <c r="X421">
        <v>30.65693431</v>
      </c>
      <c r="Y421">
        <v>0.03571429</v>
      </c>
      <c r="Z421">
        <v>0.09785714</v>
      </c>
      <c r="AA421" s="2">
        <v>0</v>
      </c>
      <c r="AB421" s="2">
        <v>0</v>
      </c>
      <c r="AC421" s="2">
        <v>0</v>
      </c>
      <c r="AD421" s="2">
        <v>1</v>
      </c>
      <c r="AE421">
        <v>0</v>
      </c>
      <c r="AF421">
        <v>0</v>
      </c>
      <c r="AG421">
        <v>0</v>
      </c>
      <c r="AH421">
        <v>0</v>
      </c>
      <c r="AI421">
        <v>0.15</v>
      </c>
      <c r="AJ421">
        <v>0</v>
      </c>
      <c r="AK421">
        <v>0</v>
      </c>
      <c r="AL421">
        <v>0</v>
      </c>
      <c r="AM421">
        <v>0</v>
      </c>
      <c r="AN421">
        <v>0</v>
      </c>
    </row>
    <row r="422" spans="1:40">
      <c r="A422" t="s">
        <v>131</v>
      </c>
      <c r="B422" t="s">
        <v>334</v>
      </c>
      <c r="C422" t="s">
        <v>335</v>
      </c>
      <c r="D422" t="s">
        <v>336</v>
      </c>
      <c r="E422" t="s">
        <v>135</v>
      </c>
      <c r="F422" t="s">
        <v>56</v>
      </c>
      <c r="G422" t="s">
        <v>337</v>
      </c>
      <c r="H422" t="s">
        <v>338</v>
      </c>
      <c r="I422" t="s">
        <v>203</v>
      </c>
      <c r="J422" t="s">
        <v>139</v>
      </c>
      <c r="K422" t="s">
        <v>88</v>
      </c>
      <c r="L422" t="s">
        <v>204</v>
      </c>
      <c r="M422" t="s">
        <v>25</v>
      </c>
      <c r="N422" t="s">
        <v>141</v>
      </c>
      <c r="O422" t="s">
        <v>20</v>
      </c>
      <c r="P422">
        <v>3</v>
      </c>
      <c r="Q422" s="17">
        <v>3</v>
      </c>
      <c r="R422">
        <v>3</v>
      </c>
      <c r="S422">
        <v>0</v>
      </c>
      <c r="T422">
        <v>0</v>
      </c>
      <c r="U422">
        <v>76</v>
      </c>
      <c r="V422">
        <v>0.00230582</v>
      </c>
      <c r="W422">
        <v>3</v>
      </c>
      <c r="X422">
        <v>59.15492958</v>
      </c>
      <c r="Y422">
        <v>0.03571429</v>
      </c>
      <c r="Z422">
        <v>0.05071429</v>
      </c>
      <c r="AA422" s="2">
        <v>0</v>
      </c>
      <c r="AB422" s="2">
        <v>0</v>
      </c>
      <c r="AC422" s="2">
        <v>1</v>
      </c>
      <c r="AD422" s="2">
        <v>1</v>
      </c>
      <c r="AE422">
        <v>0</v>
      </c>
      <c r="AF422">
        <v>0</v>
      </c>
      <c r="AG422">
        <v>0</v>
      </c>
      <c r="AH422">
        <v>3</v>
      </c>
      <c r="AI422">
        <v>1.17</v>
      </c>
      <c r="AJ422">
        <v>0</v>
      </c>
      <c r="AK422">
        <v>0</v>
      </c>
      <c r="AL422">
        <v>0</v>
      </c>
      <c r="AM422">
        <v>0</v>
      </c>
      <c r="AN422">
        <v>0</v>
      </c>
    </row>
    <row r="423" spans="1:40">
      <c r="A423" t="s">
        <v>131</v>
      </c>
      <c r="B423" t="s">
        <v>274</v>
      </c>
      <c r="C423" t="s">
        <v>275</v>
      </c>
      <c r="D423" t="s">
        <v>276</v>
      </c>
      <c r="E423" t="s">
        <v>135</v>
      </c>
      <c r="F423" t="s">
        <v>50</v>
      </c>
      <c r="G423" t="s">
        <v>277</v>
      </c>
      <c r="H423" t="s">
        <v>278</v>
      </c>
      <c r="I423" t="s">
        <v>203</v>
      </c>
      <c r="J423" t="s">
        <v>139</v>
      </c>
      <c r="K423" t="s">
        <v>88</v>
      </c>
      <c r="L423" t="s">
        <v>204</v>
      </c>
      <c r="M423" t="s">
        <v>25</v>
      </c>
      <c r="N423" t="s">
        <v>141</v>
      </c>
      <c r="O423" t="s">
        <v>20</v>
      </c>
      <c r="P423">
        <v>3</v>
      </c>
      <c r="Q423" s="17">
        <v>3</v>
      </c>
      <c r="R423">
        <v>3</v>
      </c>
      <c r="S423">
        <v>0</v>
      </c>
      <c r="T423">
        <v>0</v>
      </c>
      <c r="U423">
        <v>39.5</v>
      </c>
      <c r="V423">
        <v>0.00174514</v>
      </c>
      <c r="W423">
        <v>3</v>
      </c>
      <c r="X423">
        <v>23.01369863</v>
      </c>
      <c r="Y423">
        <v>0.14285714</v>
      </c>
      <c r="Z423">
        <v>0.13035714</v>
      </c>
      <c r="AA423" s="2">
        <v>0</v>
      </c>
      <c r="AB423" s="2">
        <v>0</v>
      </c>
      <c r="AC423" s="2">
        <v>1</v>
      </c>
      <c r="AD423" s="2">
        <v>4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</row>
    <row r="424" spans="1:40">
      <c r="A424" t="s">
        <v>131</v>
      </c>
      <c r="B424" t="s">
        <v>274</v>
      </c>
      <c r="C424" t="s">
        <v>275</v>
      </c>
      <c r="D424" t="s">
        <v>276</v>
      </c>
      <c r="E424" t="s">
        <v>135</v>
      </c>
      <c r="F424" t="s">
        <v>50</v>
      </c>
      <c r="G424" t="s">
        <v>277</v>
      </c>
      <c r="H424" t="s">
        <v>278</v>
      </c>
      <c r="I424" t="s">
        <v>257</v>
      </c>
      <c r="J424" t="s">
        <v>148</v>
      </c>
      <c r="K424" t="s">
        <v>86</v>
      </c>
      <c r="L424" t="s">
        <v>258</v>
      </c>
      <c r="M424" t="s">
        <v>25</v>
      </c>
      <c r="N424" t="s">
        <v>141</v>
      </c>
      <c r="O424" t="s">
        <v>20</v>
      </c>
      <c r="P424">
        <v>3</v>
      </c>
      <c r="Q424" s="17">
        <v>3</v>
      </c>
      <c r="R424">
        <v>3</v>
      </c>
      <c r="S424">
        <v>0</v>
      </c>
      <c r="T424">
        <v>0</v>
      </c>
      <c r="U424">
        <v>43</v>
      </c>
      <c r="V424">
        <v>0.00100998</v>
      </c>
      <c r="W424">
        <v>3</v>
      </c>
      <c r="X424">
        <v>20.09569378</v>
      </c>
      <c r="Y424">
        <v>0.17857143</v>
      </c>
      <c r="Z424">
        <v>0.14928571</v>
      </c>
      <c r="AA424" s="2">
        <v>0</v>
      </c>
      <c r="AB424" s="2">
        <v>0</v>
      </c>
      <c r="AC424" s="2">
        <v>1</v>
      </c>
      <c r="AD424" s="2">
        <v>5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</v>
      </c>
      <c r="AM424">
        <v>0</v>
      </c>
      <c r="AN424">
        <v>0</v>
      </c>
    </row>
    <row r="425" spans="1:40">
      <c r="A425" t="s">
        <v>131</v>
      </c>
      <c r="B425" t="s">
        <v>274</v>
      </c>
      <c r="C425" t="s">
        <v>275</v>
      </c>
      <c r="D425" t="s">
        <v>276</v>
      </c>
      <c r="E425" t="s">
        <v>135</v>
      </c>
      <c r="F425" t="s">
        <v>50</v>
      </c>
      <c r="G425" t="s">
        <v>277</v>
      </c>
      <c r="H425" t="s">
        <v>278</v>
      </c>
      <c r="I425" t="s">
        <v>175</v>
      </c>
      <c r="J425" t="s">
        <v>139</v>
      </c>
      <c r="K425" t="s">
        <v>74</v>
      </c>
      <c r="L425" t="s">
        <v>176</v>
      </c>
      <c r="M425" t="s">
        <v>25</v>
      </c>
      <c r="N425" t="s">
        <v>141</v>
      </c>
      <c r="O425" t="s">
        <v>20</v>
      </c>
      <c r="P425">
        <v>3</v>
      </c>
      <c r="Q425" s="17">
        <v>3</v>
      </c>
      <c r="R425">
        <v>3</v>
      </c>
      <c r="S425">
        <v>0</v>
      </c>
      <c r="T425">
        <v>0</v>
      </c>
      <c r="U425">
        <v>45.5</v>
      </c>
      <c r="V425">
        <v>0.00221638</v>
      </c>
      <c r="W425">
        <v>3</v>
      </c>
      <c r="X425">
        <v>49.41176471</v>
      </c>
      <c r="Y425">
        <v>0.07142857</v>
      </c>
      <c r="Z425">
        <v>0.06071429</v>
      </c>
      <c r="AA425" s="2">
        <v>0</v>
      </c>
      <c r="AB425" s="2">
        <v>1</v>
      </c>
      <c r="AC425" s="2">
        <v>1</v>
      </c>
      <c r="AD425" s="2">
        <v>2</v>
      </c>
      <c r="AE425">
        <v>0</v>
      </c>
      <c r="AF425">
        <v>0</v>
      </c>
      <c r="AG425">
        <v>0</v>
      </c>
      <c r="AH425">
        <v>0</v>
      </c>
      <c r="AI425">
        <v>0.36</v>
      </c>
      <c r="AJ425">
        <v>0</v>
      </c>
      <c r="AK425">
        <v>0</v>
      </c>
      <c r="AL425">
        <v>0</v>
      </c>
      <c r="AM425">
        <v>0</v>
      </c>
      <c r="AN425">
        <v>0</v>
      </c>
    </row>
    <row r="426" spans="1:40">
      <c r="A426" t="s">
        <v>131</v>
      </c>
      <c r="B426" t="s">
        <v>274</v>
      </c>
      <c r="C426" t="s">
        <v>275</v>
      </c>
      <c r="D426" t="s">
        <v>276</v>
      </c>
      <c r="E426" t="s">
        <v>135</v>
      </c>
      <c r="F426" t="s">
        <v>50</v>
      </c>
      <c r="G426" t="s">
        <v>277</v>
      </c>
      <c r="H426" t="s">
        <v>278</v>
      </c>
      <c r="I426" t="s">
        <v>199</v>
      </c>
      <c r="J426" t="s">
        <v>148</v>
      </c>
      <c r="K426" t="s">
        <v>78</v>
      </c>
      <c r="L426" t="s">
        <v>200</v>
      </c>
      <c r="M426" t="s">
        <v>25</v>
      </c>
      <c r="N426" t="s">
        <v>141</v>
      </c>
      <c r="O426" t="s">
        <v>20</v>
      </c>
      <c r="P426">
        <v>3</v>
      </c>
      <c r="Q426" s="17">
        <v>3</v>
      </c>
      <c r="R426">
        <v>3</v>
      </c>
      <c r="S426">
        <v>0</v>
      </c>
      <c r="T426">
        <v>0</v>
      </c>
      <c r="U426">
        <v>999999999</v>
      </c>
      <c r="V426">
        <v>0.00125653</v>
      </c>
      <c r="W426">
        <v>3</v>
      </c>
      <c r="X426">
        <v>30</v>
      </c>
      <c r="Y426">
        <v>0</v>
      </c>
      <c r="Z426">
        <v>0.1</v>
      </c>
      <c r="AA426" s="2">
        <v>0</v>
      </c>
      <c r="AB426" s="2">
        <v>0</v>
      </c>
      <c r="AC426" s="2">
        <v>0</v>
      </c>
      <c r="AD426" s="2">
        <v>0</v>
      </c>
      <c r="AE426">
        <v>0</v>
      </c>
      <c r="AF426">
        <v>0</v>
      </c>
      <c r="AG426">
        <v>0</v>
      </c>
      <c r="AH426">
        <v>1</v>
      </c>
      <c r="AI426">
        <v>0.97</v>
      </c>
      <c r="AJ426">
        <v>3</v>
      </c>
      <c r="AK426">
        <v>0</v>
      </c>
      <c r="AL426">
        <v>0</v>
      </c>
      <c r="AM426">
        <v>0</v>
      </c>
      <c r="AN426">
        <v>0</v>
      </c>
    </row>
    <row r="427" spans="1:40">
      <c r="A427" t="s">
        <v>131</v>
      </c>
      <c r="B427" t="s">
        <v>259</v>
      </c>
      <c r="C427" t="s">
        <v>260</v>
      </c>
      <c r="D427" t="s">
        <v>261</v>
      </c>
      <c r="E427" t="s">
        <v>135</v>
      </c>
      <c r="F427" t="s">
        <v>43</v>
      </c>
      <c r="G427" t="s">
        <v>262</v>
      </c>
      <c r="H427" t="s">
        <v>263</v>
      </c>
      <c r="I427" t="s">
        <v>177</v>
      </c>
      <c r="J427" t="s">
        <v>148</v>
      </c>
      <c r="K427" t="s">
        <v>69</v>
      </c>
      <c r="L427" t="s">
        <v>178</v>
      </c>
      <c r="M427" t="s">
        <v>25</v>
      </c>
      <c r="N427" t="s">
        <v>141</v>
      </c>
      <c r="O427" t="s">
        <v>20</v>
      </c>
      <c r="P427">
        <v>3</v>
      </c>
      <c r="Q427" s="17">
        <v>3</v>
      </c>
      <c r="R427">
        <v>3</v>
      </c>
      <c r="S427">
        <v>0</v>
      </c>
      <c r="T427">
        <v>0</v>
      </c>
      <c r="U427">
        <v>23.66666667</v>
      </c>
      <c r="V427">
        <v>0.00075244</v>
      </c>
      <c r="W427">
        <v>3</v>
      </c>
      <c r="X427">
        <v>21.93211488</v>
      </c>
      <c r="Y427">
        <v>0.10714286</v>
      </c>
      <c r="Z427">
        <v>0.13678571</v>
      </c>
      <c r="AA427" s="2">
        <v>1</v>
      </c>
      <c r="AB427" s="2">
        <v>1</v>
      </c>
      <c r="AC427" s="2">
        <v>1</v>
      </c>
      <c r="AD427" s="2">
        <v>3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4</v>
      </c>
      <c r="AM427">
        <v>0</v>
      </c>
      <c r="AN427">
        <v>0</v>
      </c>
    </row>
    <row r="428" spans="1:40">
      <c r="A428" t="s">
        <v>131</v>
      </c>
      <c r="B428" t="s">
        <v>259</v>
      </c>
      <c r="C428" t="s">
        <v>260</v>
      </c>
      <c r="D428" t="s">
        <v>261</v>
      </c>
      <c r="E428" t="s">
        <v>135</v>
      </c>
      <c r="F428" t="s">
        <v>43</v>
      </c>
      <c r="G428" t="s">
        <v>262</v>
      </c>
      <c r="H428" t="s">
        <v>263</v>
      </c>
      <c r="I428" t="s">
        <v>173</v>
      </c>
      <c r="J428" t="s">
        <v>148</v>
      </c>
      <c r="K428" t="s">
        <v>98</v>
      </c>
      <c r="L428" t="s">
        <v>174</v>
      </c>
      <c r="M428" t="s">
        <v>25</v>
      </c>
      <c r="N428" t="s">
        <v>141</v>
      </c>
      <c r="O428" t="s">
        <v>20</v>
      </c>
      <c r="P428">
        <v>3</v>
      </c>
      <c r="Q428" s="17">
        <v>3</v>
      </c>
      <c r="R428">
        <v>3</v>
      </c>
      <c r="S428">
        <v>0</v>
      </c>
      <c r="T428">
        <v>0</v>
      </c>
      <c r="U428">
        <v>89</v>
      </c>
      <c r="V428">
        <v>0.00281631</v>
      </c>
      <c r="W428">
        <v>3</v>
      </c>
      <c r="X428">
        <v>16.43835616</v>
      </c>
      <c r="Y428">
        <v>0.10714286</v>
      </c>
      <c r="Z428">
        <v>0.1825</v>
      </c>
      <c r="AA428" s="2">
        <v>0</v>
      </c>
      <c r="AB428" s="2">
        <v>1</v>
      </c>
      <c r="AC428" s="2">
        <v>1</v>
      </c>
      <c r="AD428" s="2">
        <v>4</v>
      </c>
      <c r="AE428">
        <v>0</v>
      </c>
      <c r="AF428">
        <v>0</v>
      </c>
      <c r="AG428">
        <v>0</v>
      </c>
      <c r="AH428">
        <v>0</v>
      </c>
      <c r="AI428">
        <v>1.11</v>
      </c>
      <c r="AJ428">
        <v>0</v>
      </c>
      <c r="AK428">
        <v>0</v>
      </c>
      <c r="AL428">
        <v>4</v>
      </c>
      <c r="AM428">
        <v>0</v>
      </c>
      <c r="AN428">
        <v>0</v>
      </c>
    </row>
    <row r="429" spans="1:40">
      <c r="A429" t="s">
        <v>131</v>
      </c>
      <c r="B429" t="s">
        <v>259</v>
      </c>
      <c r="C429" t="s">
        <v>260</v>
      </c>
      <c r="D429" t="s">
        <v>261</v>
      </c>
      <c r="E429" t="s">
        <v>135</v>
      </c>
      <c r="F429" t="s">
        <v>43</v>
      </c>
      <c r="G429" t="s">
        <v>262</v>
      </c>
      <c r="H429" t="s">
        <v>263</v>
      </c>
      <c r="I429" t="s">
        <v>203</v>
      </c>
      <c r="J429" t="s">
        <v>139</v>
      </c>
      <c r="K429" t="s">
        <v>88</v>
      </c>
      <c r="L429" t="s">
        <v>204</v>
      </c>
      <c r="M429" t="s">
        <v>25</v>
      </c>
      <c r="N429" t="s">
        <v>141</v>
      </c>
      <c r="O429" t="s">
        <v>20</v>
      </c>
      <c r="P429">
        <v>3</v>
      </c>
      <c r="Q429" s="17">
        <v>3</v>
      </c>
      <c r="R429">
        <v>3</v>
      </c>
      <c r="S429">
        <v>0</v>
      </c>
      <c r="T429">
        <v>0</v>
      </c>
      <c r="U429">
        <v>38.5</v>
      </c>
      <c r="V429">
        <v>0.0016666</v>
      </c>
      <c r="W429">
        <v>3</v>
      </c>
      <c r="X429">
        <v>31.11111111</v>
      </c>
      <c r="Y429">
        <v>0.07142857</v>
      </c>
      <c r="Z429">
        <v>0.09642857</v>
      </c>
      <c r="AA429" s="2">
        <v>0</v>
      </c>
      <c r="AB429" s="2">
        <v>0</v>
      </c>
      <c r="AC429" s="2">
        <v>1</v>
      </c>
      <c r="AD429" s="2">
        <v>2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</row>
    <row r="430" spans="1:40">
      <c r="A430" t="s">
        <v>131</v>
      </c>
      <c r="B430" t="s">
        <v>259</v>
      </c>
      <c r="C430" t="s">
        <v>260</v>
      </c>
      <c r="D430" t="s">
        <v>261</v>
      </c>
      <c r="E430" t="s">
        <v>135</v>
      </c>
      <c r="F430" t="s">
        <v>43</v>
      </c>
      <c r="G430" t="s">
        <v>262</v>
      </c>
      <c r="H430" t="s">
        <v>263</v>
      </c>
      <c r="I430" t="s">
        <v>215</v>
      </c>
      <c r="J430" t="s">
        <v>148</v>
      </c>
      <c r="K430" t="s">
        <v>76</v>
      </c>
      <c r="L430" t="s">
        <v>216</v>
      </c>
      <c r="M430" t="s">
        <v>25</v>
      </c>
      <c r="N430" t="s">
        <v>141</v>
      </c>
      <c r="O430" t="s">
        <v>20</v>
      </c>
      <c r="P430">
        <v>3</v>
      </c>
      <c r="Q430" s="17">
        <v>3</v>
      </c>
      <c r="R430">
        <v>3</v>
      </c>
      <c r="S430">
        <v>0</v>
      </c>
      <c r="T430">
        <v>0</v>
      </c>
      <c r="U430">
        <v>26.66666667</v>
      </c>
      <c r="V430">
        <v>0.00110588</v>
      </c>
      <c r="W430">
        <v>3</v>
      </c>
      <c r="X430">
        <v>21</v>
      </c>
      <c r="Y430">
        <v>0.17857143</v>
      </c>
      <c r="Z430">
        <v>0.14285714</v>
      </c>
      <c r="AA430" s="2">
        <v>0</v>
      </c>
      <c r="AB430" s="2">
        <v>1</v>
      </c>
      <c r="AC430" s="2">
        <v>1</v>
      </c>
      <c r="AD430" s="2">
        <v>5</v>
      </c>
      <c r="AE430">
        <v>0</v>
      </c>
      <c r="AF430">
        <v>0</v>
      </c>
      <c r="AG430">
        <v>0</v>
      </c>
      <c r="AH430">
        <v>0</v>
      </c>
      <c r="AI430">
        <v>0.5</v>
      </c>
      <c r="AJ430">
        <v>0</v>
      </c>
      <c r="AK430">
        <v>0</v>
      </c>
      <c r="AL430">
        <v>4</v>
      </c>
      <c r="AM430">
        <v>0</v>
      </c>
      <c r="AN430">
        <v>0</v>
      </c>
    </row>
    <row r="431" spans="1:40">
      <c r="A431" t="s">
        <v>131</v>
      </c>
      <c r="B431" t="s">
        <v>259</v>
      </c>
      <c r="C431" t="s">
        <v>260</v>
      </c>
      <c r="D431" t="s">
        <v>261</v>
      </c>
      <c r="E431" t="s">
        <v>135</v>
      </c>
      <c r="F431" t="s">
        <v>43</v>
      </c>
      <c r="G431" t="s">
        <v>262</v>
      </c>
      <c r="H431" t="s">
        <v>263</v>
      </c>
      <c r="I431" t="s">
        <v>288</v>
      </c>
      <c r="J431" t="s">
        <v>148</v>
      </c>
      <c r="K431" t="s">
        <v>87</v>
      </c>
      <c r="L431" t="s">
        <v>289</v>
      </c>
      <c r="M431" t="s">
        <v>25</v>
      </c>
      <c r="N431" t="s">
        <v>141</v>
      </c>
      <c r="O431" t="s">
        <v>20</v>
      </c>
      <c r="P431">
        <v>3</v>
      </c>
      <c r="Q431" s="17">
        <v>3</v>
      </c>
      <c r="R431">
        <v>3</v>
      </c>
      <c r="S431">
        <v>0</v>
      </c>
      <c r="T431">
        <v>0</v>
      </c>
      <c r="U431">
        <v>77</v>
      </c>
      <c r="V431">
        <v>0.00234509</v>
      </c>
      <c r="W431">
        <v>3</v>
      </c>
      <c r="X431">
        <v>71.79487179</v>
      </c>
      <c r="Y431">
        <v>0.07142857</v>
      </c>
      <c r="Z431">
        <v>0.04178571</v>
      </c>
      <c r="AA431" s="2">
        <v>0</v>
      </c>
      <c r="AB431" s="2">
        <v>0</v>
      </c>
      <c r="AC431" s="2">
        <v>1</v>
      </c>
      <c r="AD431" s="2">
        <v>2</v>
      </c>
      <c r="AE431">
        <v>0</v>
      </c>
      <c r="AF431">
        <v>0</v>
      </c>
      <c r="AG431">
        <v>0</v>
      </c>
      <c r="AH431">
        <v>0</v>
      </c>
      <c r="AI431">
        <v>0.36</v>
      </c>
      <c r="AJ431">
        <v>0</v>
      </c>
      <c r="AK431">
        <v>0</v>
      </c>
      <c r="AL431">
        <v>0</v>
      </c>
      <c r="AM431">
        <v>0</v>
      </c>
      <c r="AN431">
        <v>0</v>
      </c>
    </row>
    <row r="432" spans="1:40">
      <c r="A432" t="s">
        <v>131</v>
      </c>
      <c r="B432" t="s">
        <v>259</v>
      </c>
      <c r="C432" t="s">
        <v>260</v>
      </c>
      <c r="D432" t="s">
        <v>261</v>
      </c>
      <c r="E432" t="s">
        <v>135</v>
      </c>
      <c r="F432" t="s">
        <v>43</v>
      </c>
      <c r="G432" t="s">
        <v>262</v>
      </c>
      <c r="H432" t="s">
        <v>263</v>
      </c>
      <c r="I432" t="s">
        <v>341</v>
      </c>
      <c r="J432" t="s">
        <v>139</v>
      </c>
      <c r="K432" t="s">
        <v>55</v>
      </c>
      <c r="L432" t="s">
        <v>342</v>
      </c>
      <c r="M432" t="s">
        <v>25</v>
      </c>
      <c r="N432" t="s">
        <v>141</v>
      </c>
      <c r="O432" t="s">
        <v>20</v>
      </c>
      <c r="P432">
        <v>3</v>
      </c>
      <c r="Q432" s="17">
        <v>3</v>
      </c>
      <c r="R432">
        <v>3</v>
      </c>
      <c r="S432">
        <v>0</v>
      </c>
      <c r="T432">
        <v>0</v>
      </c>
      <c r="U432">
        <v>999999999</v>
      </c>
      <c r="V432">
        <v>0.00259159</v>
      </c>
      <c r="W432">
        <v>3</v>
      </c>
      <c r="X432">
        <v>270.96774194</v>
      </c>
      <c r="Y432">
        <v>0</v>
      </c>
      <c r="Z432">
        <v>0.01107143</v>
      </c>
      <c r="AA432" s="2">
        <v>0</v>
      </c>
      <c r="AB432" s="2">
        <v>0</v>
      </c>
      <c r="AC432" s="2">
        <v>0</v>
      </c>
      <c r="AD432" s="2">
        <v>0</v>
      </c>
      <c r="AE432">
        <v>0</v>
      </c>
      <c r="AF432">
        <v>0</v>
      </c>
      <c r="AG432">
        <v>0</v>
      </c>
      <c r="AH432">
        <v>3</v>
      </c>
      <c r="AI432">
        <v>2.8</v>
      </c>
      <c r="AJ432">
        <v>3</v>
      </c>
      <c r="AK432">
        <v>0</v>
      </c>
      <c r="AL432">
        <v>0</v>
      </c>
      <c r="AM432">
        <v>0</v>
      </c>
      <c r="AN432">
        <v>0</v>
      </c>
    </row>
    <row r="433" spans="1:40">
      <c r="A433" t="s">
        <v>131</v>
      </c>
      <c r="B433" t="s">
        <v>259</v>
      </c>
      <c r="C433" t="s">
        <v>260</v>
      </c>
      <c r="D433" t="s">
        <v>261</v>
      </c>
      <c r="E433" t="s">
        <v>135</v>
      </c>
      <c r="F433" t="s">
        <v>43</v>
      </c>
      <c r="G433" t="s">
        <v>262</v>
      </c>
      <c r="H433" t="s">
        <v>263</v>
      </c>
      <c r="I433" t="s">
        <v>351</v>
      </c>
      <c r="J433" t="s">
        <v>148</v>
      </c>
      <c r="K433" t="s">
        <v>51</v>
      </c>
      <c r="L433" t="s">
        <v>352</v>
      </c>
      <c r="M433" t="s">
        <v>25</v>
      </c>
      <c r="N433" t="s">
        <v>141</v>
      </c>
      <c r="O433" t="s">
        <v>20</v>
      </c>
      <c r="P433">
        <v>3</v>
      </c>
      <c r="Q433" s="17">
        <v>3</v>
      </c>
      <c r="R433">
        <v>3</v>
      </c>
      <c r="S433">
        <v>0</v>
      </c>
      <c r="T433">
        <v>0</v>
      </c>
      <c r="U433">
        <v>77</v>
      </c>
      <c r="V433">
        <v>0.00234509</v>
      </c>
      <c r="W433">
        <v>3</v>
      </c>
      <c r="X433">
        <v>1200</v>
      </c>
      <c r="Y433">
        <v>0.03571429</v>
      </c>
      <c r="Z433">
        <v>0.0025</v>
      </c>
      <c r="AA433" s="2">
        <v>0</v>
      </c>
      <c r="AB433" s="2">
        <v>0</v>
      </c>
      <c r="AC433" s="2">
        <v>1</v>
      </c>
      <c r="AD433" s="2">
        <v>1</v>
      </c>
      <c r="AE433">
        <v>0</v>
      </c>
      <c r="AF433">
        <v>0</v>
      </c>
      <c r="AG433">
        <v>0</v>
      </c>
      <c r="AH433">
        <v>0</v>
      </c>
      <c r="AI433">
        <v>2.19</v>
      </c>
      <c r="AJ433">
        <v>0</v>
      </c>
      <c r="AK433">
        <v>0</v>
      </c>
      <c r="AL433">
        <v>0</v>
      </c>
      <c r="AM433">
        <v>0</v>
      </c>
      <c r="AN433">
        <v>0</v>
      </c>
    </row>
    <row r="434" spans="1:40">
      <c r="A434" t="s">
        <v>131</v>
      </c>
      <c r="B434" t="s">
        <v>252</v>
      </c>
      <c r="C434" t="s">
        <v>253</v>
      </c>
      <c r="D434" t="s">
        <v>254</v>
      </c>
      <c r="E434" t="s">
        <v>135</v>
      </c>
      <c r="F434" t="s">
        <v>40</v>
      </c>
      <c r="G434" t="s">
        <v>255</v>
      </c>
      <c r="H434" t="s">
        <v>256</v>
      </c>
      <c r="I434" t="s">
        <v>138</v>
      </c>
      <c r="J434" t="s">
        <v>139</v>
      </c>
      <c r="K434" t="s">
        <v>97</v>
      </c>
      <c r="L434" t="s">
        <v>140</v>
      </c>
      <c r="M434" t="s">
        <v>25</v>
      </c>
      <c r="N434" t="s">
        <v>141</v>
      </c>
      <c r="O434" t="s">
        <v>20</v>
      </c>
      <c r="P434">
        <v>2</v>
      </c>
      <c r="Q434" s="17">
        <v>2</v>
      </c>
      <c r="R434">
        <v>1</v>
      </c>
      <c r="S434">
        <v>0</v>
      </c>
      <c r="T434">
        <v>0</v>
      </c>
      <c r="U434">
        <v>9.39512195</v>
      </c>
      <c r="V434">
        <v>-0.06398519</v>
      </c>
      <c r="W434">
        <v>1</v>
      </c>
      <c r="X434">
        <v>0.10943057</v>
      </c>
      <c r="Y434">
        <v>10.14285714</v>
      </c>
      <c r="Z434">
        <v>9.13821429</v>
      </c>
      <c r="AA434" s="2">
        <v>3</v>
      </c>
      <c r="AB434" s="2">
        <v>75</v>
      </c>
      <c r="AC434" s="2">
        <v>149</v>
      </c>
      <c r="AD434" s="2">
        <v>297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484</v>
      </c>
      <c r="AN434">
        <v>0</v>
      </c>
    </row>
    <row r="435" spans="1:40">
      <c r="A435" t="s">
        <v>131</v>
      </c>
      <c r="B435" t="s">
        <v>224</v>
      </c>
      <c r="C435" t="s">
        <v>225</v>
      </c>
      <c r="D435" t="s">
        <v>226</v>
      </c>
      <c r="E435" t="s">
        <v>227</v>
      </c>
      <c r="F435" t="s">
        <v>68</v>
      </c>
      <c r="G435" t="s">
        <v>228</v>
      </c>
      <c r="H435" t="s">
        <v>229</v>
      </c>
      <c r="I435" t="s">
        <v>201</v>
      </c>
      <c r="J435" t="s">
        <v>148</v>
      </c>
      <c r="K435" t="s">
        <v>67</v>
      </c>
      <c r="L435" t="s">
        <v>202</v>
      </c>
      <c r="M435" t="s">
        <v>25</v>
      </c>
      <c r="N435" t="s">
        <v>141</v>
      </c>
      <c r="O435" t="s">
        <v>20</v>
      </c>
      <c r="P435">
        <v>2</v>
      </c>
      <c r="Q435" s="17">
        <v>2</v>
      </c>
      <c r="R435">
        <v>2</v>
      </c>
      <c r="S435">
        <v>0</v>
      </c>
      <c r="T435">
        <v>0</v>
      </c>
      <c r="U435">
        <v>14.5</v>
      </c>
      <c r="V435">
        <v>-0.00021834</v>
      </c>
      <c r="W435">
        <v>2</v>
      </c>
      <c r="X435">
        <v>11.81434599</v>
      </c>
      <c r="Y435">
        <v>0.10714286</v>
      </c>
      <c r="Z435">
        <v>0.16928571</v>
      </c>
      <c r="AA435" s="2">
        <v>0</v>
      </c>
      <c r="AB435" s="2">
        <v>1</v>
      </c>
      <c r="AC435" s="2">
        <v>1</v>
      </c>
      <c r="AD435" s="2">
        <v>3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</row>
    <row r="436" spans="1:40">
      <c r="A436" t="s">
        <v>131</v>
      </c>
      <c r="B436" t="s">
        <v>179</v>
      </c>
      <c r="C436" t="s">
        <v>180</v>
      </c>
      <c r="D436" t="s">
        <v>181</v>
      </c>
      <c r="E436" t="s">
        <v>135</v>
      </c>
      <c r="F436" t="s">
        <v>21</v>
      </c>
      <c r="G436" t="s">
        <v>182</v>
      </c>
      <c r="H436" t="s">
        <v>183</v>
      </c>
      <c r="I436" t="s">
        <v>203</v>
      </c>
      <c r="J436" t="s">
        <v>139</v>
      </c>
      <c r="K436" t="s">
        <v>88</v>
      </c>
      <c r="L436" t="s">
        <v>204</v>
      </c>
      <c r="M436" t="s">
        <v>17</v>
      </c>
      <c r="N436" t="s">
        <v>141</v>
      </c>
      <c r="O436" t="s">
        <v>20</v>
      </c>
      <c r="P436">
        <v>2</v>
      </c>
      <c r="Q436" s="17">
        <v>2</v>
      </c>
      <c r="R436">
        <v>1</v>
      </c>
      <c r="S436">
        <v>0</v>
      </c>
      <c r="T436">
        <v>0</v>
      </c>
      <c r="U436">
        <v>6.06417112</v>
      </c>
      <c r="V436">
        <v>-0.08296497</v>
      </c>
      <c r="W436">
        <v>1</v>
      </c>
      <c r="X436">
        <v>0.09972931</v>
      </c>
      <c r="Y436">
        <v>8.53571429</v>
      </c>
      <c r="Z436">
        <v>10.02714286</v>
      </c>
      <c r="AA436" s="2">
        <v>6</v>
      </c>
      <c r="AB436" s="2">
        <v>68</v>
      </c>
      <c r="AC436" s="2">
        <v>127</v>
      </c>
      <c r="AD436" s="2">
        <v>247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371</v>
      </c>
      <c r="AN436">
        <v>0</v>
      </c>
    </row>
    <row r="437" spans="1:40">
      <c r="A437" t="s">
        <v>131</v>
      </c>
      <c r="B437" t="s">
        <v>191</v>
      </c>
      <c r="C437" t="s">
        <v>192</v>
      </c>
      <c r="D437" t="s">
        <v>193</v>
      </c>
      <c r="E437" t="s">
        <v>135</v>
      </c>
      <c r="F437" t="s">
        <v>49</v>
      </c>
      <c r="G437" t="s">
        <v>194</v>
      </c>
      <c r="H437" t="s">
        <v>195</v>
      </c>
      <c r="I437" t="s">
        <v>362</v>
      </c>
      <c r="J437" t="s">
        <v>280</v>
      </c>
      <c r="K437" t="s">
        <v>92</v>
      </c>
      <c r="L437" t="s">
        <v>363</v>
      </c>
      <c r="M437" t="s">
        <v>25</v>
      </c>
      <c r="N437" t="s">
        <v>141</v>
      </c>
      <c r="O437" t="s">
        <v>20</v>
      </c>
      <c r="P437">
        <v>2</v>
      </c>
      <c r="Q437" s="17">
        <v>2</v>
      </c>
      <c r="R437">
        <v>2</v>
      </c>
      <c r="S437">
        <v>0</v>
      </c>
      <c r="T437">
        <v>0</v>
      </c>
      <c r="U437">
        <v>7.28571429</v>
      </c>
      <c r="V437">
        <v>-0.00274783</v>
      </c>
      <c r="W437">
        <v>2</v>
      </c>
      <c r="X437">
        <v>6.39269406</v>
      </c>
      <c r="Y437">
        <v>0.28571429</v>
      </c>
      <c r="Z437">
        <v>0.31285714</v>
      </c>
      <c r="AA437" s="2">
        <v>0</v>
      </c>
      <c r="AB437" s="2">
        <v>2</v>
      </c>
      <c r="AC437" s="2">
        <v>3</v>
      </c>
      <c r="AD437" s="2">
        <v>8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</row>
    <row r="438" spans="1:40">
      <c r="A438" t="s">
        <v>131</v>
      </c>
      <c r="B438" t="s">
        <v>315</v>
      </c>
      <c r="C438" t="s">
        <v>316</v>
      </c>
      <c r="D438" t="s">
        <v>317</v>
      </c>
      <c r="E438" t="s">
        <v>135</v>
      </c>
      <c r="F438" t="s">
        <v>42</v>
      </c>
      <c r="G438" t="s">
        <v>318</v>
      </c>
      <c r="H438" t="s">
        <v>319</v>
      </c>
      <c r="I438" t="s">
        <v>345</v>
      </c>
      <c r="J438" t="s">
        <v>148</v>
      </c>
      <c r="K438" t="s">
        <v>54</v>
      </c>
      <c r="L438" t="s">
        <v>346</v>
      </c>
      <c r="M438" t="s">
        <v>25</v>
      </c>
      <c r="N438" t="s">
        <v>141</v>
      </c>
      <c r="O438" t="s">
        <v>20</v>
      </c>
      <c r="P438">
        <v>2</v>
      </c>
      <c r="Q438" s="17">
        <v>2</v>
      </c>
      <c r="R438">
        <v>2</v>
      </c>
      <c r="S438">
        <v>0</v>
      </c>
      <c r="T438">
        <v>0</v>
      </c>
      <c r="U438">
        <v>999999999</v>
      </c>
      <c r="V438">
        <v>0.00172773</v>
      </c>
      <c r="W438">
        <v>2</v>
      </c>
      <c r="X438">
        <v>175</v>
      </c>
      <c r="Y438">
        <v>0</v>
      </c>
      <c r="Z438">
        <v>0.01142857</v>
      </c>
      <c r="AA438" s="2">
        <v>0</v>
      </c>
      <c r="AB438" s="2">
        <v>0</v>
      </c>
      <c r="AC438" s="2">
        <v>0</v>
      </c>
      <c r="AD438" s="2">
        <v>0</v>
      </c>
      <c r="AE438">
        <v>1.8</v>
      </c>
      <c r="AF438">
        <v>0.9</v>
      </c>
      <c r="AG438">
        <v>2</v>
      </c>
      <c r="AH438">
        <v>0</v>
      </c>
      <c r="AI438">
        <v>1.8</v>
      </c>
      <c r="AJ438">
        <v>2</v>
      </c>
      <c r="AK438">
        <v>0</v>
      </c>
      <c r="AL438">
        <v>0</v>
      </c>
      <c r="AM438">
        <v>0</v>
      </c>
      <c r="AN438">
        <v>0</v>
      </c>
    </row>
    <row r="439" spans="1:40">
      <c r="A439" t="s">
        <v>131</v>
      </c>
      <c r="B439" t="s">
        <v>264</v>
      </c>
      <c r="C439" t="s">
        <v>265</v>
      </c>
      <c r="D439" t="s">
        <v>266</v>
      </c>
      <c r="E439" t="s">
        <v>135</v>
      </c>
      <c r="F439" t="s">
        <v>53</v>
      </c>
      <c r="G439" t="s">
        <v>267</v>
      </c>
      <c r="H439" t="s">
        <v>268</v>
      </c>
      <c r="I439" t="s">
        <v>203</v>
      </c>
      <c r="J439" t="s">
        <v>139</v>
      </c>
      <c r="K439" t="s">
        <v>88</v>
      </c>
      <c r="L439" t="s">
        <v>204</v>
      </c>
      <c r="M439" t="s">
        <v>25</v>
      </c>
      <c r="N439" t="s">
        <v>141</v>
      </c>
      <c r="O439" t="s">
        <v>20</v>
      </c>
      <c r="P439">
        <v>2</v>
      </c>
      <c r="Q439" s="17">
        <v>2</v>
      </c>
      <c r="R439">
        <v>2</v>
      </c>
      <c r="S439">
        <v>0</v>
      </c>
      <c r="T439">
        <v>0</v>
      </c>
      <c r="U439">
        <v>17</v>
      </c>
      <c r="V439">
        <v>-3.298e-5</v>
      </c>
      <c r="W439">
        <v>2</v>
      </c>
      <c r="X439">
        <v>20.2166065</v>
      </c>
      <c r="Y439">
        <v>0.10714286</v>
      </c>
      <c r="Z439">
        <v>0.09892857</v>
      </c>
      <c r="AA439" s="2">
        <v>0</v>
      </c>
      <c r="AB439" s="2">
        <v>1</v>
      </c>
      <c r="AC439" s="2">
        <v>3</v>
      </c>
      <c r="AD439" s="2">
        <v>3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</v>
      </c>
      <c r="AM439">
        <v>0</v>
      </c>
      <c r="AN439">
        <v>0</v>
      </c>
    </row>
    <row r="440" spans="1:40">
      <c r="A440" t="s">
        <v>131</v>
      </c>
      <c r="B440" t="s">
        <v>264</v>
      </c>
      <c r="C440" t="s">
        <v>265</v>
      </c>
      <c r="D440" t="s">
        <v>266</v>
      </c>
      <c r="E440" t="s">
        <v>135</v>
      </c>
      <c r="F440" t="s">
        <v>53</v>
      </c>
      <c r="G440" t="s">
        <v>267</v>
      </c>
      <c r="H440" t="s">
        <v>268</v>
      </c>
      <c r="I440" t="s">
        <v>201</v>
      </c>
      <c r="J440" t="s">
        <v>148</v>
      </c>
      <c r="K440" t="s">
        <v>67</v>
      </c>
      <c r="L440" t="s">
        <v>202</v>
      </c>
      <c r="M440" t="s">
        <v>25</v>
      </c>
      <c r="N440" t="s">
        <v>141</v>
      </c>
      <c r="O440" t="s">
        <v>20</v>
      </c>
      <c r="P440">
        <v>2</v>
      </c>
      <c r="Q440" s="17">
        <v>2</v>
      </c>
      <c r="R440">
        <v>1</v>
      </c>
      <c r="S440">
        <v>0</v>
      </c>
      <c r="T440">
        <v>0</v>
      </c>
      <c r="U440">
        <v>29</v>
      </c>
      <c r="V440">
        <v>0.00046022</v>
      </c>
      <c r="W440">
        <v>1</v>
      </c>
      <c r="X440">
        <v>11.96581197</v>
      </c>
      <c r="Y440">
        <v>0.07142857</v>
      </c>
      <c r="Z440">
        <v>0.08357143</v>
      </c>
      <c r="AA440" s="2">
        <v>0</v>
      </c>
      <c r="AB440" s="2">
        <v>0</v>
      </c>
      <c r="AC440" s="2">
        <v>0</v>
      </c>
      <c r="AD440" s="2">
        <v>2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</row>
    <row r="441" spans="1:40">
      <c r="A441" t="s">
        <v>131</v>
      </c>
      <c r="B441" t="s">
        <v>264</v>
      </c>
      <c r="C441" t="s">
        <v>265</v>
      </c>
      <c r="D441" t="s">
        <v>266</v>
      </c>
      <c r="E441" t="s">
        <v>135</v>
      </c>
      <c r="F441" t="s">
        <v>53</v>
      </c>
      <c r="G441" t="s">
        <v>267</v>
      </c>
      <c r="H441" t="s">
        <v>268</v>
      </c>
      <c r="I441" t="s">
        <v>147</v>
      </c>
      <c r="J441" t="s">
        <v>148</v>
      </c>
      <c r="K441" t="s">
        <v>58</v>
      </c>
      <c r="L441" t="s">
        <v>149</v>
      </c>
      <c r="M441" t="s">
        <v>25</v>
      </c>
      <c r="N441" t="s">
        <v>141</v>
      </c>
      <c r="O441" t="s">
        <v>20</v>
      </c>
      <c r="P441">
        <v>2</v>
      </c>
      <c r="Q441" s="17">
        <v>2</v>
      </c>
      <c r="R441">
        <v>2</v>
      </c>
      <c r="S441">
        <v>0</v>
      </c>
      <c r="T441">
        <v>0</v>
      </c>
      <c r="U441">
        <v>48</v>
      </c>
      <c r="V441">
        <v>0.00120632</v>
      </c>
      <c r="W441">
        <v>2</v>
      </c>
      <c r="X441">
        <v>14.93333333</v>
      </c>
      <c r="Y441">
        <v>0.10714286</v>
      </c>
      <c r="Z441">
        <v>0.13392857</v>
      </c>
      <c r="AA441" s="2">
        <v>0</v>
      </c>
      <c r="AB441" s="2">
        <v>1</v>
      </c>
      <c r="AC441" s="2">
        <v>1</v>
      </c>
      <c r="AD441" s="2">
        <v>3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</row>
    <row r="442" spans="1:40">
      <c r="A442" t="s">
        <v>131</v>
      </c>
      <c r="B442" t="s">
        <v>264</v>
      </c>
      <c r="C442" t="s">
        <v>265</v>
      </c>
      <c r="D442" t="s">
        <v>266</v>
      </c>
      <c r="E442" t="s">
        <v>135</v>
      </c>
      <c r="F442" t="s">
        <v>53</v>
      </c>
      <c r="G442" t="s">
        <v>267</v>
      </c>
      <c r="H442" t="s">
        <v>268</v>
      </c>
      <c r="I442" t="s">
        <v>164</v>
      </c>
      <c r="J442" t="s">
        <v>148</v>
      </c>
      <c r="K442" t="s">
        <v>94</v>
      </c>
      <c r="L442" t="s">
        <v>165</v>
      </c>
      <c r="M442" t="s">
        <v>25</v>
      </c>
      <c r="N442" t="s">
        <v>141</v>
      </c>
      <c r="O442" t="s">
        <v>20</v>
      </c>
      <c r="P442">
        <v>2</v>
      </c>
      <c r="Q442" s="17">
        <v>2</v>
      </c>
      <c r="R442">
        <v>2</v>
      </c>
      <c r="S442">
        <v>0</v>
      </c>
      <c r="T442">
        <v>0</v>
      </c>
      <c r="U442">
        <v>11.4</v>
      </c>
      <c r="V442">
        <v>-0.00115466</v>
      </c>
      <c r="W442">
        <v>2</v>
      </c>
      <c r="X442">
        <v>10.83172147</v>
      </c>
      <c r="Y442">
        <v>0.17857143</v>
      </c>
      <c r="Z442">
        <v>0.18464286</v>
      </c>
      <c r="AA442" s="2">
        <v>0</v>
      </c>
      <c r="AB442" s="2">
        <v>3</v>
      </c>
      <c r="AC442" s="2">
        <v>4</v>
      </c>
      <c r="AD442" s="2">
        <v>5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</row>
    <row r="443" spans="1:40">
      <c r="A443" t="s">
        <v>131</v>
      </c>
      <c r="B443" t="s">
        <v>264</v>
      </c>
      <c r="C443" t="s">
        <v>265</v>
      </c>
      <c r="D443" t="s">
        <v>266</v>
      </c>
      <c r="E443" t="s">
        <v>135</v>
      </c>
      <c r="F443" t="s">
        <v>53</v>
      </c>
      <c r="G443" t="s">
        <v>267</v>
      </c>
      <c r="H443" t="s">
        <v>268</v>
      </c>
      <c r="I443" t="s">
        <v>199</v>
      </c>
      <c r="J443" t="s">
        <v>148</v>
      </c>
      <c r="K443" t="s">
        <v>78</v>
      </c>
      <c r="L443" t="s">
        <v>200</v>
      </c>
      <c r="M443" t="s">
        <v>25</v>
      </c>
      <c r="N443" t="s">
        <v>141</v>
      </c>
      <c r="O443" t="s">
        <v>20</v>
      </c>
      <c r="P443">
        <v>2</v>
      </c>
      <c r="Q443" s="17">
        <v>2</v>
      </c>
      <c r="R443">
        <v>1</v>
      </c>
      <c r="S443">
        <v>0</v>
      </c>
      <c r="T443">
        <v>0</v>
      </c>
      <c r="U443">
        <v>41</v>
      </c>
      <c r="V443">
        <v>0.00093144</v>
      </c>
      <c r="W443">
        <v>1</v>
      </c>
      <c r="X443">
        <v>13.08411215</v>
      </c>
      <c r="Y443">
        <v>0.03571429</v>
      </c>
      <c r="Z443">
        <v>0.07642857</v>
      </c>
      <c r="AA443" s="2">
        <v>0</v>
      </c>
      <c r="AB443" s="2">
        <v>0</v>
      </c>
      <c r="AC443" s="2">
        <v>1</v>
      </c>
      <c r="AD443" s="2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</row>
    <row r="444" spans="1:40">
      <c r="A444" t="s">
        <v>131</v>
      </c>
      <c r="B444" t="s">
        <v>334</v>
      </c>
      <c r="C444" t="s">
        <v>335</v>
      </c>
      <c r="D444" t="s">
        <v>336</v>
      </c>
      <c r="E444" t="s">
        <v>135</v>
      </c>
      <c r="F444" t="s">
        <v>56</v>
      </c>
      <c r="G444" t="s">
        <v>337</v>
      </c>
      <c r="H444" t="s">
        <v>338</v>
      </c>
      <c r="I444" t="s">
        <v>294</v>
      </c>
      <c r="J444" t="s">
        <v>148</v>
      </c>
      <c r="K444" t="s">
        <v>99</v>
      </c>
      <c r="L444" t="s">
        <v>295</v>
      </c>
      <c r="M444" t="s">
        <v>25</v>
      </c>
      <c r="N444" t="s">
        <v>141</v>
      </c>
      <c r="O444" t="s">
        <v>20</v>
      </c>
      <c r="P444">
        <v>2</v>
      </c>
      <c r="Q444" s="17">
        <v>2</v>
      </c>
      <c r="R444">
        <v>2</v>
      </c>
      <c r="S444">
        <v>0</v>
      </c>
      <c r="T444">
        <v>0</v>
      </c>
      <c r="U444">
        <v>999999999</v>
      </c>
      <c r="V444">
        <v>0.00172773</v>
      </c>
      <c r="W444">
        <v>2</v>
      </c>
      <c r="X444">
        <v>81.15942029</v>
      </c>
      <c r="Y444">
        <v>0</v>
      </c>
      <c r="Z444">
        <v>0.02464286</v>
      </c>
      <c r="AA444" s="2">
        <v>0</v>
      </c>
      <c r="AB444" s="2">
        <v>0</v>
      </c>
      <c r="AC444" s="2">
        <v>0</v>
      </c>
      <c r="AD444" s="2">
        <v>0</v>
      </c>
      <c r="AE444">
        <v>1.59</v>
      </c>
      <c r="AF444">
        <v>0.795</v>
      </c>
      <c r="AG444">
        <v>2</v>
      </c>
      <c r="AH444">
        <v>0</v>
      </c>
      <c r="AI444">
        <v>1.59</v>
      </c>
      <c r="AJ444">
        <v>2</v>
      </c>
      <c r="AK444">
        <v>0</v>
      </c>
      <c r="AL444">
        <v>0</v>
      </c>
      <c r="AM444">
        <v>0</v>
      </c>
      <c r="AN444">
        <v>0</v>
      </c>
    </row>
    <row r="445" spans="1:40">
      <c r="A445" t="s">
        <v>131</v>
      </c>
      <c r="B445" t="s">
        <v>334</v>
      </c>
      <c r="C445" t="s">
        <v>335</v>
      </c>
      <c r="D445" t="s">
        <v>336</v>
      </c>
      <c r="E445" t="s">
        <v>135</v>
      </c>
      <c r="F445" t="s">
        <v>56</v>
      </c>
      <c r="G445" t="s">
        <v>337</v>
      </c>
      <c r="H445" t="s">
        <v>338</v>
      </c>
      <c r="I445" t="s">
        <v>152</v>
      </c>
      <c r="J445" t="s">
        <v>148</v>
      </c>
      <c r="K445" t="s">
        <v>79</v>
      </c>
      <c r="L445" t="s">
        <v>153</v>
      </c>
      <c r="M445" t="s">
        <v>25</v>
      </c>
      <c r="N445" t="s">
        <v>141</v>
      </c>
      <c r="O445" t="s">
        <v>20</v>
      </c>
      <c r="P445">
        <v>2</v>
      </c>
      <c r="Q445" s="17">
        <v>2</v>
      </c>
      <c r="R445">
        <v>2</v>
      </c>
      <c r="S445">
        <v>0</v>
      </c>
      <c r="T445">
        <v>0</v>
      </c>
      <c r="U445">
        <v>999999999</v>
      </c>
      <c r="V445">
        <v>0.00172773</v>
      </c>
      <c r="W445">
        <v>2</v>
      </c>
      <c r="X445">
        <v>29.16666667</v>
      </c>
      <c r="Y445">
        <v>0.07142857</v>
      </c>
      <c r="Z445">
        <v>0.06857143</v>
      </c>
      <c r="AA445" s="2">
        <v>0</v>
      </c>
      <c r="AB445" s="2">
        <v>0</v>
      </c>
      <c r="AC445" s="2">
        <v>0</v>
      </c>
      <c r="AD445" s="2">
        <v>2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</row>
    <row r="446" spans="1:40">
      <c r="A446" t="s">
        <v>131</v>
      </c>
      <c r="B446" t="s">
        <v>334</v>
      </c>
      <c r="C446" t="s">
        <v>335</v>
      </c>
      <c r="D446" t="s">
        <v>336</v>
      </c>
      <c r="E446" t="s">
        <v>135</v>
      </c>
      <c r="F446" t="s">
        <v>56</v>
      </c>
      <c r="G446" t="s">
        <v>337</v>
      </c>
      <c r="H446" t="s">
        <v>338</v>
      </c>
      <c r="I446" t="s">
        <v>230</v>
      </c>
      <c r="J446" t="s">
        <v>148</v>
      </c>
      <c r="K446" t="s">
        <v>91</v>
      </c>
      <c r="L446" t="s">
        <v>231</v>
      </c>
      <c r="M446" t="s">
        <v>25</v>
      </c>
      <c r="N446" t="s">
        <v>141</v>
      </c>
      <c r="O446" t="s">
        <v>20</v>
      </c>
      <c r="P446">
        <v>2</v>
      </c>
      <c r="Q446" s="17">
        <v>2</v>
      </c>
      <c r="R446">
        <v>2</v>
      </c>
      <c r="S446">
        <v>0</v>
      </c>
      <c r="T446">
        <v>0</v>
      </c>
      <c r="U446">
        <v>999999999</v>
      </c>
      <c r="V446">
        <v>0.00172773</v>
      </c>
      <c r="W446">
        <v>2</v>
      </c>
      <c r="X446">
        <v>140</v>
      </c>
      <c r="Y446">
        <v>0.03571429</v>
      </c>
      <c r="Z446">
        <v>0.01428571</v>
      </c>
      <c r="AA446" s="2">
        <v>0</v>
      </c>
      <c r="AB446" s="2">
        <v>0</v>
      </c>
      <c r="AC446" s="2">
        <v>0</v>
      </c>
      <c r="AD446" s="2">
        <v>1</v>
      </c>
      <c r="AE446">
        <v>0.98</v>
      </c>
      <c r="AF446">
        <v>0.49</v>
      </c>
      <c r="AG446">
        <v>2</v>
      </c>
      <c r="AH446">
        <v>0</v>
      </c>
      <c r="AI446">
        <v>0.98</v>
      </c>
      <c r="AJ446">
        <v>0</v>
      </c>
      <c r="AK446">
        <v>0</v>
      </c>
      <c r="AL446">
        <v>0</v>
      </c>
      <c r="AM446">
        <v>0</v>
      </c>
      <c r="AN446">
        <v>0</v>
      </c>
    </row>
    <row r="447" spans="1:40">
      <c r="A447" t="s">
        <v>131</v>
      </c>
      <c r="B447" t="s">
        <v>334</v>
      </c>
      <c r="C447" t="s">
        <v>335</v>
      </c>
      <c r="D447" t="s">
        <v>336</v>
      </c>
      <c r="E447" t="s">
        <v>135</v>
      </c>
      <c r="F447" t="s">
        <v>56</v>
      </c>
      <c r="G447" t="s">
        <v>337</v>
      </c>
      <c r="H447" t="s">
        <v>338</v>
      </c>
      <c r="I447" t="s">
        <v>215</v>
      </c>
      <c r="J447" t="s">
        <v>148</v>
      </c>
      <c r="K447" t="s">
        <v>76</v>
      </c>
      <c r="L447" t="s">
        <v>216</v>
      </c>
      <c r="M447" t="s">
        <v>25</v>
      </c>
      <c r="N447" t="s">
        <v>141</v>
      </c>
      <c r="O447" t="s">
        <v>20</v>
      </c>
      <c r="P447">
        <v>2</v>
      </c>
      <c r="Q447" s="17">
        <v>2</v>
      </c>
      <c r="R447">
        <v>2</v>
      </c>
      <c r="S447">
        <v>0</v>
      </c>
      <c r="T447">
        <v>0</v>
      </c>
      <c r="U447">
        <v>53</v>
      </c>
      <c r="V447">
        <v>0.00140266</v>
      </c>
      <c r="W447">
        <v>2</v>
      </c>
      <c r="X447">
        <v>26.04651163</v>
      </c>
      <c r="Y447">
        <v>0.03571429</v>
      </c>
      <c r="Z447">
        <v>0.07678571</v>
      </c>
      <c r="AA447" s="2">
        <v>0</v>
      </c>
      <c r="AB447" s="2">
        <v>0</v>
      </c>
      <c r="AC447" s="2">
        <v>1</v>
      </c>
      <c r="AD447" s="2">
        <v>1</v>
      </c>
      <c r="AE447">
        <v>0</v>
      </c>
      <c r="AF447">
        <v>0</v>
      </c>
      <c r="AG447">
        <v>0</v>
      </c>
      <c r="AH447">
        <v>2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</row>
    <row r="448" spans="1:40">
      <c r="A448" t="s">
        <v>131</v>
      </c>
      <c r="B448" t="s">
        <v>334</v>
      </c>
      <c r="C448" t="s">
        <v>335</v>
      </c>
      <c r="D448" t="s">
        <v>336</v>
      </c>
      <c r="E448" t="s">
        <v>135</v>
      </c>
      <c r="F448" t="s">
        <v>56</v>
      </c>
      <c r="G448" t="s">
        <v>337</v>
      </c>
      <c r="H448" t="s">
        <v>338</v>
      </c>
      <c r="I448" t="s">
        <v>175</v>
      </c>
      <c r="J448" t="s">
        <v>139</v>
      </c>
      <c r="K448" t="s">
        <v>74</v>
      </c>
      <c r="L448" t="s">
        <v>176</v>
      </c>
      <c r="M448" t="s">
        <v>25</v>
      </c>
      <c r="N448" t="s">
        <v>141</v>
      </c>
      <c r="O448" t="s">
        <v>20</v>
      </c>
      <c r="P448">
        <v>2</v>
      </c>
      <c r="Q448" s="17">
        <v>2</v>
      </c>
      <c r="R448">
        <v>2</v>
      </c>
      <c r="S448">
        <v>0</v>
      </c>
      <c r="T448">
        <v>0</v>
      </c>
      <c r="U448">
        <v>34</v>
      </c>
      <c r="V448">
        <v>0.00131318</v>
      </c>
      <c r="W448">
        <v>2</v>
      </c>
      <c r="X448">
        <v>98.24561404</v>
      </c>
      <c r="Y448">
        <v>0.07142857</v>
      </c>
      <c r="Z448">
        <v>0.02035714</v>
      </c>
      <c r="AA448" s="2">
        <v>1</v>
      </c>
      <c r="AB448" s="2">
        <v>1</v>
      </c>
      <c r="AC448" s="2">
        <v>1</v>
      </c>
      <c r="AD448" s="2">
        <v>2</v>
      </c>
      <c r="AE448">
        <v>0</v>
      </c>
      <c r="AF448">
        <v>0</v>
      </c>
      <c r="AG448">
        <v>0</v>
      </c>
      <c r="AH448">
        <v>0</v>
      </c>
      <c r="AI448">
        <v>0.17</v>
      </c>
      <c r="AJ448">
        <v>0</v>
      </c>
      <c r="AK448">
        <v>0</v>
      </c>
      <c r="AL448">
        <v>0</v>
      </c>
      <c r="AM448">
        <v>0</v>
      </c>
      <c r="AN448">
        <v>0</v>
      </c>
    </row>
    <row r="449" spans="1:40">
      <c r="A449" t="s">
        <v>131</v>
      </c>
      <c r="B449" t="s">
        <v>334</v>
      </c>
      <c r="C449" t="s">
        <v>335</v>
      </c>
      <c r="D449" t="s">
        <v>336</v>
      </c>
      <c r="E449" t="s">
        <v>135</v>
      </c>
      <c r="F449" t="s">
        <v>56</v>
      </c>
      <c r="G449" t="s">
        <v>337</v>
      </c>
      <c r="H449" t="s">
        <v>338</v>
      </c>
      <c r="I449" t="s">
        <v>328</v>
      </c>
      <c r="J449" t="s">
        <v>148</v>
      </c>
      <c r="K449" t="s">
        <v>93</v>
      </c>
      <c r="L449" t="s">
        <v>329</v>
      </c>
      <c r="M449" t="s">
        <v>25</v>
      </c>
      <c r="N449" t="s">
        <v>141</v>
      </c>
      <c r="O449" t="s">
        <v>20</v>
      </c>
      <c r="P449">
        <v>2</v>
      </c>
      <c r="Q449" s="17">
        <v>2</v>
      </c>
      <c r="R449">
        <v>2</v>
      </c>
      <c r="S449">
        <v>0</v>
      </c>
      <c r="T449">
        <v>0</v>
      </c>
      <c r="U449">
        <v>999999999</v>
      </c>
      <c r="V449">
        <v>0.00172773</v>
      </c>
      <c r="W449">
        <v>2</v>
      </c>
      <c r="X449">
        <v>121.73913043</v>
      </c>
      <c r="Y449">
        <v>0</v>
      </c>
      <c r="Z449">
        <v>0.01642857</v>
      </c>
      <c r="AA449" s="2">
        <v>0</v>
      </c>
      <c r="AB449" s="2">
        <v>0</v>
      </c>
      <c r="AC449" s="2">
        <v>0</v>
      </c>
      <c r="AD449" s="2">
        <v>0</v>
      </c>
      <c r="AE449">
        <v>1.59</v>
      </c>
      <c r="AF449">
        <v>0.795</v>
      </c>
      <c r="AG449">
        <v>2</v>
      </c>
      <c r="AH449">
        <v>0</v>
      </c>
      <c r="AI449">
        <v>1.59</v>
      </c>
      <c r="AJ449">
        <v>2</v>
      </c>
      <c r="AK449">
        <v>0</v>
      </c>
      <c r="AL449">
        <v>0</v>
      </c>
      <c r="AM449">
        <v>0</v>
      </c>
      <c r="AN449">
        <v>0</v>
      </c>
    </row>
    <row r="450" spans="1:40">
      <c r="A450" t="s">
        <v>131</v>
      </c>
      <c r="B450" t="s">
        <v>274</v>
      </c>
      <c r="C450" t="s">
        <v>275</v>
      </c>
      <c r="D450" t="s">
        <v>276</v>
      </c>
      <c r="E450" t="s">
        <v>135</v>
      </c>
      <c r="F450" t="s">
        <v>50</v>
      </c>
      <c r="G450" t="s">
        <v>277</v>
      </c>
      <c r="H450" t="s">
        <v>278</v>
      </c>
      <c r="I450" t="s">
        <v>311</v>
      </c>
      <c r="J450" t="s">
        <v>139</v>
      </c>
      <c r="K450" t="s">
        <v>57</v>
      </c>
      <c r="L450" t="s">
        <v>312</v>
      </c>
      <c r="M450" t="s">
        <v>25</v>
      </c>
      <c r="N450" t="s">
        <v>141</v>
      </c>
      <c r="O450" t="s">
        <v>20</v>
      </c>
      <c r="P450">
        <v>2</v>
      </c>
      <c r="Q450" s="17">
        <v>2</v>
      </c>
      <c r="R450">
        <v>2</v>
      </c>
      <c r="S450">
        <v>0</v>
      </c>
      <c r="T450">
        <v>0</v>
      </c>
      <c r="U450">
        <v>999999999</v>
      </c>
      <c r="V450">
        <v>0.00133506</v>
      </c>
      <c r="W450">
        <v>2</v>
      </c>
      <c r="X450">
        <v>49.12280702</v>
      </c>
      <c r="Y450">
        <v>0.03571429</v>
      </c>
      <c r="Z450">
        <v>0.04071429</v>
      </c>
      <c r="AA450" s="2">
        <v>0</v>
      </c>
      <c r="AB450" s="2">
        <v>0</v>
      </c>
      <c r="AC450" s="2">
        <v>0</v>
      </c>
      <c r="AD450" s="2">
        <v>1</v>
      </c>
      <c r="AE450">
        <v>0</v>
      </c>
      <c r="AF450">
        <v>0</v>
      </c>
      <c r="AG450">
        <v>0</v>
      </c>
      <c r="AH450">
        <v>0</v>
      </c>
      <c r="AI450">
        <v>0.17</v>
      </c>
      <c r="AJ450">
        <v>0</v>
      </c>
      <c r="AK450">
        <v>0</v>
      </c>
      <c r="AL450">
        <v>0</v>
      </c>
      <c r="AM450">
        <v>0</v>
      </c>
      <c r="AN450">
        <v>0</v>
      </c>
    </row>
    <row r="451" spans="1:40">
      <c r="A451" t="s">
        <v>131</v>
      </c>
      <c r="B451" t="s">
        <v>274</v>
      </c>
      <c r="C451" t="s">
        <v>275</v>
      </c>
      <c r="D451" t="s">
        <v>276</v>
      </c>
      <c r="E451" t="s">
        <v>135</v>
      </c>
      <c r="F451" t="s">
        <v>50</v>
      </c>
      <c r="G451" t="s">
        <v>277</v>
      </c>
      <c r="H451" t="s">
        <v>278</v>
      </c>
      <c r="I451" t="s">
        <v>294</v>
      </c>
      <c r="J451" t="s">
        <v>148</v>
      </c>
      <c r="K451" t="s">
        <v>99</v>
      </c>
      <c r="L451" t="s">
        <v>295</v>
      </c>
      <c r="M451" t="s">
        <v>25</v>
      </c>
      <c r="N451" t="s">
        <v>141</v>
      </c>
      <c r="O451" t="s">
        <v>20</v>
      </c>
      <c r="P451">
        <v>2</v>
      </c>
      <c r="Q451" s="17">
        <v>2</v>
      </c>
      <c r="R451">
        <v>2</v>
      </c>
      <c r="S451">
        <v>0</v>
      </c>
      <c r="T451">
        <v>0</v>
      </c>
      <c r="U451">
        <v>64</v>
      </c>
      <c r="V451">
        <v>0.0018346</v>
      </c>
      <c r="W451">
        <v>2</v>
      </c>
      <c r="X451">
        <v>27.5862069</v>
      </c>
      <c r="Y451">
        <v>0.07142857</v>
      </c>
      <c r="Z451">
        <v>0.0725</v>
      </c>
      <c r="AA451" s="2">
        <v>0</v>
      </c>
      <c r="AB451" s="2">
        <v>1</v>
      </c>
      <c r="AC451" s="2">
        <v>1</v>
      </c>
      <c r="AD451" s="2">
        <v>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</row>
    <row r="452" spans="1:40">
      <c r="A452" t="s">
        <v>131</v>
      </c>
      <c r="B452" t="s">
        <v>274</v>
      </c>
      <c r="C452" t="s">
        <v>275</v>
      </c>
      <c r="D452" t="s">
        <v>276</v>
      </c>
      <c r="E452" t="s">
        <v>135</v>
      </c>
      <c r="F452" t="s">
        <v>50</v>
      </c>
      <c r="G452" t="s">
        <v>277</v>
      </c>
      <c r="H452" t="s">
        <v>278</v>
      </c>
      <c r="I452" t="s">
        <v>339</v>
      </c>
      <c r="J452" t="s">
        <v>148</v>
      </c>
      <c r="K452" t="s">
        <v>90</v>
      </c>
      <c r="L452" t="s">
        <v>340</v>
      </c>
      <c r="M452" t="s">
        <v>25</v>
      </c>
      <c r="N452" t="s">
        <v>141</v>
      </c>
      <c r="O452" t="s">
        <v>20</v>
      </c>
      <c r="P452">
        <v>2</v>
      </c>
      <c r="Q452" s="17">
        <v>2</v>
      </c>
      <c r="R452">
        <v>2</v>
      </c>
      <c r="S452">
        <v>0</v>
      </c>
      <c r="T452">
        <v>0</v>
      </c>
      <c r="U452">
        <v>999999999</v>
      </c>
      <c r="V452">
        <v>0.00125653</v>
      </c>
      <c r="W452">
        <v>2</v>
      </c>
      <c r="X452">
        <v>45.52845528</v>
      </c>
      <c r="Y452">
        <v>0.07142857</v>
      </c>
      <c r="Z452">
        <v>0.04392857</v>
      </c>
      <c r="AA452" s="2">
        <v>0</v>
      </c>
      <c r="AB452" s="2">
        <v>0</v>
      </c>
      <c r="AC452" s="2">
        <v>0</v>
      </c>
      <c r="AD452" s="2">
        <v>2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</row>
    <row r="453" spans="1:40">
      <c r="A453" t="s">
        <v>131</v>
      </c>
      <c r="B453" t="s">
        <v>259</v>
      </c>
      <c r="C453" t="s">
        <v>260</v>
      </c>
      <c r="D453" t="s">
        <v>261</v>
      </c>
      <c r="E453" t="s">
        <v>135</v>
      </c>
      <c r="F453" t="s">
        <v>43</v>
      </c>
      <c r="G453" t="s">
        <v>262</v>
      </c>
      <c r="H453" t="s">
        <v>263</v>
      </c>
      <c r="I453" t="s">
        <v>294</v>
      </c>
      <c r="J453" t="s">
        <v>148</v>
      </c>
      <c r="K453" t="s">
        <v>99</v>
      </c>
      <c r="L453" t="s">
        <v>295</v>
      </c>
      <c r="M453" t="s">
        <v>25</v>
      </c>
      <c r="N453" t="s">
        <v>141</v>
      </c>
      <c r="O453" t="s">
        <v>20</v>
      </c>
      <c r="P453">
        <v>2</v>
      </c>
      <c r="Q453" s="17">
        <v>2</v>
      </c>
      <c r="R453">
        <v>2</v>
      </c>
      <c r="S453">
        <v>0</v>
      </c>
      <c r="T453">
        <v>0</v>
      </c>
      <c r="U453">
        <v>54</v>
      </c>
      <c r="V453">
        <v>0.00144192</v>
      </c>
      <c r="W453">
        <v>2</v>
      </c>
      <c r="X453">
        <v>37.08609272</v>
      </c>
      <c r="Y453">
        <v>0.03571429</v>
      </c>
      <c r="Z453">
        <v>0.05392857</v>
      </c>
      <c r="AA453" s="2">
        <v>0</v>
      </c>
      <c r="AB453" s="2">
        <v>0</v>
      </c>
      <c r="AC453" s="2">
        <v>1</v>
      </c>
      <c r="AD453" s="2">
        <v>1</v>
      </c>
      <c r="AE453">
        <v>0</v>
      </c>
      <c r="AF453">
        <v>0</v>
      </c>
      <c r="AG453">
        <v>0</v>
      </c>
      <c r="AH453">
        <v>0</v>
      </c>
      <c r="AI453">
        <v>0.17</v>
      </c>
      <c r="AJ453">
        <v>0</v>
      </c>
      <c r="AK453">
        <v>0</v>
      </c>
      <c r="AL453">
        <v>0</v>
      </c>
      <c r="AM453">
        <v>0</v>
      </c>
      <c r="AN453">
        <v>0</v>
      </c>
    </row>
    <row r="454" spans="1:40">
      <c r="A454" t="s">
        <v>131</v>
      </c>
      <c r="B454" t="s">
        <v>259</v>
      </c>
      <c r="C454" t="s">
        <v>260</v>
      </c>
      <c r="D454" t="s">
        <v>261</v>
      </c>
      <c r="E454" t="s">
        <v>135</v>
      </c>
      <c r="F454" t="s">
        <v>43</v>
      </c>
      <c r="G454" t="s">
        <v>262</v>
      </c>
      <c r="H454" t="s">
        <v>263</v>
      </c>
      <c r="I454" t="s">
        <v>201</v>
      </c>
      <c r="J454" t="s">
        <v>148</v>
      </c>
      <c r="K454" t="s">
        <v>67</v>
      </c>
      <c r="L454" t="s">
        <v>202</v>
      </c>
      <c r="M454" t="s">
        <v>25</v>
      </c>
      <c r="N454" t="s">
        <v>141</v>
      </c>
      <c r="O454" t="s">
        <v>20</v>
      </c>
      <c r="P454">
        <v>2</v>
      </c>
      <c r="Q454" s="17">
        <v>2</v>
      </c>
      <c r="R454">
        <v>2</v>
      </c>
      <c r="S454">
        <v>0</v>
      </c>
      <c r="T454">
        <v>0</v>
      </c>
      <c r="U454">
        <v>17</v>
      </c>
      <c r="V454">
        <v>-4.398e-5</v>
      </c>
      <c r="W454">
        <v>2</v>
      </c>
      <c r="X454">
        <v>24.34782609</v>
      </c>
      <c r="Y454">
        <v>0.14285714</v>
      </c>
      <c r="Z454">
        <v>0.08214286</v>
      </c>
      <c r="AA454" s="2">
        <v>2</v>
      </c>
      <c r="AB454" s="2">
        <v>2</v>
      </c>
      <c r="AC454" s="2">
        <v>2</v>
      </c>
      <c r="AD454" s="2">
        <v>4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</row>
    <row r="455" spans="1:40">
      <c r="A455" t="s">
        <v>131</v>
      </c>
      <c r="B455" t="s">
        <v>159</v>
      </c>
      <c r="C455" t="s">
        <v>160</v>
      </c>
      <c r="D455" t="s">
        <v>161</v>
      </c>
      <c r="E455" t="s">
        <v>135</v>
      </c>
      <c r="F455" t="s">
        <v>59</v>
      </c>
      <c r="G455" t="s">
        <v>162</v>
      </c>
      <c r="H455" t="s">
        <v>163</v>
      </c>
      <c r="I455" t="s">
        <v>203</v>
      </c>
      <c r="J455" t="s">
        <v>139</v>
      </c>
      <c r="K455" t="s">
        <v>88</v>
      </c>
      <c r="L455" t="s">
        <v>204</v>
      </c>
      <c r="M455" t="s">
        <v>17</v>
      </c>
      <c r="N455" t="s">
        <v>141</v>
      </c>
      <c r="O455" t="s">
        <v>20</v>
      </c>
      <c r="P455">
        <v>2</v>
      </c>
      <c r="Q455" s="17">
        <v>2</v>
      </c>
      <c r="R455">
        <v>1</v>
      </c>
      <c r="S455">
        <v>0</v>
      </c>
      <c r="T455">
        <v>0</v>
      </c>
      <c r="U455">
        <v>4.57142857</v>
      </c>
      <c r="V455">
        <v>-0.0420564</v>
      </c>
      <c r="W455">
        <v>2</v>
      </c>
      <c r="X455">
        <v>0.45219638</v>
      </c>
      <c r="Y455">
        <v>3</v>
      </c>
      <c r="Z455">
        <v>2.21142857</v>
      </c>
      <c r="AA455" s="2">
        <v>0</v>
      </c>
      <c r="AB455" s="2">
        <v>35</v>
      </c>
      <c r="AC455" s="2">
        <v>83</v>
      </c>
      <c r="AD455" s="2">
        <v>84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52</v>
      </c>
      <c r="AN455">
        <v>0</v>
      </c>
    </row>
    <row r="456" spans="1:40">
      <c r="A456" t="s">
        <v>131</v>
      </c>
      <c r="B456" t="s">
        <v>132</v>
      </c>
      <c r="C456" t="s">
        <v>133</v>
      </c>
      <c r="D456" t="s">
        <v>134</v>
      </c>
      <c r="E456" t="s">
        <v>135</v>
      </c>
      <c r="F456" t="s">
        <v>66</v>
      </c>
      <c r="G456" t="s">
        <v>136</v>
      </c>
      <c r="H456" t="s">
        <v>137</v>
      </c>
      <c r="I456" t="s">
        <v>175</v>
      </c>
      <c r="J456" t="s">
        <v>139</v>
      </c>
      <c r="K456" t="s">
        <v>74</v>
      </c>
      <c r="L456" t="s">
        <v>176</v>
      </c>
      <c r="M456" t="s">
        <v>25</v>
      </c>
      <c r="N456" t="s">
        <v>141</v>
      </c>
      <c r="O456" t="s">
        <v>20</v>
      </c>
      <c r="P456">
        <v>1</v>
      </c>
      <c r="Q456" s="17">
        <v>1</v>
      </c>
      <c r="R456">
        <v>0</v>
      </c>
      <c r="S456">
        <v>0</v>
      </c>
      <c r="T456">
        <v>0</v>
      </c>
      <c r="U456">
        <v>999999999</v>
      </c>
      <c r="V456">
        <v>0.0008246</v>
      </c>
      <c r="W456">
        <v>1</v>
      </c>
      <c r="X456">
        <v>999999999</v>
      </c>
      <c r="Y456">
        <v>1.60714286</v>
      </c>
      <c r="Z456">
        <v>0</v>
      </c>
      <c r="AA456" s="2">
        <v>0</v>
      </c>
      <c r="AB456" s="2">
        <v>0</v>
      </c>
      <c r="AC456" s="2">
        <v>0</v>
      </c>
      <c r="AD456" s="2">
        <v>50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</row>
    <row r="457" spans="1:40">
      <c r="A457" t="s">
        <v>131</v>
      </c>
      <c r="B457" t="s">
        <v>252</v>
      </c>
      <c r="C457" t="s">
        <v>253</v>
      </c>
      <c r="D457" t="s">
        <v>254</v>
      </c>
      <c r="E457" t="s">
        <v>135</v>
      </c>
      <c r="F457" t="s">
        <v>40</v>
      </c>
      <c r="G457" t="s">
        <v>255</v>
      </c>
      <c r="H457" t="s">
        <v>256</v>
      </c>
      <c r="I457" t="s">
        <v>177</v>
      </c>
      <c r="J457" t="s">
        <v>148</v>
      </c>
      <c r="K457" t="s">
        <v>69</v>
      </c>
      <c r="L457" t="s">
        <v>178</v>
      </c>
      <c r="M457" t="s">
        <v>25</v>
      </c>
      <c r="N457" t="s">
        <v>141</v>
      </c>
      <c r="O457" t="s">
        <v>20</v>
      </c>
      <c r="P457">
        <v>1</v>
      </c>
      <c r="Q457" s="17">
        <v>1</v>
      </c>
      <c r="R457">
        <v>0</v>
      </c>
      <c r="S457">
        <v>0</v>
      </c>
      <c r="T457">
        <v>0</v>
      </c>
      <c r="U457">
        <v>7.375</v>
      </c>
      <c r="V457">
        <v>-0.00311245</v>
      </c>
      <c r="W457">
        <v>1</v>
      </c>
      <c r="X457">
        <v>999999999</v>
      </c>
      <c r="Y457">
        <v>0.28571429</v>
      </c>
      <c r="Z457">
        <v>0</v>
      </c>
      <c r="AA457" s="2">
        <v>0</v>
      </c>
      <c r="AB457" s="2">
        <v>0</v>
      </c>
      <c r="AC457" s="2">
        <v>2</v>
      </c>
      <c r="AD457" s="2">
        <v>8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</row>
    <row r="458" spans="1:40">
      <c r="A458" t="s">
        <v>131</v>
      </c>
      <c r="B458" t="s">
        <v>282</v>
      </c>
      <c r="C458" t="s">
        <v>283</v>
      </c>
      <c r="D458" t="s">
        <v>284</v>
      </c>
      <c r="E458" t="s">
        <v>285</v>
      </c>
      <c r="F458" t="s">
        <v>38</v>
      </c>
      <c r="G458" t="s">
        <v>286</v>
      </c>
      <c r="H458" t="s">
        <v>287</v>
      </c>
      <c r="I458" t="s">
        <v>177</v>
      </c>
      <c r="J458" t="s">
        <v>148</v>
      </c>
      <c r="K458" t="s">
        <v>69</v>
      </c>
      <c r="L458" t="s">
        <v>178</v>
      </c>
      <c r="M458" t="s">
        <v>25</v>
      </c>
      <c r="N458" t="s">
        <v>141</v>
      </c>
      <c r="O458" t="s">
        <v>20</v>
      </c>
      <c r="P458">
        <v>1</v>
      </c>
      <c r="Q458" s="17">
        <v>1</v>
      </c>
      <c r="R458">
        <v>1</v>
      </c>
      <c r="S458">
        <v>0</v>
      </c>
      <c r="T458">
        <v>0</v>
      </c>
      <c r="U458">
        <v>18</v>
      </c>
      <c r="V458">
        <v>8.483e-5</v>
      </c>
      <c r="W458">
        <v>1</v>
      </c>
      <c r="X458">
        <v>3.88349515</v>
      </c>
      <c r="Y458">
        <v>0.10714286</v>
      </c>
      <c r="Z458">
        <v>0.2575</v>
      </c>
      <c r="AA458" s="2">
        <v>0</v>
      </c>
      <c r="AB458" s="2">
        <v>0</v>
      </c>
      <c r="AC458" s="2">
        <v>2</v>
      </c>
      <c r="AD458" s="2">
        <v>3</v>
      </c>
      <c r="AE458">
        <v>0</v>
      </c>
      <c r="AF458">
        <v>0</v>
      </c>
      <c r="AG458">
        <v>0</v>
      </c>
      <c r="AH458">
        <v>0</v>
      </c>
      <c r="AI458">
        <v>1.48</v>
      </c>
      <c r="AJ458">
        <v>0</v>
      </c>
      <c r="AK458">
        <v>0</v>
      </c>
      <c r="AL458">
        <v>8</v>
      </c>
      <c r="AM458">
        <v>0</v>
      </c>
      <c r="AN458">
        <v>0</v>
      </c>
    </row>
    <row r="459" spans="1:40">
      <c r="A459" t="s">
        <v>131</v>
      </c>
      <c r="B459" t="s">
        <v>282</v>
      </c>
      <c r="C459" t="s">
        <v>283</v>
      </c>
      <c r="D459" t="s">
        <v>284</v>
      </c>
      <c r="E459" t="s">
        <v>285</v>
      </c>
      <c r="F459" t="s">
        <v>38</v>
      </c>
      <c r="G459" t="s">
        <v>286</v>
      </c>
      <c r="H459" t="s">
        <v>287</v>
      </c>
      <c r="I459" t="s">
        <v>199</v>
      </c>
      <c r="J459" t="s">
        <v>148</v>
      </c>
      <c r="K459" t="s">
        <v>78</v>
      </c>
      <c r="L459" t="s">
        <v>200</v>
      </c>
      <c r="M459" t="s">
        <v>25</v>
      </c>
      <c r="N459" t="s">
        <v>141</v>
      </c>
      <c r="O459" t="s">
        <v>20</v>
      </c>
      <c r="P459">
        <v>1</v>
      </c>
      <c r="Q459" s="17">
        <v>1</v>
      </c>
      <c r="R459">
        <v>1</v>
      </c>
      <c r="S459">
        <v>0</v>
      </c>
      <c r="T459">
        <v>0</v>
      </c>
      <c r="U459">
        <v>26</v>
      </c>
      <c r="V459">
        <v>0.00102734</v>
      </c>
      <c r="W459">
        <v>1</v>
      </c>
      <c r="X459">
        <v>6.96517413</v>
      </c>
      <c r="Y459">
        <v>0.10714286</v>
      </c>
      <c r="Z459">
        <v>0.14357143</v>
      </c>
      <c r="AA459" s="2">
        <v>1</v>
      </c>
      <c r="AB459" s="2">
        <v>3</v>
      </c>
      <c r="AC459" s="2">
        <v>3</v>
      </c>
      <c r="AD459" s="2">
        <v>3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</row>
    <row r="460" spans="1:40">
      <c r="A460" t="s">
        <v>131</v>
      </c>
      <c r="B460" t="s">
        <v>210</v>
      </c>
      <c r="C460" t="s">
        <v>211</v>
      </c>
      <c r="D460" t="s">
        <v>212</v>
      </c>
      <c r="E460" t="s">
        <v>135</v>
      </c>
      <c r="F460" t="s">
        <v>16</v>
      </c>
      <c r="G460" t="s">
        <v>213</v>
      </c>
      <c r="H460" t="s">
        <v>214</v>
      </c>
      <c r="I460" t="s">
        <v>279</v>
      </c>
      <c r="J460" t="s">
        <v>280</v>
      </c>
      <c r="K460" t="s">
        <v>28</v>
      </c>
      <c r="L460" t="s">
        <v>281</v>
      </c>
      <c r="M460" t="s">
        <v>17</v>
      </c>
      <c r="N460" t="s">
        <v>141</v>
      </c>
      <c r="O460" t="s">
        <v>18</v>
      </c>
      <c r="P460">
        <v>1</v>
      </c>
      <c r="Q460" s="17">
        <v>1</v>
      </c>
      <c r="R460">
        <v>1</v>
      </c>
      <c r="S460">
        <v>0</v>
      </c>
      <c r="T460">
        <v>0</v>
      </c>
      <c r="U460">
        <v>4.71428571</v>
      </c>
      <c r="V460">
        <v>-0.00345482</v>
      </c>
      <c r="W460">
        <v>1</v>
      </c>
      <c r="X460">
        <v>999999999</v>
      </c>
      <c r="Y460">
        <v>0.60714286</v>
      </c>
      <c r="Z460">
        <v>0</v>
      </c>
      <c r="AA460" s="2">
        <v>0</v>
      </c>
      <c r="AB460" s="2">
        <v>0</v>
      </c>
      <c r="AC460" s="2">
        <v>0</v>
      </c>
      <c r="AD460" s="2">
        <v>17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</row>
    <row r="461" spans="1:40">
      <c r="A461" t="s">
        <v>131</v>
      </c>
      <c r="B461" t="s">
        <v>179</v>
      </c>
      <c r="C461" t="s">
        <v>180</v>
      </c>
      <c r="D461" t="s">
        <v>181</v>
      </c>
      <c r="E461" t="s">
        <v>135</v>
      </c>
      <c r="F461" t="s">
        <v>21</v>
      </c>
      <c r="G461" t="s">
        <v>182</v>
      </c>
      <c r="H461" t="s">
        <v>183</v>
      </c>
      <c r="I461" t="s">
        <v>296</v>
      </c>
      <c r="J461" t="s">
        <v>280</v>
      </c>
      <c r="K461" t="s">
        <v>33</v>
      </c>
      <c r="L461" t="s">
        <v>297</v>
      </c>
      <c r="M461" t="s">
        <v>17</v>
      </c>
      <c r="N461" t="s">
        <v>141</v>
      </c>
      <c r="O461" t="s">
        <v>20</v>
      </c>
      <c r="P461">
        <v>1</v>
      </c>
      <c r="Q461" s="17">
        <v>1</v>
      </c>
      <c r="R461">
        <v>1</v>
      </c>
      <c r="S461">
        <v>0</v>
      </c>
      <c r="T461">
        <v>0</v>
      </c>
      <c r="U461">
        <v>3.6</v>
      </c>
      <c r="V461">
        <v>-0.00537376</v>
      </c>
      <c r="W461">
        <v>1</v>
      </c>
      <c r="X461">
        <v>1.25448029</v>
      </c>
      <c r="Y461">
        <v>0.35714286</v>
      </c>
      <c r="Z461">
        <v>0.79714286</v>
      </c>
      <c r="AA461" s="2">
        <v>1</v>
      </c>
      <c r="AB461" s="2">
        <v>8</v>
      </c>
      <c r="AC461" s="2">
        <v>10</v>
      </c>
      <c r="AD461" s="2">
        <v>10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9</v>
      </c>
      <c r="AM461">
        <v>0</v>
      </c>
      <c r="AN461">
        <v>0</v>
      </c>
    </row>
    <row r="462" spans="1:40">
      <c r="A462" t="s">
        <v>131</v>
      </c>
      <c r="B462" t="s">
        <v>242</v>
      </c>
      <c r="C462" t="s">
        <v>243</v>
      </c>
      <c r="D462" t="s">
        <v>244</v>
      </c>
      <c r="E462" t="s">
        <v>135</v>
      </c>
      <c r="F462" t="s">
        <v>24</v>
      </c>
      <c r="G462" t="s">
        <v>245</v>
      </c>
      <c r="H462" t="s">
        <v>246</v>
      </c>
      <c r="I462" t="s">
        <v>351</v>
      </c>
      <c r="J462" t="s">
        <v>148</v>
      </c>
      <c r="K462" t="s">
        <v>51</v>
      </c>
      <c r="L462" t="s">
        <v>352</v>
      </c>
      <c r="M462" t="s">
        <v>25</v>
      </c>
      <c r="N462" t="s">
        <v>141</v>
      </c>
      <c r="O462" t="s">
        <v>20</v>
      </c>
      <c r="P462">
        <v>1</v>
      </c>
      <c r="Q462" s="17">
        <v>0</v>
      </c>
      <c r="R462">
        <v>0</v>
      </c>
      <c r="S462">
        <v>1</v>
      </c>
      <c r="T462">
        <v>1</v>
      </c>
      <c r="U462">
        <v>27.8</v>
      </c>
      <c r="V462">
        <v>0.00206583</v>
      </c>
      <c r="W462">
        <v>0</v>
      </c>
      <c r="X462">
        <v>0</v>
      </c>
      <c r="Y462">
        <v>0.25</v>
      </c>
      <c r="Z462">
        <v>0.51</v>
      </c>
      <c r="AA462" s="2">
        <v>0</v>
      </c>
      <c r="AB462" s="2">
        <v>2</v>
      </c>
      <c r="AC462" s="2">
        <v>4</v>
      </c>
      <c r="AD462" s="2">
        <v>7</v>
      </c>
      <c r="AE462">
        <v>0</v>
      </c>
      <c r="AF462">
        <v>0</v>
      </c>
      <c r="AG462">
        <v>0</v>
      </c>
      <c r="AH462">
        <v>0</v>
      </c>
      <c r="AI462">
        <v>0.15</v>
      </c>
      <c r="AJ462">
        <v>0</v>
      </c>
      <c r="AK462">
        <v>0</v>
      </c>
      <c r="AL462">
        <v>16</v>
      </c>
      <c r="AM462">
        <v>0</v>
      </c>
      <c r="AN462">
        <v>0</v>
      </c>
    </row>
    <row r="463" spans="1:40">
      <c r="A463" t="s">
        <v>131</v>
      </c>
      <c r="B463" t="s">
        <v>315</v>
      </c>
      <c r="C463" t="s">
        <v>316</v>
      </c>
      <c r="D463" t="s">
        <v>317</v>
      </c>
      <c r="E463" t="s">
        <v>135</v>
      </c>
      <c r="F463" t="s">
        <v>42</v>
      </c>
      <c r="G463" t="s">
        <v>318</v>
      </c>
      <c r="H463" t="s">
        <v>319</v>
      </c>
      <c r="I463" t="s">
        <v>177</v>
      </c>
      <c r="J463" t="s">
        <v>148</v>
      </c>
      <c r="K463" t="s">
        <v>69</v>
      </c>
      <c r="L463" t="s">
        <v>178</v>
      </c>
      <c r="M463" t="s">
        <v>25</v>
      </c>
      <c r="N463" t="s">
        <v>141</v>
      </c>
      <c r="O463" t="s">
        <v>20</v>
      </c>
      <c r="P463">
        <v>1</v>
      </c>
      <c r="Q463" s="17">
        <v>1</v>
      </c>
      <c r="R463">
        <v>1</v>
      </c>
      <c r="S463">
        <v>0</v>
      </c>
      <c r="T463">
        <v>0</v>
      </c>
      <c r="U463">
        <v>22</v>
      </c>
      <c r="V463">
        <v>0.00055608</v>
      </c>
      <c r="W463">
        <v>1</v>
      </c>
      <c r="X463">
        <v>8.04597701</v>
      </c>
      <c r="Y463">
        <v>0.10714286</v>
      </c>
      <c r="Z463">
        <v>0.12428571</v>
      </c>
      <c r="AA463" s="2">
        <v>0</v>
      </c>
      <c r="AB463" s="2">
        <v>1</v>
      </c>
      <c r="AC463" s="2">
        <v>2</v>
      </c>
      <c r="AD463" s="2">
        <v>3</v>
      </c>
      <c r="AE463">
        <v>0</v>
      </c>
      <c r="AF463">
        <v>0</v>
      </c>
      <c r="AG463">
        <v>0</v>
      </c>
      <c r="AH463">
        <v>0</v>
      </c>
      <c r="AI463">
        <v>0.33</v>
      </c>
      <c r="AJ463">
        <v>0</v>
      </c>
      <c r="AK463">
        <v>0</v>
      </c>
      <c r="AL463">
        <v>4</v>
      </c>
      <c r="AM463">
        <v>0</v>
      </c>
      <c r="AN463">
        <v>0</v>
      </c>
    </row>
    <row r="464" spans="1:40">
      <c r="A464" t="s">
        <v>131</v>
      </c>
      <c r="B464" t="s">
        <v>315</v>
      </c>
      <c r="C464" t="s">
        <v>316</v>
      </c>
      <c r="D464" t="s">
        <v>317</v>
      </c>
      <c r="E464" t="s">
        <v>135</v>
      </c>
      <c r="F464" t="s">
        <v>42</v>
      </c>
      <c r="G464" t="s">
        <v>318</v>
      </c>
      <c r="H464" t="s">
        <v>319</v>
      </c>
      <c r="I464" t="s">
        <v>341</v>
      </c>
      <c r="J464" t="s">
        <v>139</v>
      </c>
      <c r="K464" t="s">
        <v>55</v>
      </c>
      <c r="L464" t="s">
        <v>342</v>
      </c>
      <c r="M464" t="s">
        <v>25</v>
      </c>
      <c r="N464" t="s">
        <v>141</v>
      </c>
      <c r="O464" t="s">
        <v>20</v>
      </c>
      <c r="P464">
        <v>1</v>
      </c>
      <c r="Q464" s="17">
        <v>1</v>
      </c>
      <c r="R464">
        <v>1</v>
      </c>
      <c r="S464">
        <v>0</v>
      </c>
      <c r="T464">
        <v>0</v>
      </c>
      <c r="U464">
        <v>27</v>
      </c>
      <c r="V464">
        <v>0.00038169</v>
      </c>
      <c r="W464">
        <v>1</v>
      </c>
      <c r="X464">
        <v>96.55172414</v>
      </c>
      <c r="Y464">
        <v>0.03571429</v>
      </c>
      <c r="Z464">
        <v>0.01035714</v>
      </c>
      <c r="AA464" s="2">
        <v>0</v>
      </c>
      <c r="AB464" s="2">
        <v>0</v>
      </c>
      <c r="AC464" s="2">
        <v>0</v>
      </c>
      <c r="AD464" s="2">
        <v>1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</row>
    <row r="465" spans="1:40">
      <c r="A465" t="s">
        <v>131</v>
      </c>
      <c r="B465" t="s">
        <v>315</v>
      </c>
      <c r="C465" t="s">
        <v>316</v>
      </c>
      <c r="D465" t="s">
        <v>317</v>
      </c>
      <c r="E465" t="s">
        <v>135</v>
      </c>
      <c r="F465" t="s">
        <v>42</v>
      </c>
      <c r="G465" t="s">
        <v>318</v>
      </c>
      <c r="H465" t="s">
        <v>319</v>
      </c>
      <c r="I465" t="s">
        <v>171</v>
      </c>
      <c r="J465" t="s">
        <v>148</v>
      </c>
      <c r="K465" t="s">
        <v>75</v>
      </c>
      <c r="L465" t="s">
        <v>172</v>
      </c>
      <c r="M465" t="s">
        <v>25</v>
      </c>
      <c r="N465" t="s">
        <v>141</v>
      </c>
      <c r="O465" t="s">
        <v>20</v>
      </c>
      <c r="P465">
        <v>1</v>
      </c>
      <c r="Q465" s="17">
        <v>1</v>
      </c>
      <c r="R465">
        <v>1</v>
      </c>
      <c r="S465">
        <v>0</v>
      </c>
      <c r="T465">
        <v>0</v>
      </c>
      <c r="U465">
        <v>34</v>
      </c>
      <c r="V465">
        <v>0.00065656</v>
      </c>
      <c r="W465">
        <v>1</v>
      </c>
      <c r="X465">
        <v>10.52631579</v>
      </c>
      <c r="Y465">
        <v>0.03571429</v>
      </c>
      <c r="Z465">
        <v>0.095</v>
      </c>
      <c r="AA465" s="2">
        <v>0</v>
      </c>
      <c r="AB465" s="2">
        <v>0</v>
      </c>
      <c r="AC465" s="2">
        <v>1</v>
      </c>
      <c r="AD465" s="2">
        <v>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</row>
    <row r="466" spans="1:40">
      <c r="A466" t="s">
        <v>131</v>
      </c>
      <c r="B466" t="s">
        <v>264</v>
      </c>
      <c r="C466" t="s">
        <v>265</v>
      </c>
      <c r="D466" t="s">
        <v>266</v>
      </c>
      <c r="E466" t="s">
        <v>135</v>
      </c>
      <c r="F466" t="s">
        <v>53</v>
      </c>
      <c r="G466" t="s">
        <v>267</v>
      </c>
      <c r="H466" t="s">
        <v>268</v>
      </c>
      <c r="I466" t="s">
        <v>288</v>
      </c>
      <c r="J466" t="s">
        <v>148</v>
      </c>
      <c r="K466" t="s">
        <v>87</v>
      </c>
      <c r="L466" t="s">
        <v>289</v>
      </c>
      <c r="M466" t="s">
        <v>25</v>
      </c>
      <c r="N466" t="s">
        <v>141</v>
      </c>
      <c r="O466" t="s">
        <v>18</v>
      </c>
      <c r="P466">
        <v>1</v>
      </c>
      <c r="Q466" s="17">
        <v>1</v>
      </c>
      <c r="R466">
        <v>0</v>
      </c>
      <c r="S466">
        <v>0</v>
      </c>
      <c r="T466">
        <v>0</v>
      </c>
      <c r="U466">
        <v>20</v>
      </c>
      <c r="V466">
        <v>0.00010681</v>
      </c>
      <c r="W466">
        <v>1</v>
      </c>
      <c r="X466">
        <v>999999999</v>
      </c>
      <c r="Y466">
        <v>0.07142857</v>
      </c>
      <c r="Z466">
        <v>0</v>
      </c>
      <c r="AA466" s="2">
        <v>0</v>
      </c>
      <c r="AB466" s="2">
        <v>0</v>
      </c>
      <c r="AC466" s="2">
        <v>0</v>
      </c>
      <c r="AD466" s="2">
        <v>2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</row>
    <row r="467" spans="1:40">
      <c r="A467" t="s">
        <v>131</v>
      </c>
      <c r="B467" t="s">
        <v>264</v>
      </c>
      <c r="C467" t="s">
        <v>265</v>
      </c>
      <c r="D467" t="s">
        <v>266</v>
      </c>
      <c r="E467" t="s">
        <v>135</v>
      </c>
      <c r="F467" t="s">
        <v>53</v>
      </c>
      <c r="G467" t="s">
        <v>267</v>
      </c>
      <c r="H467" t="s">
        <v>268</v>
      </c>
      <c r="I467" t="s">
        <v>175</v>
      </c>
      <c r="J467" t="s">
        <v>139</v>
      </c>
      <c r="K467" t="s">
        <v>74</v>
      </c>
      <c r="L467" t="s">
        <v>176</v>
      </c>
      <c r="M467" t="s">
        <v>25</v>
      </c>
      <c r="N467" t="s">
        <v>141</v>
      </c>
      <c r="O467" t="s">
        <v>20</v>
      </c>
      <c r="P467">
        <v>1</v>
      </c>
      <c r="Q467" s="17">
        <v>1</v>
      </c>
      <c r="R467">
        <v>1</v>
      </c>
      <c r="S467">
        <v>0</v>
      </c>
      <c r="T467">
        <v>0</v>
      </c>
      <c r="U467">
        <v>14</v>
      </c>
      <c r="V467">
        <v>-0.00025761</v>
      </c>
      <c r="W467">
        <v>1</v>
      </c>
      <c r="X467">
        <v>21.70542636</v>
      </c>
      <c r="Y467">
        <v>0.07142857</v>
      </c>
      <c r="Z467">
        <v>0.04607143</v>
      </c>
      <c r="AA467" s="2">
        <v>0</v>
      </c>
      <c r="AB467" s="2">
        <v>0</v>
      </c>
      <c r="AC467" s="2">
        <v>1</v>
      </c>
      <c r="AD467" s="2">
        <v>3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</row>
    <row r="468" spans="1:40">
      <c r="A468" t="s">
        <v>131</v>
      </c>
      <c r="B468" t="s">
        <v>264</v>
      </c>
      <c r="C468" t="s">
        <v>265</v>
      </c>
      <c r="D468" t="s">
        <v>266</v>
      </c>
      <c r="E468" t="s">
        <v>135</v>
      </c>
      <c r="F468" t="s">
        <v>53</v>
      </c>
      <c r="G468" t="s">
        <v>267</v>
      </c>
      <c r="H468" t="s">
        <v>268</v>
      </c>
      <c r="I468" t="s">
        <v>351</v>
      </c>
      <c r="J468" t="s">
        <v>148</v>
      </c>
      <c r="K468" t="s">
        <v>51</v>
      </c>
      <c r="L468" t="s">
        <v>352</v>
      </c>
      <c r="M468" t="s">
        <v>25</v>
      </c>
      <c r="N468" t="s">
        <v>141</v>
      </c>
      <c r="O468" t="s">
        <v>20</v>
      </c>
      <c r="P468">
        <v>1</v>
      </c>
      <c r="Q468" s="17">
        <v>1</v>
      </c>
      <c r="R468">
        <v>1</v>
      </c>
      <c r="S468">
        <v>0</v>
      </c>
      <c r="T468">
        <v>0</v>
      </c>
      <c r="U468">
        <v>999999999</v>
      </c>
      <c r="V468">
        <v>0.00086386</v>
      </c>
      <c r="W468">
        <v>1</v>
      </c>
      <c r="X468">
        <v>311.11111111</v>
      </c>
      <c r="Y468">
        <v>0</v>
      </c>
      <c r="Z468">
        <v>0.00321429</v>
      </c>
      <c r="AA468" s="2">
        <v>0</v>
      </c>
      <c r="AB468" s="2">
        <v>0</v>
      </c>
      <c r="AC468" s="2">
        <v>0</v>
      </c>
      <c r="AD468" s="2">
        <v>0</v>
      </c>
      <c r="AE468">
        <v>1</v>
      </c>
      <c r="AF468">
        <v>1</v>
      </c>
      <c r="AG468">
        <v>1</v>
      </c>
      <c r="AH468">
        <v>0</v>
      </c>
      <c r="AI468">
        <v>1</v>
      </c>
      <c r="AJ468">
        <v>1</v>
      </c>
      <c r="AK468">
        <v>0</v>
      </c>
      <c r="AL468">
        <v>0</v>
      </c>
      <c r="AM468">
        <v>0</v>
      </c>
      <c r="AN468">
        <v>0</v>
      </c>
    </row>
    <row r="469" spans="1:40">
      <c r="A469" t="s">
        <v>131</v>
      </c>
      <c r="B469" t="s">
        <v>264</v>
      </c>
      <c r="C469" t="s">
        <v>265</v>
      </c>
      <c r="D469" t="s">
        <v>266</v>
      </c>
      <c r="E469" t="s">
        <v>135</v>
      </c>
      <c r="F469" t="s">
        <v>53</v>
      </c>
      <c r="G469" t="s">
        <v>267</v>
      </c>
      <c r="H469" t="s">
        <v>268</v>
      </c>
      <c r="I469" t="s">
        <v>171</v>
      </c>
      <c r="J469" t="s">
        <v>148</v>
      </c>
      <c r="K469" t="s">
        <v>75</v>
      </c>
      <c r="L469" t="s">
        <v>172</v>
      </c>
      <c r="M469" t="s">
        <v>25</v>
      </c>
      <c r="N469" t="s">
        <v>141</v>
      </c>
      <c r="O469" t="s">
        <v>20</v>
      </c>
      <c r="P469">
        <v>1</v>
      </c>
      <c r="Q469" s="17">
        <v>1</v>
      </c>
      <c r="R469">
        <v>1</v>
      </c>
      <c r="S469">
        <v>0</v>
      </c>
      <c r="T469">
        <v>0</v>
      </c>
      <c r="U469">
        <v>5.75</v>
      </c>
      <c r="V469">
        <v>-0.00181125</v>
      </c>
      <c r="W469">
        <v>1</v>
      </c>
      <c r="X469">
        <v>9.21052632</v>
      </c>
      <c r="Y469">
        <v>0.14285714</v>
      </c>
      <c r="Z469">
        <v>0.10857143</v>
      </c>
      <c r="AA469" s="2">
        <v>0</v>
      </c>
      <c r="AB469" s="2">
        <v>1</v>
      </c>
      <c r="AC469" s="2">
        <v>2</v>
      </c>
      <c r="AD469" s="2">
        <v>4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</row>
    <row r="470" spans="1:40">
      <c r="A470" t="s">
        <v>131</v>
      </c>
      <c r="B470" t="s">
        <v>334</v>
      </c>
      <c r="C470" t="s">
        <v>335</v>
      </c>
      <c r="D470" t="s">
        <v>336</v>
      </c>
      <c r="E470" t="s">
        <v>135</v>
      </c>
      <c r="F470" t="s">
        <v>56</v>
      </c>
      <c r="G470" t="s">
        <v>337</v>
      </c>
      <c r="H470" t="s">
        <v>338</v>
      </c>
      <c r="I470" t="s">
        <v>201</v>
      </c>
      <c r="J470" t="s">
        <v>148</v>
      </c>
      <c r="K470" t="s">
        <v>67</v>
      </c>
      <c r="L470" t="s">
        <v>202</v>
      </c>
      <c r="M470" t="s">
        <v>25</v>
      </c>
      <c r="N470" t="s">
        <v>141</v>
      </c>
      <c r="O470" t="s">
        <v>20</v>
      </c>
      <c r="P470">
        <v>1</v>
      </c>
      <c r="Q470" s="17">
        <v>1</v>
      </c>
      <c r="R470">
        <v>1</v>
      </c>
      <c r="S470">
        <v>0</v>
      </c>
      <c r="T470">
        <v>0</v>
      </c>
      <c r="U470">
        <v>33</v>
      </c>
      <c r="V470">
        <v>0.00061729</v>
      </c>
      <c r="W470">
        <v>1</v>
      </c>
      <c r="X470">
        <v>25</v>
      </c>
      <c r="Y470">
        <v>0.03571429</v>
      </c>
      <c r="Z470">
        <v>0.04</v>
      </c>
      <c r="AA470" s="2">
        <v>0</v>
      </c>
      <c r="AB470" s="2">
        <v>0</v>
      </c>
      <c r="AC470" s="2">
        <v>1</v>
      </c>
      <c r="AD470" s="2">
        <v>1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</row>
    <row r="471" spans="1:40">
      <c r="A471" t="s">
        <v>131</v>
      </c>
      <c r="B471" t="s">
        <v>334</v>
      </c>
      <c r="C471" t="s">
        <v>335</v>
      </c>
      <c r="D471" t="s">
        <v>336</v>
      </c>
      <c r="E471" t="s">
        <v>135</v>
      </c>
      <c r="F471" t="s">
        <v>56</v>
      </c>
      <c r="G471" t="s">
        <v>337</v>
      </c>
      <c r="H471" t="s">
        <v>338</v>
      </c>
      <c r="I471" t="s">
        <v>288</v>
      </c>
      <c r="J471" t="s">
        <v>148</v>
      </c>
      <c r="K471" t="s">
        <v>87</v>
      </c>
      <c r="L471" t="s">
        <v>289</v>
      </c>
      <c r="M471" t="s">
        <v>25</v>
      </c>
      <c r="N471" t="s">
        <v>141</v>
      </c>
      <c r="O471" t="s">
        <v>20</v>
      </c>
      <c r="P471">
        <v>1</v>
      </c>
      <c r="Q471" s="17">
        <v>1</v>
      </c>
      <c r="R471">
        <v>0</v>
      </c>
      <c r="S471">
        <v>0</v>
      </c>
      <c r="T471">
        <v>0</v>
      </c>
      <c r="U471">
        <v>999999999</v>
      </c>
      <c r="V471">
        <v>0.0008246</v>
      </c>
      <c r="W471">
        <v>0</v>
      </c>
      <c r="X471">
        <v>0</v>
      </c>
      <c r="Y471">
        <v>0</v>
      </c>
      <c r="Z471">
        <v>0.02</v>
      </c>
      <c r="AA471" s="2">
        <v>0</v>
      </c>
      <c r="AB471" s="2">
        <v>0</v>
      </c>
      <c r="AC471" s="2">
        <v>0</v>
      </c>
      <c r="AD471" s="2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</row>
    <row r="472" spans="1:40">
      <c r="A472" t="s">
        <v>131</v>
      </c>
      <c r="B472" t="s">
        <v>274</v>
      </c>
      <c r="C472" t="s">
        <v>275</v>
      </c>
      <c r="D472" t="s">
        <v>276</v>
      </c>
      <c r="E472" t="s">
        <v>135</v>
      </c>
      <c r="F472" t="s">
        <v>50</v>
      </c>
      <c r="G472" t="s">
        <v>277</v>
      </c>
      <c r="H472" t="s">
        <v>278</v>
      </c>
      <c r="I472" t="s">
        <v>230</v>
      </c>
      <c r="J472" t="s">
        <v>148</v>
      </c>
      <c r="K472" t="s">
        <v>91</v>
      </c>
      <c r="L472" t="s">
        <v>231</v>
      </c>
      <c r="M472" t="s">
        <v>25</v>
      </c>
      <c r="N472" t="s">
        <v>141</v>
      </c>
      <c r="O472" t="s">
        <v>20</v>
      </c>
      <c r="P472">
        <v>1</v>
      </c>
      <c r="Q472" s="17">
        <v>1</v>
      </c>
      <c r="R472">
        <v>1</v>
      </c>
      <c r="S472">
        <v>0</v>
      </c>
      <c r="T472">
        <v>0</v>
      </c>
      <c r="U472">
        <v>25</v>
      </c>
      <c r="V472">
        <v>0.00030315</v>
      </c>
      <c r="W472">
        <v>1</v>
      </c>
      <c r="X472">
        <v>22.76422764</v>
      </c>
      <c r="Y472">
        <v>0.03571429</v>
      </c>
      <c r="Z472">
        <v>0.04392857</v>
      </c>
      <c r="AA472" s="2">
        <v>0</v>
      </c>
      <c r="AB472" s="2">
        <v>0</v>
      </c>
      <c r="AC472" s="2">
        <v>0</v>
      </c>
      <c r="AD472" s="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</row>
    <row r="473" spans="1:40">
      <c r="A473" t="s">
        <v>131</v>
      </c>
      <c r="B473" t="s">
        <v>274</v>
      </c>
      <c r="C473" t="s">
        <v>275</v>
      </c>
      <c r="D473" t="s">
        <v>276</v>
      </c>
      <c r="E473" t="s">
        <v>135</v>
      </c>
      <c r="F473" t="s">
        <v>50</v>
      </c>
      <c r="G473" t="s">
        <v>277</v>
      </c>
      <c r="H473" t="s">
        <v>278</v>
      </c>
      <c r="I473" t="s">
        <v>341</v>
      </c>
      <c r="J473" t="s">
        <v>139</v>
      </c>
      <c r="K473" t="s">
        <v>55</v>
      </c>
      <c r="L473" t="s">
        <v>342</v>
      </c>
      <c r="M473" t="s">
        <v>25</v>
      </c>
      <c r="N473" t="s">
        <v>141</v>
      </c>
      <c r="O473" t="s">
        <v>20</v>
      </c>
      <c r="P473">
        <v>1</v>
      </c>
      <c r="Q473" s="17">
        <v>1</v>
      </c>
      <c r="R473">
        <v>1</v>
      </c>
      <c r="S473">
        <v>0</v>
      </c>
      <c r="T473">
        <v>0</v>
      </c>
      <c r="U473">
        <v>38</v>
      </c>
      <c r="V473">
        <v>0.00081364</v>
      </c>
      <c r="W473">
        <v>1</v>
      </c>
      <c r="X473">
        <v>63.63636364</v>
      </c>
      <c r="Y473">
        <v>0.03571429</v>
      </c>
      <c r="Z473">
        <v>0.01571429</v>
      </c>
      <c r="AA473" s="2">
        <v>0</v>
      </c>
      <c r="AB473" s="2">
        <v>1</v>
      </c>
      <c r="AC473" s="2">
        <v>1</v>
      </c>
      <c r="AD473" s="2">
        <v>1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</row>
    <row r="474" spans="1:40">
      <c r="A474" t="s">
        <v>131</v>
      </c>
      <c r="B474" t="s">
        <v>274</v>
      </c>
      <c r="C474" t="s">
        <v>275</v>
      </c>
      <c r="D474" t="s">
        <v>276</v>
      </c>
      <c r="E474" t="s">
        <v>135</v>
      </c>
      <c r="F474" t="s">
        <v>50</v>
      </c>
      <c r="G474" t="s">
        <v>277</v>
      </c>
      <c r="H474" t="s">
        <v>278</v>
      </c>
      <c r="I474" t="s">
        <v>349</v>
      </c>
      <c r="J474" t="s">
        <v>148</v>
      </c>
      <c r="K474" t="s">
        <v>47</v>
      </c>
      <c r="L474" t="s">
        <v>350</v>
      </c>
      <c r="M474" t="s">
        <v>25</v>
      </c>
      <c r="N474" t="s">
        <v>141</v>
      </c>
      <c r="O474" t="s">
        <v>20</v>
      </c>
      <c r="P474">
        <v>1</v>
      </c>
      <c r="Q474" s="17">
        <v>1</v>
      </c>
      <c r="R474">
        <v>1</v>
      </c>
      <c r="S474">
        <v>0</v>
      </c>
      <c r="T474">
        <v>0</v>
      </c>
      <c r="U474">
        <v>999999999</v>
      </c>
      <c r="V474">
        <v>0.00086386</v>
      </c>
      <c r="W474">
        <v>1</v>
      </c>
      <c r="X474">
        <v>63.63636364</v>
      </c>
      <c r="Y474">
        <v>0.03571429</v>
      </c>
      <c r="Z474">
        <v>0.01571429</v>
      </c>
      <c r="AA474" s="2">
        <v>0</v>
      </c>
      <c r="AB474" s="2">
        <v>0</v>
      </c>
      <c r="AC474" s="2">
        <v>0</v>
      </c>
      <c r="AD474" s="2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</row>
    <row r="475" spans="1:40">
      <c r="A475" t="s">
        <v>131</v>
      </c>
      <c r="B475" t="s">
        <v>274</v>
      </c>
      <c r="C475" t="s">
        <v>275</v>
      </c>
      <c r="D475" t="s">
        <v>276</v>
      </c>
      <c r="E475" t="s">
        <v>135</v>
      </c>
      <c r="F475" t="s">
        <v>50</v>
      </c>
      <c r="G475" t="s">
        <v>277</v>
      </c>
      <c r="H475" t="s">
        <v>278</v>
      </c>
      <c r="I475" t="s">
        <v>328</v>
      </c>
      <c r="J475" t="s">
        <v>148</v>
      </c>
      <c r="K475" t="s">
        <v>93</v>
      </c>
      <c r="L475" t="s">
        <v>329</v>
      </c>
      <c r="M475" t="s">
        <v>25</v>
      </c>
      <c r="N475" t="s">
        <v>141</v>
      </c>
      <c r="O475" t="s">
        <v>20</v>
      </c>
      <c r="P475">
        <v>1</v>
      </c>
      <c r="Q475" s="17">
        <v>1</v>
      </c>
      <c r="R475">
        <v>1</v>
      </c>
      <c r="S475">
        <v>0</v>
      </c>
      <c r="T475">
        <v>0</v>
      </c>
      <c r="U475">
        <v>35</v>
      </c>
      <c r="V475">
        <v>0.00069583</v>
      </c>
      <c r="W475">
        <v>1</v>
      </c>
      <c r="X475">
        <v>21.3740458</v>
      </c>
      <c r="Y475">
        <v>0.07142857</v>
      </c>
      <c r="Z475">
        <v>0.04678571</v>
      </c>
      <c r="AA475" s="2">
        <v>0</v>
      </c>
      <c r="AB475" s="2">
        <v>0</v>
      </c>
      <c r="AC475" s="2">
        <v>1</v>
      </c>
      <c r="AD475" s="2">
        <v>2</v>
      </c>
      <c r="AE475">
        <v>0</v>
      </c>
      <c r="AF475">
        <v>0</v>
      </c>
      <c r="AG475">
        <v>0</v>
      </c>
      <c r="AH475">
        <v>0</v>
      </c>
      <c r="AI475">
        <v>0.36</v>
      </c>
      <c r="AJ475">
        <v>0</v>
      </c>
      <c r="AK475">
        <v>0</v>
      </c>
      <c r="AL475">
        <v>2</v>
      </c>
      <c r="AM475">
        <v>0</v>
      </c>
      <c r="AN475">
        <v>0</v>
      </c>
    </row>
    <row r="476" spans="1:40">
      <c r="A476" t="s">
        <v>131</v>
      </c>
      <c r="B476" t="s">
        <v>259</v>
      </c>
      <c r="C476" t="s">
        <v>260</v>
      </c>
      <c r="D476" t="s">
        <v>261</v>
      </c>
      <c r="E476" t="s">
        <v>135</v>
      </c>
      <c r="F476" t="s">
        <v>43</v>
      </c>
      <c r="G476" t="s">
        <v>262</v>
      </c>
      <c r="H476" t="s">
        <v>263</v>
      </c>
      <c r="I476" t="s">
        <v>311</v>
      </c>
      <c r="J476" t="s">
        <v>139</v>
      </c>
      <c r="K476" t="s">
        <v>57</v>
      </c>
      <c r="L476" t="s">
        <v>312</v>
      </c>
      <c r="M476" t="s">
        <v>25</v>
      </c>
      <c r="N476" t="s">
        <v>141</v>
      </c>
      <c r="O476" t="s">
        <v>20</v>
      </c>
      <c r="P476">
        <v>1</v>
      </c>
      <c r="Q476" s="17">
        <v>1</v>
      </c>
      <c r="R476">
        <v>1</v>
      </c>
      <c r="S476">
        <v>0</v>
      </c>
      <c r="T476">
        <v>0</v>
      </c>
      <c r="U476">
        <v>37</v>
      </c>
      <c r="V476">
        <v>0.00077437</v>
      </c>
      <c r="W476">
        <v>1</v>
      </c>
      <c r="X476">
        <v>33.73493976</v>
      </c>
      <c r="Y476">
        <v>0.03571429</v>
      </c>
      <c r="Z476">
        <v>0.02964286</v>
      </c>
      <c r="AA476" s="2">
        <v>0</v>
      </c>
      <c r="AB476" s="2">
        <v>1</v>
      </c>
      <c r="AC476" s="2">
        <v>1</v>
      </c>
      <c r="AD476" s="2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</row>
    <row r="477" spans="1:40">
      <c r="A477" t="s">
        <v>131</v>
      </c>
      <c r="B477" t="s">
        <v>259</v>
      </c>
      <c r="C477" t="s">
        <v>260</v>
      </c>
      <c r="D477" t="s">
        <v>261</v>
      </c>
      <c r="E477" t="s">
        <v>135</v>
      </c>
      <c r="F477" t="s">
        <v>43</v>
      </c>
      <c r="G477" t="s">
        <v>262</v>
      </c>
      <c r="H477" t="s">
        <v>263</v>
      </c>
      <c r="I477" t="s">
        <v>217</v>
      </c>
      <c r="J477" t="s">
        <v>148</v>
      </c>
      <c r="K477" t="s">
        <v>84</v>
      </c>
      <c r="L477" t="s">
        <v>218</v>
      </c>
      <c r="M477" t="s">
        <v>25</v>
      </c>
      <c r="N477" t="s">
        <v>141</v>
      </c>
      <c r="O477" t="s">
        <v>20</v>
      </c>
      <c r="P477">
        <v>1</v>
      </c>
      <c r="Q477" s="17">
        <v>1</v>
      </c>
      <c r="R477">
        <v>1</v>
      </c>
      <c r="S477">
        <v>0</v>
      </c>
      <c r="T477">
        <v>0</v>
      </c>
      <c r="U477">
        <v>13.66666667</v>
      </c>
      <c r="V477">
        <v>-0.00085149</v>
      </c>
      <c r="W477">
        <v>1</v>
      </c>
      <c r="X477">
        <v>7.08860759</v>
      </c>
      <c r="Y477">
        <v>0.25</v>
      </c>
      <c r="Z477">
        <v>0.14107143</v>
      </c>
      <c r="AA477" s="2">
        <v>1</v>
      </c>
      <c r="AB477" s="2">
        <v>3</v>
      </c>
      <c r="AC477" s="2">
        <v>4</v>
      </c>
      <c r="AD477" s="2">
        <v>7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4</v>
      </c>
      <c r="AM477">
        <v>0</v>
      </c>
      <c r="AN477">
        <v>0</v>
      </c>
    </row>
    <row r="478" spans="1:40">
      <c r="A478" t="s">
        <v>131</v>
      </c>
      <c r="B478" t="s">
        <v>259</v>
      </c>
      <c r="C478" t="s">
        <v>260</v>
      </c>
      <c r="D478" t="s">
        <v>261</v>
      </c>
      <c r="E478" t="s">
        <v>135</v>
      </c>
      <c r="F478" t="s">
        <v>43</v>
      </c>
      <c r="G478" t="s">
        <v>262</v>
      </c>
      <c r="H478" t="s">
        <v>263</v>
      </c>
      <c r="I478" t="s">
        <v>339</v>
      </c>
      <c r="J478" t="s">
        <v>148</v>
      </c>
      <c r="K478" t="s">
        <v>90</v>
      </c>
      <c r="L478" t="s">
        <v>340</v>
      </c>
      <c r="M478" t="s">
        <v>25</v>
      </c>
      <c r="N478" t="s">
        <v>141</v>
      </c>
      <c r="O478" t="s">
        <v>20</v>
      </c>
      <c r="P478">
        <v>1</v>
      </c>
      <c r="Q478" s="17">
        <v>1</v>
      </c>
      <c r="R478">
        <v>1</v>
      </c>
      <c r="S478">
        <v>0</v>
      </c>
      <c r="T478">
        <v>0</v>
      </c>
      <c r="U478">
        <v>16.5</v>
      </c>
      <c r="V478">
        <v>-6.126e-5</v>
      </c>
      <c r="W478">
        <v>1</v>
      </c>
      <c r="X478">
        <v>33.33333333</v>
      </c>
      <c r="Y478">
        <v>0.07142857</v>
      </c>
      <c r="Z478">
        <v>0.03</v>
      </c>
      <c r="AA478" s="2">
        <v>0</v>
      </c>
      <c r="AB478" s="2">
        <v>0</v>
      </c>
      <c r="AC478" s="2">
        <v>0</v>
      </c>
      <c r="AD478" s="2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</row>
    <row r="479" spans="1:40">
      <c r="A479" t="s">
        <v>131</v>
      </c>
      <c r="B479" t="s">
        <v>259</v>
      </c>
      <c r="C479" t="s">
        <v>260</v>
      </c>
      <c r="D479" t="s">
        <v>261</v>
      </c>
      <c r="E479" t="s">
        <v>135</v>
      </c>
      <c r="F479" t="s">
        <v>43</v>
      </c>
      <c r="G479" t="s">
        <v>262</v>
      </c>
      <c r="H479" t="s">
        <v>263</v>
      </c>
      <c r="I479" t="s">
        <v>230</v>
      </c>
      <c r="J479" t="s">
        <v>148</v>
      </c>
      <c r="K479" t="s">
        <v>91</v>
      </c>
      <c r="L479" t="s">
        <v>231</v>
      </c>
      <c r="M479" t="s">
        <v>25</v>
      </c>
      <c r="N479" t="s">
        <v>141</v>
      </c>
      <c r="O479" t="s">
        <v>20</v>
      </c>
      <c r="P479">
        <v>1</v>
      </c>
      <c r="Q479" s="17">
        <v>1</v>
      </c>
      <c r="R479">
        <v>1</v>
      </c>
      <c r="S479">
        <v>0</v>
      </c>
      <c r="T479">
        <v>0</v>
      </c>
      <c r="U479">
        <v>24.5</v>
      </c>
      <c r="V479">
        <v>0.00056706</v>
      </c>
      <c r="W479">
        <v>1</v>
      </c>
      <c r="X479">
        <v>33.33333333</v>
      </c>
      <c r="Y479">
        <v>0.10714286</v>
      </c>
      <c r="Z479">
        <v>0.03</v>
      </c>
      <c r="AA479" s="2">
        <v>0</v>
      </c>
      <c r="AB479" s="2">
        <v>1</v>
      </c>
      <c r="AC479" s="2">
        <v>2</v>
      </c>
      <c r="AD479" s="2">
        <v>3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</row>
    <row r="480" spans="1:40">
      <c r="A480" t="s">
        <v>131</v>
      </c>
      <c r="B480" t="s">
        <v>259</v>
      </c>
      <c r="C480" t="s">
        <v>260</v>
      </c>
      <c r="D480" t="s">
        <v>261</v>
      </c>
      <c r="E480" t="s">
        <v>135</v>
      </c>
      <c r="F480" t="s">
        <v>43</v>
      </c>
      <c r="G480" t="s">
        <v>262</v>
      </c>
      <c r="H480" t="s">
        <v>263</v>
      </c>
      <c r="I480" t="s">
        <v>349</v>
      </c>
      <c r="J480" t="s">
        <v>148</v>
      </c>
      <c r="K480" t="s">
        <v>47</v>
      </c>
      <c r="L480" t="s">
        <v>350</v>
      </c>
      <c r="M480" t="s">
        <v>25</v>
      </c>
      <c r="N480" t="s">
        <v>141</v>
      </c>
      <c r="O480" t="s">
        <v>20</v>
      </c>
      <c r="P480">
        <v>1</v>
      </c>
      <c r="Q480" s="17">
        <v>1</v>
      </c>
      <c r="R480">
        <v>1</v>
      </c>
      <c r="S480">
        <v>0</v>
      </c>
      <c r="T480">
        <v>0</v>
      </c>
      <c r="U480">
        <v>40</v>
      </c>
      <c r="V480">
        <v>0.00089217</v>
      </c>
      <c r="W480">
        <v>1</v>
      </c>
      <c r="X480">
        <v>90.32258065</v>
      </c>
      <c r="Y480">
        <v>0.03571429</v>
      </c>
      <c r="Z480">
        <v>0.01107143</v>
      </c>
      <c r="AA480" s="2">
        <v>0</v>
      </c>
      <c r="AB480" s="2">
        <v>1</v>
      </c>
      <c r="AC480" s="2">
        <v>1</v>
      </c>
      <c r="AD480" s="2">
        <v>1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</row>
    <row r="481" spans="1:40">
      <c r="A481" t="s">
        <v>131</v>
      </c>
      <c r="B481" t="s">
        <v>259</v>
      </c>
      <c r="C481" t="s">
        <v>260</v>
      </c>
      <c r="D481" t="s">
        <v>261</v>
      </c>
      <c r="E481" t="s">
        <v>135</v>
      </c>
      <c r="F481" t="s">
        <v>43</v>
      </c>
      <c r="G481" t="s">
        <v>262</v>
      </c>
      <c r="H481" t="s">
        <v>263</v>
      </c>
      <c r="I481" t="s">
        <v>175</v>
      </c>
      <c r="J481" t="s">
        <v>139</v>
      </c>
      <c r="K481" t="s">
        <v>74</v>
      </c>
      <c r="L481" t="s">
        <v>176</v>
      </c>
      <c r="M481" t="s">
        <v>25</v>
      </c>
      <c r="N481" t="s">
        <v>141</v>
      </c>
      <c r="O481" t="s">
        <v>20</v>
      </c>
      <c r="P481">
        <v>1</v>
      </c>
      <c r="Q481" s="17">
        <v>1</v>
      </c>
      <c r="R481">
        <v>1</v>
      </c>
      <c r="S481">
        <v>0</v>
      </c>
      <c r="T481">
        <v>0</v>
      </c>
      <c r="U481">
        <v>19.5</v>
      </c>
      <c r="V481">
        <v>0.00017436</v>
      </c>
      <c r="W481">
        <v>1</v>
      </c>
      <c r="X481">
        <v>23.72881356</v>
      </c>
      <c r="Y481">
        <v>0.10714286</v>
      </c>
      <c r="Z481">
        <v>0.04214286</v>
      </c>
      <c r="AA481" s="2">
        <v>0</v>
      </c>
      <c r="AB481" s="2">
        <v>0</v>
      </c>
      <c r="AC481" s="2">
        <v>1</v>
      </c>
      <c r="AD481" s="2">
        <v>3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</row>
    <row r="482" spans="1:40">
      <c r="A482" t="s">
        <v>131</v>
      </c>
      <c r="B482" t="s">
        <v>132</v>
      </c>
      <c r="C482" t="s">
        <v>133</v>
      </c>
      <c r="D482" t="s">
        <v>134</v>
      </c>
      <c r="E482" t="s">
        <v>135</v>
      </c>
      <c r="F482" t="s">
        <v>66</v>
      </c>
      <c r="G482" t="s">
        <v>136</v>
      </c>
      <c r="H482" t="s">
        <v>137</v>
      </c>
      <c r="I482" t="s">
        <v>196</v>
      </c>
      <c r="J482" t="s">
        <v>197</v>
      </c>
      <c r="K482" t="s">
        <v>96</v>
      </c>
      <c r="L482" t="s">
        <v>198</v>
      </c>
      <c r="M482" t="s">
        <v>25</v>
      </c>
      <c r="N482" t="s">
        <v>141</v>
      </c>
      <c r="P482">
        <v>0</v>
      </c>
      <c r="Q482" s="17">
        <v>0</v>
      </c>
      <c r="R482">
        <v>0</v>
      </c>
      <c r="S482">
        <v>0</v>
      </c>
      <c r="T482">
        <v>0</v>
      </c>
      <c r="U482">
        <v>-99</v>
      </c>
      <c r="W482">
        <v>0</v>
      </c>
      <c r="X482">
        <v>-99</v>
      </c>
      <c r="Y482">
        <v>0</v>
      </c>
      <c r="AA482" s="2">
        <v>0</v>
      </c>
      <c r="AB482" s="2">
        <v>0</v>
      </c>
      <c r="AC482" s="2">
        <v>0</v>
      </c>
      <c r="AD482" s="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2320</v>
      </c>
      <c r="AN482">
        <v>0</v>
      </c>
    </row>
    <row r="483" spans="1:40">
      <c r="A483" t="s">
        <v>131</v>
      </c>
      <c r="B483" t="s">
        <v>252</v>
      </c>
      <c r="C483" t="s">
        <v>253</v>
      </c>
      <c r="D483" t="s">
        <v>254</v>
      </c>
      <c r="E483" t="s">
        <v>135</v>
      </c>
      <c r="F483" t="s">
        <v>40</v>
      </c>
      <c r="G483" t="s">
        <v>255</v>
      </c>
      <c r="H483" t="s">
        <v>256</v>
      </c>
      <c r="I483" t="s">
        <v>339</v>
      </c>
      <c r="J483" t="s">
        <v>148</v>
      </c>
      <c r="K483" t="s">
        <v>90</v>
      </c>
      <c r="L483" t="s">
        <v>340</v>
      </c>
      <c r="M483" t="s">
        <v>25</v>
      </c>
      <c r="N483" t="s">
        <v>141</v>
      </c>
      <c r="O483" t="s">
        <v>18</v>
      </c>
      <c r="P483">
        <v>0</v>
      </c>
      <c r="Q483" s="17">
        <v>0</v>
      </c>
      <c r="R483">
        <v>0</v>
      </c>
      <c r="S483">
        <v>0</v>
      </c>
      <c r="T483">
        <v>0</v>
      </c>
      <c r="U483">
        <v>999999999</v>
      </c>
      <c r="V483">
        <v>0</v>
      </c>
      <c r="W483">
        <v>0</v>
      </c>
      <c r="X483">
        <v>-99</v>
      </c>
      <c r="Y483">
        <v>0</v>
      </c>
      <c r="AA483" s="2">
        <v>0</v>
      </c>
      <c r="AB483" s="2">
        <v>0</v>
      </c>
      <c r="AC483" s="2">
        <v>0</v>
      </c>
      <c r="AD483" s="2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</row>
    <row r="484" spans="1:40">
      <c r="A484" t="s">
        <v>131</v>
      </c>
      <c r="B484" t="s">
        <v>364</v>
      </c>
      <c r="C484" t="s">
        <v>365</v>
      </c>
      <c r="D484" t="s">
        <v>366</v>
      </c>
      <c r="E484" t="s">
        <v>135</v>
      </c>
      <c r="F484" t="s">
        <v>85</v>
      </c>
      <c r="G484" t="s">
        <v>367</v>
      </c>
      <c r="H484" t="s">
        <v>368</v>
      </c>
      <c r="I484" t="s">
        <v>217</v>
      </c>
      <c r="J484" t="s">
        <v>148</v>
      </c>
      <c r="K484" t="s">
        <v>84</v>
      </c>
      <c r="L484" t="s">
        <v>218</v>
      </c>
      <c r="M484" t="s">
        <v>25</v>
      </c>
      <c r="N484" t="s">
        <v>141</v>
      </c>
      <c r="O484" t="s">
        <v>18</v>
      </c>
      <c r="P484">
        <v>0</v>
      </c>
      <c r="Q484" s="17">
        <v>0</v>
      </c>
      <c r="R484">
        <v>0</v>
      </c>
      <c r="S484">
        <v>0</v>
      </c>
      <c r="T484">
        <v>0</v>
      </c>
      <c r="U484">
        <v>999999999</v>
      </c>
      <c r="V484">
        <v>0</v>
      </c>
      <c r="W484">
        <v>0</v>
      </c>
      <c r="X484">
        <v>-99</v>
      </c>
      <c r="Y484">
        <v>0</v>
      </c>
      <c r="AA484" s="2">
        <v>0</v>
      </c>
      <c r="AB484" s="2">
        <v>0</v>
      </c>
      <c r="AC484" s="2">
        <v>0</v>
      </c>
      <c r="AD484" s="2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</row>
    <row r="485" spans="1:40">
      <c r="A485" t="s">
        <v>131</v>
      </c>
      <c r="B485" t="s">
        <v>364</v>
      </c>
      <c r="C485" t="s">
        <v>365</v>
      </c>
      <c r="D485" t="s">
        <v>366</v>
      </c>
      <c r="E485" t="s">
        <v>135</v>
      </c>
      <c r="F485" t="s">
        <v>85</v>
      </c>
      <c r="G485" t="s">
        <v>367</v>
      </c>
      <c r="H485" t="s">
        <v>368</v>
      </c>
      <c r="I485" t="s">
        <v>138</v>
      </c>
      <c r="J485" t="s">
        <v>139</v>
      </c>
      <c r="K485" t="s">
        <v>97</v>
      </c>
      <c r="L485" t="s">
        <v>140</v>
      </c>
      <c r="M485" t="s">
        <v>25</v>
      </c>
      <c r="N485" t="s">
        <v>141</v>
      </c>
      <c r="O485" t="s">
        <v>18</v>
      </c>
      <c r="P485">
        <v>0</v>
      </c>
      <c r="Q485" s="17">
        <v>0</v>
      </c>
      <c r="R485">
        <v>0</v>
      </c>
      <c r="S485">
        <v>0</v>
      </c>
      <c r="T485">
        <v>0</v>
      </c>
      <c r="U485">
        <v>999999999</v>
      </c>
      <c r="V485">
        <v>0</v>
      </c>
      <c r="W485">
        <v>0</v>
      </c>
      <c r="X485">
        <v>-99</v>
      </c>
      <c r="Y485">
        <v>0</v>
      </c>
      <c r="AA485" s="2">
        <v>0</v>
      </c>
      <c r="AB485" s="2">
        <v>0</v>
      </c>
      <c r="AC485" s="2">
        <v>0</v>
      </c>
      <c r="AD485" s="2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</row>
    <row r="486" spans="1:40">
      <c r="A486" t="s">
        <v>131</v>
      </c>
      <c r="B486" t="s">
        <v>224</v>
      </c>
      <c r="C486" t="s">
        <v>225</v>
      </c>
      <c r="D486" t="s">
        <v>226</v>
      </c>
      <c r="E486" t="s">
        <v>227</v>
      </c>
      <c r="F486" t="s">
        <v>68</v>
      </c>
      <c r="G486" t="s">
        <v>228</v>
      </c>
      <c r="H486" t="s">
        <v>229</v>
      </c>
      <c r="I486" t="s">
        <v>150</v>
      </c>
      <c r="J486" t="s">
        <v>148</v>
      </c>
      <c r="K486" t="s">
        <v>83</v>
      </c>
      <c r="L486" t="s">
        <v>151</v>
      </c>
      <c r="M486" t="s">
        <v>25</v>
      </c>
      <c r="N486" t="s">
        <v>141</v>
      </c>
      <c r="O486" t="s">
        <v>70</v>
      </c>
      <c r="P486">
        <v>0</v>
      </c>
      <c r="Q486" s="17">
        <v>0</v>
      </c>
      <c r="R486">
        <v>0</v>
      </c>
      <c r="S486">
        <v>0</v>
      </c>
      <c r="T486">
        <v>0</v>
      </c>
      <c r="U486">
        <v>4</v>
      </c>
      <c r="V486">
        <v>-0.00312949</v>
      </c>
      <c r="W486">
        <v>0</v>
      </c>
      <c r="X486">
        <v>999999999</v>
      </c>
      <c r="Y486">
        <v>0.28571429</v>
      </c>
      <c r="Z486">
        <v>0</v>
      </c>
      <c r="AA486" s="2">
        <v>0</v>
      </c>
      <c r="AB486" s="2">
        <v>0</v>
      </c>
      <c r="AC486" s="2">
        <v>0</v>
      </c>
      <c r="AD486" s="2">
        <v>8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</row>
    <row r="487" spans="1:40">
      <c r="A487" t="s">
        <v>131</v>
      </c>
      <c r="B487" t="s">
        <v>369</v>
      </c>
      <c r="C487" t="s">
        <v>370</v>
      </c>
      <c r="D487" t="s">
        <v>371</v>
      </c>
      <c r="E487" t="s">
        <v>372</v>
      </c>
      <c r="F487" t="s">
        <v>73</v>
      </c>
      <c r="G487" t="s">
        <v>373</v>
      </c>
      <c r="H487" t="s">
        <v>374</v>
      </c>
      <c r="I487" t="s">
        <v>177</v>
      </c>
      <c r="J487" t="s">
        <v>148</v>
      </c>
      <c r="K487" t="s">
        <v>69</v>
      </c>
      <c r="L487" t="s">
        <v>178</v>
      </c>
      <c r="M487" t="s">
        <v>25</v>
      </c>
      <c r="N487" t="s">
        <v>141</v>
      </c>
      <c r="O487" t="s">
        <v>18</v>
      </c>
      <c r="P487">
        <v>0</v>
      </c>
      <c r="Q487" s="17">
        <v>0</v>
      </c>
      <c r="R487">
        <v>0</v>
      </c>
      <c r="S487">
        <v>0</v>
      </c>
      <c r="T487">
        <v>0</v>
      </c>
      <c r="U487">
        <v>999999999</v>
      </c>
      <c r="V487">
        <v>0</v>
      </c>
      <c r="W487">
        <v>0</v>
      </c>
      <c r="X487">
        <v>-99</v>
      </c>
      <c r="Y487">
        <v>0</v>
      </c>
      <c r="AA487" s="2">
        <v>0</v>
      </c>
      <c r="AB487" s="2">
        <v>0</v>
      </c>
      <c r="AC487" s="2">
        <v>0</v>
      </c>
      <c r="AD487" s="2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</row>
    <row r="488" spans="1:40">
      <c r="A488" t="s">
        <v>131</v>
      </c>
      <c r="B488" t="s">
        <v>282</v>
      </c>
      <c r="C488" t="s">
        <v>283</v>
      </c>
      <c r="D488" t="s">
        <v>284</v>
      </c>
      <c r="E488" t="s">
        <v>285</v>
      </c>
      <c r="F488" t="s">
        <v>38</v>
      </c>
      <c r="G488" t="s">
        <v>286</v>
      </c>
      <c r="H488" t="s">
        <v>287</v>
      </c>
      <c r="I488" t="s">
        <v>196</v>
      </c>
      <c r="J488" t="s">
        <v>197</v>
      </c>
      <c r="K488" t="s">
        <v>96</v>
      </c>
      <c r="L488" t="s">
        <v>198</v>
      </c>
      <c r="M488" t="s">
        <v>25</v>
      </c>
      <c r="N488" t="s">
        <v>141</v>
      </c>
      <c r="P488">
        <v>0</v>
      </c>
      <c r="Q488" s="17">
        <v>0</v>
      </c>
      <c r="R488">
        <v>0</v>
      </c>
      <c r="S488">
        <v>0</v>
      </c>
      <c r="T488">
        <v>0</v>
      </c>
      <c r="U488">
        <v>-99</v>
      </c>
      <c r="W488">
        <v>0</v>
      </c>
      <c r="X488">
        <v>-99</v>
      </c>
      <c r="Y488">
        <v>0</v>
      </c>
      <c r="AA488" s="2">
        <v>0</v>
      </c>
      <c r="AB488" s="2">
        <v>0</v>
      </c>
      <c r="AC488" s="2">
        <v>0</v>
      </c>
      <c r="AD488" s="2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180</v>
      </c>
      <c r="AN488">
        <v>0</v>
      </c>
    </row>
    <row r="489" spans="1:40">
      <c r="A489" t="s">
        <v>131</v>
      </c>
      <c r="B489" t="s">
        <v>298</v>
      </c>
      <c r="C489" t="s">
        <v>299</v>
      </c>
      <c r="D489" t="s">
        <v>300</v>
      </c>
      <c r="E489" t="s">
        <v>135</v>
      </c>
      <c r="F489" t="s">
        <v>77</v>
      </c>
      <c r="G489" t="s">
        <v>301</v>
      </c>
      <c r="H489" t="s">
        <v>302</v>
      </c>
      <c r="I489" t="s">
        <v>215</v>
      </c>
      <c r="J489" t="s">
        <v>148</v>
      </c>
      <c r="K489" t="s">
        <v>76</v>
      </c>
      <c r="L489" t="s">
        <v>216</v>
      </c>
      <c r="M489" t="s">
        <v>25</v>
      </c>
      <c r="N489" t="s">
        <v>141</v>
      </c>
      <c r="O489" t="s">
        <v>18</v>
      </c>
      <c r="P489">
        <v>0</v>
      </c>
      <c r="Q489" s="17">
        <v>0</v>
      </c>
      <c r="R489">
        <v>0</v>
      </c>
      <c r="S489">
        <v>0</v>
      </c>
      <c r="T489">
        <v>0</v>
      </c>
      <c r="U489">
        <v>999999999</v>
      </c>
      <c r="V489">
        <v>0</v>
      </c>
      <c r="W489">
        <v>0</v>
      </c>
      <c r="X489">
        <v>-99</v>
      </c>
      <c r="Y489">
        <v>0</v>
      </c>
      <c r="AA489" s="2">
        <v>0</v>
      </c>
      <c r="AB489" s="2">
        <v>0</v>
      </c>
      <c r="AC489" s="2">
        <v>0</v>
      </c>
      <c r="AD489" s="2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</row>
    <row r="490" spans="1:40">
      <c r="A490" t="s">
        <v>131</v>
      </c>
      <c r="B490" t="s">
        <v>298</v>
      </c>
      <c r="C490" t="s">
        <v>299</v>
      </c>
      <c r="D490" t="s">
        <v>300</v>
      </c>
      <c r="E490" t="s">
        <v>135</v>
      </c>
      <c r="F490" t="s">
        <v>77</v>
      </c>
      <c r="G490" t="s">
        <v>301</v>
      </c>
      <c r="H490" t="s">
        <v>302</v>
      </c>
      <c r="I490" t="s">
        <v>196</v>
      </c>
      <c r="J490" t="s">
        <v>197</v>
      </c>
      <c r="K490" t="s">
        <v>96</v>
      </c>
      <c r="L490" t="s">
        <v>198</v>
      </c>
      <c r="M490" t="s">
        <v>25</v>
      </c>
      <c r="N490" t="s">
        <v>141</v>
      </c>
      <c r="P490">
        <v>0</v>
      </c>
      <c r="Q490" s="17">
        <v>0</v>
      </c>
      <c r="R490">
        <v>0</v>
      </c>
      <c r="S490">
        <v>0</v>
      </c>
      <c r="T490">
        <v>0</v>
      </c>
      <c r="U490">
        <v>-99</v>
      </c>
      <c r="W490">
        <v>0</v>
      </c>
      <c r="X490">
        <v>-99</v>
      </c>
      <c r="Y490">
        <v>0</v>
      </c>
      <c r="AA490" s="2">
        <v>0</v>
      </c>
      <c r="AB490" s="2">
        <v>0</v>
      </c>
      <c r="AC490" s="2">
        <v>0</v>
      </c>
      <c r="AD490" s="2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22</v>
      </c>
      <c r="AN490">
        <v>0</v>
      </c>
    </row>
    <row r="491" spans="1:40">
      <c r="A491" t="s">
        <v>131</v>
      </c>
      <c r="B491" t="s">
        <v>232</v>
      </c>
      <c r="C491" t="s">
        <v>233</v>
      </c>
      <c r="D491" t="s">
        <v>234</v>
      </c>
      <c r="E491" t="s">
        <v>135</v>
      </c>
      <c r="F491" t="s">
        <v>23</v>
      </c>
      <c r="G491" t="s">
        <v>235</v>
      </c>
      <c r="H491" t="s">
        <v>236</v>
      </c>
      <c r="I491" t="s">
        <v>307</v>
      </c>
      <c r="J491" t="s">
        <v>280</v>
      </c>
      <c r="K491" t="s">
        <v>37</v>
      </c>
      <c r="L491" t="s">
        <v>308</v>
      </c>
      <c r="M491" t="s">
        <v>17</v>
      </c>
      <c r="N491" t="s">
        <v>141</v>
      </c>
      <c r="O491" t="s">
        <v>18</v>
      </c>
      <c r="P491">
        <v>0</v>
      </c>
      <c r="Q491" s="17">
        <v>0</v>
      </c>
      <c r="R491">
        <v>0</v>
      </c>
      <c r="S491">
        <v>0</v>
      </c>
      <c r="T491">
        <v>0</v>
      </c>
      <c r="U491">
        <v>999999999</v>
      </c>
      <c r="V491">
        <v>0</v>
      </c>
      <c r="W491">
        <v>0</v>
      </c>
      <c r="X491">
        <v>-99</v>
      </c>
      <c r="Y491">
        <v>0</v>
      </c>
      <c r="AA491" s="2">
        <v>0</v>
      </c>
      <c r="AB491" s="2">
        <v>0</v>
      </c>
      <c r="AC491" s="2">
        <v>0</v>
      </c>
      <c r="AD491" s="2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</row>
    <row r="492" spans="1:40">
      <c r="A492" t="s">
        <v>131</v>
      </c>
      <c r="B492" t="s">
        <v>269</v>
      </c>
      <c r="C492" t="s">
        <v>270</v>
      </c>
      <c r="D492" t="s">
        <v>271</v>
      </c>
      <c r="E492" t="s">
        <v>135</v>
      </c>
      <c r="F492" t="s">
        <v>60</v>
      </c>
      <c r="G492" t="s">
        <v>272</v>
      </c>
      <c r="H492" t="s">
        <v>273</v>
      </c>
      <c r="I492" t="s">
        <v>177</v>
      </c>
      <c r="J492" t="s">
        <v>148</v>
      </c>
      <c r="K492" t="s">
        <v>69</v>
      </c>
      <c r="L492" t="s">
        <v>178</v>
      </c>
      <c r="M492" t="s">
        <v>17</v>
      </c>
      <c r="N492" t="s">
        <v>141</v>
      </c>
      <c r="O492" t="s">
        <v>70</v>
      </c>
      <c r="P492">
        <v>0</v>
      </c>
      <c r="Q492" s="17">
        <v>0</v>
      </c>
      <c r="R492">
        <v>0</v>
      </c>
      <c r="S492">
        <v>0</v>
      </c>
      <c r="T492">
        <v>0</v>
      </c>
      <c r="U492">
        <v>10.66666667</v>
      </c>
      <c r="V492">
        <v>-0.00623823</v>
      </c>
      <c r="W492">
        <v>0</v>
      </c>
      <c r="X492">
        <v>999999999</v>
      </c>
      <c r="Y492">
        <v>1.14285714</v>
      </c>
      <c r="Z492">
        <v>0</v>
      </c>
      <c r="AA492" s="2">
        <v>0</v>
      </c>
      <c r="AB492" s="2">
        <v>4</v>
      </c>
      <c r="AC492" s="2">
        <v>21</v>
      </c>
      <c r="AD492" s="2">
        <v>32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47</v>
      </c>
      <c r="AN492">
        <v>0</v>
      </c>
    </row>
    <row r="493" spans="1:40">
      <c r="A493" t="s">
        <v>131</v>
      </c>
      <c r="B493" t="s">
        <v>269</v>
      </c>
      <c r="C493" t="s">
        <v>270</v>
      </c>
      <c r="D493" t="s">
        <v>271</v>
      </c>
      <c r="E493" t="s">
        <v>135</v>
      </c>
      <c r="F493" t="s">
        <v>60</v>
      </c>
      <c r="G493" t="s">
        <v>272</v>
      </c>
      <c r="H493" t="s">
        <v>273</v>
      </c>
      <c r="I493" t="s">
        <v>152</v>
      </c>
      <c r="J493" t="s">
        <v>148</v>
      </c>
      <c r="K493" t="s">
        <v>79</v>
      </c>
      <c r="L493" t="s">
        <v>153</v>
      </c>
      <c r="M493" t="s">
        <v>17</v>
      </c>
      <c r="N493" t="s">
        <v>141</v>
      </c>
      <c r="O493" t="s">
        <v>70</v>
      </c>
      <c r="P493">
        <v>0</v>
      </c>
      <c r="Q493" s="17">
        <v>0</v>
      </c>
      <c r="R493">
        <v>0</v>
      </c>
      <c r="S493">
        <v>0</v>
      </c>
      <c r="T493">
        <v>0</v>
      </c>
      <c r="U493">
        <v>7.66666667</v>
      </c>
      <c r="V493">
        <v>-0.01929015</v>
      </c>
      <c r="W493">
        <v>0</v>
      </c>
      <c r="X493">
        <v>999999999</v>
      </c>
      <c r="Y493">
        <v>2.28571429</v>
      </c>
      <c r="Z493">
        <v>0</v>
      </c>
      <c r="AA493" s="2">
        <v>0</v>
      </c>
      <c r="AB493" s="2">
        <v>15</v>
      </c>
      <c r="AC493" s="2">
        <v>43</v>
      </c>
      <c r="AD493" s="2">
        <v>67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85</v>
      </c>
      <c r="AN493">
        <v>0</v>
      </c>
    </row>
    <row r="494" spans="1:40">
      <c r="A494" t="s">
        <v>131</v>
      </c>
      <c r="B494" t="s">
        <v>375</v>
      </c>
      <c r="C494" t="s">
        <v>376</v>
      </c>
      <c r="D494" t="s">
        <v>377</v>
      </c>
      <c r="E494" t="s">
        <v>135</v>
      </c>
      <c r="F494" t="s">
        <v>71</v>
      </c>
      <c r="G494" t="s">
        <v>378</v>
      </c>
      <c r="H494" t="s">
        <v>379</v>
      </c>
      <c r="I494" t="s">
        <v>177</v>
      </c>
      <c r="J494" t="s">
        <v>148</v>
      </c>
      <c r="K494" t="s">
        <v>69</v>
      </c>
      <c r="L494" t="s">
        <v>178</v>
      </c>
      <c r="M494" t="s">
        <v>25</v>
      </c>
      <c r="N494" t="s">
        <v>141</v>
      </c>
      <c r="O494" t="s">
        <v>18</v>
      </c>
      <c r="P494">
        <v>0</v>
      </c>
      <c r="Q494" s="17">
        <v>0</v>
      </c>
      <c r="R494">
        <v>0</v>
      </c>
      <c r="S494">
        <v>0</v>
      </c>
      <c r="T494">
        <v>0</v>
      </c>
      <c r="U494">
        <v>999999999</v>
      </c>
      <c r="V494">
        <v>0</v>
      </c>
      <c r="W494">
        <v>0</v>
      </c>
      <c r="X494">
        <v>-99</v>
      </c>
      <c r="Y494">
        <v>0</v>
      </c>
      <c r="AA494" s="2">
        <v>0</v>
      </c>
      <c r="AB494" s="2">
        <v>0</v>
      </c>
      <c r="AC494" s="2">
        <v>0</v>
      </c>
      <c r="AD494" s="2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</row>
    <row r="495" spans="1:40">
      <c r="A495" t="s">
        <v>131</v>
      </c>
      <c r="B495" t="s">
        <v>380</v>
      </c>
      <c r="C495" t="s">
        <v>381</v>
      </c>
      <c r="D495" t="s">
        <v>382</v>
      </c>
      <c r="E495" t="s">
        <v>135</v>
      </c>
      <c r="F495" t="s">
        <v>89</v>
      </c>
      <c r="G495" t="s">
        <v>383</v>
      </c>
      <c r="H495" t="s">
        <v>384</v>
      </c>
      <c r="I495" t="s">
        <v>203</v>
      </c>
      <c r="J495" t="s">
        <v>139</v>
      </c>
      <c r="K495" t="s">
        <v>88</v>
      </c>
      <c r="L495" t="s">
        <v>204</v>
      </c>
      <c r="M495" t="s">
        <v>17</v>
      </c>
      <c r="N495" t="s">
        <v>141</v>
      </c>
      <c r="O495" t="s">
        <v>18</v>
      </c>
      <c r="P495">
        <v>0</v>
      </c>
      <c r="Q495" s="17">
        <v>0</v>
      </c>
      <c r="R495">
        <v>0</v>
      </c>
      <c r="S495">
        <v>0</v>
      </c>
      <c r="T495">
        <v>0</v>
      </c>
      <c r="U495">
        <v>999999999</v>
      </c>
      <c r="V495">
        <v>0</v>
      </c>
      <c r="W495">
        <v>0</v>
      </c>
      <c r="X495">
        <v>-99</v>
      </c>
      <c r="Y495">
        <v>0</v>
      </c>
      <c r="AA495" s="2">
        <v>0</v>
      </c>
      <c r="AB495" s="2">
        <v>0</v>
      </c>
      <c r="AC495" s="2">
        <v>0</v>
      </c>
      <c r="AD495" s="2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</row>
    <row r="496" spans="1:40">
      <c r="A496" t="s">
        <v>131</v>
      </c>
      <c r="B496" t="s">
        <v>242</v>
      </c>
      <c r="C496" t="s">
        <v>243</v>
      </c>
      <c r="D496" t="s">
        <v>244</v>
      </c>
      <c r="E496" t="s">
        <v>135</v>
      </c>
      <c r="F496" t="s">
        <v>24</v>
      </c>
      <c r="G496" t="s">
        <v>245</v>
      </c>
      <c r="H496" t="s">
        <v>246</v>
      </c>
      <c r="I496" t="s">
        <v>177</v>
      </c>
      <c r="J496" t="s">
        <v>148</v>
      </c>
      <c r="K496" t="s">
        <v>69</v>
      </c>
      <c r="L496" t="s">
        <v>178</v>
      </c>
      <c r="M496" t="s">
        <v>25</v>
      </c>
      <c r="N496" t="s">
        <v>141</v>
      </c>
      <c r="O496" t="s">
        <v>52</v>
      </c>
      <c r="P496">
        <v>0</v>
      </c>
      <c r="Q496" s="17">
        <v>0</v>
      </c>
      <c r="R496">
        <v>0</v>
      </c>
      <c r="S496">
        <v>0</v>
      </c>
      <c r="T496">
        <v>0</v>
      </c>
      <c r="U496">
        <v>12.08333333</v>
      </c>
      <c r="V496">
        <v>-0.00490191</v>
      </c>
      <c r="W496">
        <v>0</v>
      </c>
      <c r="X496">
        <v>0</v>
      </c>
      <c r="Y496">
        <v>0.92857143</v>
      </c>
      <c r="Z496">
        <v>1.87357143</v>
      </c>
      <c r="AA496" s="2">
        <v>0</v>
      </c>
      <c r="AB496" s="2">
        <v>1</v>
      </c>
      <c r="AC496" s="2">
        <v>6</v>
      </c>
      <c r="AD496" s="2">
        <v>26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64</v>
      </c>
      <c r="AM496">
        <v>0</v>
      </c>
      <c r="AN496">
        <v>0</v>
      </c>
    </row>
    <row r="497" spans="1:40">
      <c r="A497" t="s">
        <v>131</v>
      </c>
      <c r="B497" t="s">
        <v>242</v>
      </c>
      <c r="C497" t="s">
        <v>243</v>
      </c>
      <c r="D497" t="s">
        <v>244</v>
      </c>
      <c r="E497" t="s">
        <v>135</v>
      </c>
      <c r="F497" t="s">
        <v>24</v>
      </c>
      <c r="G497" t="s">
        <v>245</v>
      </c>
      <c r="H497" t="s">
        <v>246</v>
      </c>
      <c r="I497" t="s">
        <v>196</v>
      </c>
      <c r="J497" t="s">
        <v>197</v>
      </c>
      <c r="K497" t="s">
        <v>96</v>
      </c>
      <c r="L497" t="s">
        <v>198</v>
      </c>
      <c r="M497" t="s">
        <v>25</v>
      </c>
      <c r="N497" t="s">
        <v>141</v>
      </c>
      <c r="P497">
        <v>0</v>
      </c>
      <c r="Q497" s="17">
        <v>0</v>
      </c>
      <c r="R497">
        <v>0</v>
      </c>
      <c r="S497">
        <v>0</v>
      </c>
      <c r="T497">
        <v>0</v>
      </c>
      <c r="U497">
        <v>-99</v>
      </c>
      <c r="W497">
        <v>0</v>
      </c>
      <c r="X497">
        <v>-99</v>
      </c>
      <c r="Y497">
        <v>0</v>
      </c>
      <c r="AA497" s="2">
        <v>0</v>
      </c>
      <c r="AB497" s="2">
        <v>0</v>
      </c>
      <c r="AC497" s="2">
        <v>0</v>
      </c>
      <c r="AD497" s="2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1168</v>
      </c>
      <c r="AN497">
        <v>0</v>
      </c>
    </row>
    <row r="498" spans="1:40">
      <c r="A498" t="s">
        <v>131</v>
      </c>
      <c r="B498" t="s">
        <v>315</v>
      </c>
      <c r="C498" t="s">
        <v>316</v>
      </c>
      <c r="D498" t="s">
        <v>317</v>
      </c>
      <c r="E498" t="s">
        <v>135</v>
      </c>
      <c r="F498" t="s">
        <v>42</v>
      </c>
      <c r="G498" t="s">
        <v>318</v>
      </c>
      <c r="H498" t="s">
        <v>319</v>
      </c>
      <c r="I498" t="s">
        <v>230</v>
      </c>
      <c r="J498" t="s">
        <v>148</v>
      </c>
      <c r="K498" t="s">
        <v>91</v>
      </c>
      <c r="L498" t="s">
        <v>231</v>
      </c>
      <c r="M498" t="s">
        <v>25</v>
      </c>
      <c r="N498" t="s">
        <v>141</v>
      </c>
      <c r="O498" t="s">
        <v>20</v>
      </c>
      <c r="P498">
        <v>0</v>
      </c>
      <c r="Q498" s="17">
        <v>0</v>
      </c>
      <c r="R498">
        <v>0</v>
      </c>
      <c r="S498">
        <v>0</v>
      </c>
      <c r="T498">
        <v>0</v>
      </c>
      <c r="U498">
        <v>10</v>
      </c>
      <c r="V498">
        <v>-0.00057176</v>
      </c>
      <c r="W498">
        <v>0</v>
      </c>
      <c r="X498">
        <v>0</v>
      </c>
      <c r="Y498">
        <v>0.07142857</v>
      </c>
      <c r="Z498">
        <v>0.02642857</v>
      </c>
      <c r="AA498" s="2">
        <v>0</v>
      </c>
      <c r="AB498" s="2">
        <v>1</v>
      </c>
      <c r="AC498" s="2">
        <v>1</v>
      </c>
      <c r="AD498" s="2">
        <v>2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</row>
    <row r="499" spans="1:40">
      <c r="A499" t="s">
        <v>131</v>
      </c>
      <c r="B499" t="s">
        <v>315</v>
      </c>
      <c r="C499" t="s">
        <v>316</v>
      </c>
      <c r="D499" t="s">
        <v>317</v>
      </c>
      <c r="E499" t="s">
        <v>135</v>
      </c>
      <c r="F499" t="s">
        <v>42</v>
      </c>
      <c r="G499" t="s">
        <v>318</v>
      </c>
      <c r="H499" t="s">
        <v>319</v>
      </c>
      <c r="I499" t="s">
        <v>288</v>
      </c>
      <c r="J499" t="s">
        <v>148</v>
      </c>
      <c r="K499" t="s">
        <v>87</v>
      </c>
      <c r="L499" t="s">
        <v>289</v>
      </c>
      <c r="M499" t="s">
        <v>25</v>
      </c>
      <c r="N499" t="s">
        <v>141</v>
      </c>
      <c r="O499" t="s">
        <v>20</v>
      </c>
      <c r="P499">
        <v>0</v>
      </c>
      <c r="Q499" s="17">
        <v>0</v>
      </c>
      <c r="R499">
        <v>0</v>
      </c>
      <c r="S499">
        <v>0</v>
      </c>
      <c r="T499">
        <v>0</v>
      </c>
      <c r="U499">
        <v>10.66666667</v>
      </c>
      <c r="V499">
        <v>-0.00077914</v>
      </c>
      <c r="W499">
        <v>0</v>
      </c>
      <c r="X499">
        <v>0</v>
      </c>
      <c r="Y499">
        <v>0.10714286</v>
      </c>
      <c r="Z499">
        <v>0.03714286</v>
      </c>
      <c r="AA499" s="2">
        <v>0</v>
      </c>
      <c r="AB499" s="2">
        <v>1</v>
      </c>
      <c r="AC499" s="2">
        <v>2</v>
      </c>
      <c r="AD499" s="2">
        <v>3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4</v>
      </c>
      <c r="AM499">
        <v>0</v>
      </c>
      <c r="AN499">
        <v>0</v>
      </c>
    </row>
    <row r="500" spans="1:40">
      <c r="A500" t="s">
        <v>131</v>
      </c>
      <c r="B500" t="s">
        <v>315</v>
      </c>
      <c r="C500" t="s">
        <v>316</v>
      </c>
      <c r="D500" t="s">
        <v>317</v>
      </c>
      <c r="E500" t="s">
        <v>135</v>
      </c>
      <c r="F500" t="s">
        <v>42</v>
      </c>
      <c r="G500" t="s">
        <v>318</v>
      </c>
      <c r="H500" t="s">
        <v>319</v>
      </c>
      <c r="I500" t="s">
        <v>351</v>
      </c>
      <c r="J500" t="s">
        <v>148</v>
      </c>
      <c r="K500" t="s">
        <v>51</v>
      </c>
      <c r="L500" t="s">
        <v>352</v>
      </c>
      <c r="M500" t="s">
        <v>25</v>
      </c>
      <c r="N500" t="s">
        <v>141</v>
      </c>
      <c r="O500" t="s">
        <v>52</v>
      </c>
      <c r="P500">
        <v>0</v>
      </c>
      <c r="Q500" s="17">
        <v>0</v>
      </c>
      <c r="R500">
        <v>0</v>
      </c>
      <c r="S500">
        <v>0</v>
      </c>
      <c r="T500">
        <v>0</v>
      </c>
      <c r="U500">
        <v>32</v>
      </c>
      <c r="V500">
        <v>0.00057803</v>
      </c>
      <c r="W500">
        <v>0</v>
      </c>
      <c r="X500">
        <v>0</v>
      </c>
      <c r="Y500">
        <v>0.03571429</v>
      </c>
      <c r="Z500">
        <v>0.00142857</v>
      </c>
      <c r="AA500" s="2">
        <v>0</v>
      </c>
      <c r="AB500" s="2">
        <v>1</v>
      </c>
      <c r="AC500" s="2">
        <v>1</v>
      </c>
      <c r="AD500" s="2">
        <v>1</v>
      </c>
      <c r="AE500">
        <v>0</v>
      </c>
      <c r="AF500">
        <v>0</v>
      </c>
      <c r="AG500">
        <v>0</v>
      </c>
      <c r="AH500">
        <v>0</v>
      </c>
      <c r="AI500">
        <v>2.98</v>
      </c>
      <c r="AJ500">
        <v>0</v>
      </c>
      <c r="AK500">
        <v>0</v>
      </c>
      <c r="AL500">
        <v>4</v>
      </c>
      <c r="AM500">
        <v>0</v>
      </c>
      <c r="AN500">
        <v>0</v>
      </c>
    </row>
    <row r="501" spans="1:40">
      <c r="A501" t="s">
        <v>131</v>
      </c>
      <c r="B501" t="s">
        <v>264</v>
      </c>
      <c r="C501" t="s">
        <v>265</v>
      </c>
      <c r="D501" t="s">
        <v>266</v>
      </c>
      <c r="E501" t="s">
        <v>135</v>
      </c>
      <c r="F501" t="s">
        <v>53</v>
      </c>
      <c r="G501" t="s">
        <v>267</v>
      </c>
      <c r="H501" t="s">
        <v>268</v>
      </c>
      <c r="I501" t="s">
        <v>217</v>
      </c>
      <c r="J501" t="s">
        <v>148</v>
      </c>
      <c r="K501" t="s">
        <v>84</v>
      </c>
      <c r="L501" t="s">
        <v>218</v>
      </c>
      <c r="M501" t="s">
        <v>25</v>
      </c>
      <c r="N501" t="s">
        <v>141</v>
      </c>
      <c r="O501" t="s">
        <v>20</v>
      </c>
      <c r="P501">
        <v>0</v>
      </c>
      <c r="Q501" s="17">
        <v>0</v>
      </c>
      <c r="R501">
        <v>0</v>
      </c>
      <c r="S501">
        <v>0</v>
      </c>
      <c r="T501">
        <v>0</v>
      </c>
      <c r="U501">
        <v>9.75</v>
      </c>
      <c r="V501">
        <v>-0.00118289</v>
      </c>
      <c r="W501">
        <v>0</v>
      </c>
      <c r="X501">
        <v>0</v>
      </c>
      <c r="Y501">
        <v>0.17857143</v>
      </c>
      <c r="Z501">
        <v>0.15142857</v>
      </c>
      <c r="AA501" s="2">
        <v>0</v>
      </c>
      <c r="AB501" s="2">
        <v>3</v>
      </c>
      <c r="AC501" s="2">
        <v>3</v>
      </c>
      <c r="AD501" s="2">
        <v>6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4</v>
      </c>
      <c r="AM501">
        <v>0</v>
      </c>
      <c r="AN501">
        <v>0</v>
      </c>
    </row>
    <row r="502" spans="1:40">
      <c r="A502" t="s">
        <v>131</v>
      </c>
      <c r="B502" t="s">
        <v>264</v>
      </c>
      <c r="C502" t="s">
        <v>265</v>
      </c>
      <c r="D502" t="s">
        <v>266</v>
      </c>
      <c r="E502" t="s">
        <v>135</v>
      </c>
      <c r="F502" t="s">
        <v>53</v>
      </c>
      <c r="G502" t="s">
        <v>267</v>
      </c>
      <c r="H502" t="s">
        <v>268</v>
      </c>
      <c r="I502" t="s">
        <v>230</v>
      </c>
      <c r="J502" t="s">
        <v>148</v>
      </c>
      <c r="K502" t="s">
        <v>91</v>
      </c>
      <c r="L502" t="s">
        <v>231</v>
      </c>
      <c r="M502" t="s">
        <v>25</v>
      </c>
      <c r="N502" t="s">
        <v>141</v>
      </c>
      <c r="O502" t="s">
        <v>52</v>
      </c>
      <c r="P502">
        <v>0</v>
      </c>
      <c r="Q502" s="17">
        <v>0</v>
      </c>
      <c r="R502">
        <v>0</v>
      </c>
      <c r="S502">
        <v>0</v>
      </c>
      <c r="T502">
        <v>0</v>
      </c>
      <c r="U502">
        <v>7.5</v>
      </c>
      <c r="V502">
        <v>-0.00076811</v>
      </c>
      <c r="W502">
        <v>0</v>
      </c>
      <c r="X502">
        <v>0</v>
      </c>
      <c r="Y502">
        <v>0.07142857</v>
      </c>
      <c r="Z502">
        <v>0.0325</v>
      </c>
      <c r="AA502" s="2">
        <v>0</v>
      </c>
      <c r="AB502" s="2">
        <v>0</v>
      </c>
      <c r="AC502" s="2">
        <v>1</v>
      </c>
      <c r="AD502" s="2">
        <v>2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</row>
    <row r="503" spans="1:40">
      <c r="A503" t="s">
        <v>131</v>
      </c>
      <c r="B503" t="s">
        <v>274</v>
      </c>
      <c r="C503" t="s">
        <v>275</v>
      </c>
      <c r="D503" t="s">
        <v>276</v>
      </c>
      <c r="E503" t="s">
        <v>135</v>
      </c>
      <c r="F503" t="s">
        <v>50</v>
      </c>
      <c r="G503" t="s">
        <v>277</v>
      </c>
      <c r="H503" t="s">
        <v>278</v>
      </c>
      <c r="I503" t="s">
        <v>351</v>
      </c>
      <c r="J503" t="s">
        <v>148</v>
      </c>
      <c r="K503" t="s">
        <v>51</v>
      </c>
      <c r="L503" t="s">
        <v>352</v>
      </c>
      <c r="M503" t="s">
        <v>25</v>
      </c>
      <c r="N503" t="s">
        <v>141</v>
      </c>
      <c r="O503" t="s">
        <v>20</v>
      </c>
      <c r="P503">
        <v>0</v>
      </c>
      <c r="Q503" s="17">
        <v>0</v>
      </c>
      <c r="R503">
        <v>0</v>
      </c>
      <c r="S503">
        <v>0</v>
      </c>
      <c r="T503">
        <v>0</v>
      </c>
      <c r="U503">
        <v>18</v>
      </c>
      <c r="V503">
        <v>5.655e-5</v>
      </c>
      <c r="W503">
        <v>0</v>
      </c>
      <c r="X503">
        <v>0</v>
      </c>
      <c r="Y503">
        <v>0.07142857</v>
      </c>
      <c r="Z503">
        <v>0.00714286</v>
      </c>
      <c r="AA503" s="2">
        <v>0</v>
      </c>
      <c r="AB503" s="2">
        <v>2</v>
      </c>
      <c r="AC503" s="2">
        <v>2</v>
      </c>
      <c r="AD503" s="2">
        <v>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2</v>
      </c>
      <c r="AM503">
        <v>0</v>
      </c>
      <c r="AN503">
        <v>0</v>
      </c>
    </row>
    <row r="504" spans="1:40">
      <c r="A504" t="s">
        <v>131</v>
      </c>
      <c r="B504" t="s">
        <v>259</v>
      </c>
      <c r="C504" t="s">
        <v>260</v>
      </c>
      <c r="D504" t="s">
        <v>261</v>
      </c>
      <c r="E504" t="s">
        <v>135</v>
      </c>
      <c r="F504" t="s">
        <v>43</v>
      </c>
      <c r="G504" t="s">
        <v>262</v>
      </c>
      <c r="H504" t="s">
        <v>263</v>
      </c>
      <c r="I504" t="s">
        <v>345</v>
      </c>
      <c r="J504" t="s">
        <v>148</v>
      </c>
      <c r="K504" t="s">
        <v>54</v>
      </c>
      <c r="L504" t="s">
        <v>346</v>
      </c>
      <c r="M504" t="s">
        <v>25</v>
      </c>
      <c r="N504" t="s">
        <v>141</v>
      </c>
      <c r="O504" t="s">
        <v>52</v>
      </c>
      <c r="P504">
        <v>0</v>
      </c>
      <c r="Q504" s="17">
        <v>0</v>
      </c>
      <c r="R504">
        <v>0</v>
      </c>
      <c r="S504">
        <v>0</v>
      </c>
      <c r="T504">
        <v>0</v>
      </c>
      <c r="U504">
        <v>19</v>
      </c>
      <c r="V504">
        <v>0.00013509</v>
      </c>
      <c r="W504">
        <v>0</v>
      </c>
      <c r="X504">
        <v>0</v>
      </c>
      <c r="Y504">
        <v>0.10714286</v>
      </c>
      <c r="Z504">
        <v>0.01285714</v>
      </c>
      <c r="AA504" s="2">
        <v>0</v>
      </c>
      <c r="AB504" s="2">
        <v>0</v>
      </c>
      <c r="AC504" s="2">
        <v>2</v>
      </c>
      <c r="AD504" s="2">
        <v>3</v>
      </c>
      <c r="AE504">
        <v>0</v>
      </c>
      <c r="AF504">
        <v>0</v>
      </c>
      <c r="AG504">
        <v>0</v>
      </c>
      <c r="AH504">
        <v>0</v>
      </c>
      <c r="AI504">
        <v>0.75</v>
      </c>
      <c r="AJ504">
        <v>0</v>
      </c>
      <c r="AK504">
        <v>0</v>
      </c>
      <c r="AL504">
        <v>4</v>
      </c>
      <c r="AM504">
        <v>0</v>
      </c>
      <c r="AN50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T193"/>
  <sheetViews>
    <sheetView tabSelected="1" zoomScale="80" zoomScaleNormal="80" workbookViewId="0">
      <pane xSplit="3" ySplit="1" topLeftCell="E2" activePane="bottomRight" state="frozen"/>
      <selection/>
      <selection pane="topRight"/>
      <selection pane="bottomLeft"/>
      <selection pane="bottomRight" activeCell="T8" sqref="T8"/>
    </sheetView>
  </sheetViews>
  <sheetFormatPr defaultColWidth="9" defaultRowHeight="14"/>
  <cols>
    <col min="1" max="1" width="14.3727272727273" customWidth="1"/>
    <col min="2" max="2" width="45.8727272727273" customWidth="1"/>
    <col min="3" max="3" width="7.12727272727273" customWidth="1"/>
    <col min="4" max="4" width="5.87272727272727" customWidth="1"/>
    <col min="5" max="5" width="5.5" customWidth="1"/>
    <col min="6" max="7" width="6.25454545454545" customWidth="1"/>
    <col min="10" max="10" width="9" hidden="1" customWidth="1"/>
    <col min="15" max="15" width="11.3727272727273" customWidth="1"/>
    <col min="16" max="16" width="9.88181818181818" style="2" customWidth="1"/>
    <col min="17" max="17" width="6.81818181818182" customWidth="1"/>
    <col min="18" max="18" width="10" style="2" customWidth="1"/>
  </cols>
  <sheetData>
    <row r="1" ht="42" spans="1:19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4" t="s">
        <v>385</v>
      </c>
      <c r="Q1" s="5" t="s">
        <v>386</v>
      </c>
      <c r="R1" s="4" t="s">
        <v>387</v>
      </c>
    </row>
    <row r="2" outlineLevel="3" spans="1:19">
      <c r="A2" s="3" t="s">
        <v>58</v>
      </c>
      <c r="B2" s="3" t="s">
        <v>59</v>
      </c>
      <c r="C2" s="3" t="s">
        <v>17</v>
      </c>
      <c r="D2" s="3" t="s">
        <v>20</v>
      </c>
      <c r="E2" s="4">
        <v>2.5</v>
      </c>
      <c r="F2" s="4">
        <v>1</v>
      </c>
      <c r="G2" s="5">
        <v>0</v>
      </c>
      <c r="H2" s="5">
        <v>0</v>
      </c>
      <c r="I2" s="6">
        <v>118</v>
      </c>
      <c r="J2" s="5">
        <v>118</v>
      </c>
      <c r="K2" s="7">
        <v>1</v>
      </c>
      <c r="L2" s="5">
        <v>9</v>
      </c>
      <c r="M2" s="5">
        <v>30</v>
      </c>
      <c r="N2" s="7">
        <v>45</v>
      </c>
      <c r="O2" s="4">
        <v>136</v>
      </c>
      <c r="P2" s="4">
        <f t="shared" ref="P2:P12" si="0">E2*O2/1000</f>
        <v>0.34</v>
      </c>
      <c r="Q2" s="4"/>
      <c r="R2" s="4">
        <f t="shared" ref="R2:R12" si="1">E2*Q2/1000</f>
        <v>0</v>
      </c>
      <c r="S2" t="s">
        <v>388</v>
      </c>
    </row>
    <row r="3" outlineLevel="2" spans="1:19">
      <c r="A3" s="8" t="s">
        <v>58</v>
      </c>
      <c r="B3" s="3" t="s">
        <v>60</v>
      </c>
      <c r="C3" s="3" t="s">
        <v>17</v>
      </c>
      <c r="D3" s="3" t="s">
        <v>20</v>
      </c>
      <c r="E3" s="4">
        <v>10</v>
      </c>
      <c r="F3" s="4">
        <v>1</v>
      </c>
      <c r="G3" s="5">
        <v>0</v>
      </c>
      <c r="H3" s="5">
        <v>0</v>
      </c>
      <c r="I3" s="6">
        <v>38</v>
      </c>
      <c r="J3" s="5">
        <v>38</v>
      </c>
      <c r="K3" s="7">
        <v>7</v>
      </c>
      <c r="L3" s="5">
        <v>20</v>
      </c>
      <c r="M3" s="5">
        <v>33</v>
      </c>
      <c r="N3" s="7">
        <v>52</v>
      </c>
      <c r="O3" s="4">
        <v>19</v>
      </c>
      <c r="P3" s="4">
        <f t="shared" si="0"/>
        <v>0.19</v>
      </c>
      <c r="Q3" s="4"/>
      <c r="R3" s="4">
        <f t="shared" si="1"/>
        <v>0</v>
      </c>
      <c r="S3" t="s">
        <v>388</v>
      </c>
    </row>
    <row r="4" outlineLevel="2" spans="1:19">
      <c r="A4" s="8" t="s">
        <v>58</v>
      </c>
      <c r="B4" s="3" t="s">
        <v>16</v>
      </c>
      <c r="C4" s="3" t="s">
        <v>17</v>
      </c>
      <c r="D4" s="3" t="s">
        <v>20</v>
      </c>
      <c r="E4" s="4">
        <v>5</v>
      </c>
      <c r="F4" s="4">
        <v>1</v>
      </c>
      <c r="G4" s="5">
        <v>0</v>
      </c>
      <c r="H4" s="5">
        <v>0</v>
      </c>
      <c r="I4" s="6">
        <v>142</v>
      </c>
      <c r="J4" s="5">
        <v>142</v>
      </c>
      <c r="K4" s="7">
        <v>5</v>
      </c>
      <c r="L4" s="5">
        <v>23</v>
      </c>
      <c r="M4" s="5">
        <v>47</v>
      </c>
      <c r="N4" s="7">
        <v>90</v>
      </c>
      <c r="O4" s="4">
        <v>54</v>
      </c>
      <c r="P4" s="4">
        <f t="shared" si="0"/>
        <v>0.27</v>
      </c>
      <c r="Q4" s="4"/>
      <c r="R4" s="4">
        <f t="shared" si="1"/>
        <v>0</v>
      </c>
      <c r="S4" t="s">
        <v>388</v>
      </c>
    </row>
    <row r="5" outlineLevel="2" spans="1:19">
      <c r="A5" s="8" t="s">
        <v>58</v>
      </c>
      <c r="B5" s="3" t="s">
        <v>61</v>
      </c>
      <c r="C5" s="3" t="s">
        <v>17</v>
      </c>
      <c r="D5" s="3" t="s">
        <v>20</v>
      </c>
      <c r="E5" s="4">
        <v>10</v>
      </c>
      <c r="F5" s="4">
        <v>1</v>
      </c>
      <c r="G5" s="5">
        <v>0</v>
      </c>
      <c r="H5" s="5">
        <v>22.59</v>
      </c>
      <c r="I5" s="6">
        <v>61</v>
      </c>
      <c r="J5" s="5">
        <v>61</v>
      </c>
      <c r="K5" s="7">
        <v>0</v>
      </c>
      <c r="L5" s="5">
        <v>4</v>
      </c>
      <c r="M5" s="5">
        <v>6</v>
      </c>
      <c r="N5" s="7">
        <v>19</v>
      </c>
      <c r="O5" s="4">
        <v>0</v>
      </c>
      <c r="P5" s="4">
        <f t="shared" si="0"/>
        <v>0</v>
      </c>
      <c r="Q5" s="4"/>
      <c r="R5" s="4">
        <f t="shared" si="1"/>
        <v>0</v>
      </c>
      <c r="S5" t="s">
        <v>388</v>
      </c>
    </row>
    <row r="6" outlineLevel="2" spans="1:19">
      <c r="A6" s="8" t="s">
        <v>58</v>
      </c>
      <c r="B6" s="3" t="s">
        <v>62</v>
      </c>
      <c r="C6" s="3" t="s">
        <v>17</v>
      </c>
      <c r="D6" s="3" t="s">
        <v>20</v>
      </c>
      <c r="E6" s="4">
        <v>10</v>
      </c>
      <c r="F6" s="4">
        <v>1</v>
      </c>
      <c r="G6" s="5">
        <v>0</v>
      </c>
      <c r="H6" s="5">
        <v>13.24</v>
      </c>
      <c r="I6" s="6">
        <v>97</v>
      </c>
      <c r="J6" s="5">
        <v>98</v>
      </c>
      <c r="K6" s="7">
        <v>0</v>
      </c>
      <c r="L6" s="5">
        <v>9</v>
      </c>
      <c r="M6" s="5">
        <v>20</v>
      </c>
      <c r="N6" s="7">
        <v>56</v>
      </c>
      <c r="O6" s="4">
        <v>0</v>
      </c>
      <c r="P6" s="4">
        <f t="shared" si="0"/>
        <v>0</v>
      </c>
      <c r="Q6" s="4"/>
      <c r="R6" s="4">
        <f t="shared" si="1"/>
        <v>0</v>
      </c>
      <c r="S6" t="s">
        <v>388</v>
      </c>
    </row>
    <row r="7" outlineLevel="2" spans="1:19">
      <c r="A7" s="8" t="s">
        <v>58</v>
      </c>
      <c r="B7" s="3" t="s">
        <v>19</v>
      </c>
      <c r="C7" s="3" t="s">
        <v>17</v>
      </c>
      <c r="D7" s="3" t="s">
        <v>20</v>
      </c>
      <c r="E7" s="4">
        <v>5</v>
      </c>
      <c r="F7" s="4">
        <v>1</v>
      </c>
      <c r="G7" s="5">
        <v>0</v>
      </c>
      <c r="H7" s="5">
        <v>0</v>
      </c>
      <c r="I7" s="6">
        <v>586</v>
      </c>
      <c r="J7" s="5">
        <v>587</v>
      </c>
      <c r="K7" s="7">
        <v>14</v>
      </c>
      <c r="L7" s="5">
        <v>189</v>
      </c>
      <c r="M7" s="5">
        <v>335</v>
      </c>
      <c r="N7" s="7">
        <v>532</v>
      </c>
      <c r="O7" s="4">
        <v>347</v>
      </c>
      <c r="P7" s="4">
        <f t="shared" si="0"/>
        <v>1.735</v>
      </c>
      <c r="Q7" s="4"/>
      <c r="R7" s="4">
        <f t="shared" si="1"/>
        <v>0</v>
      </c>
      <c r="S7" t="s">
        <v>388</v>
      </c>
    </row>
    <row r="8" outlineLevel="2" spans="1:19">
      <c r="A8" s="8" t="s">
        <v>58</v>
      </c>
      <c r="B8" s="3" t="s">
        <v>63</v>
      </c>
      <c r="C8" s="3" t="s">
        <v>17</v>
      </c>
      <c r="D8" s="3" t="s">
        <v>20</v>
      </c>
      <c r="E8" s="4">
        <v>25</v>
      </c>
      <c r="F8" s="4">
        <v>1</v>
      </c>
      <c r="G8" s="5">
        <v>0</v>
      </c>
      <c r="H8" s="5">
        <v>0</v>
      </c>
      <c r="I8" s="6">
        <v>105</v>
      </c>
      <c r="J8" s="5">
        <v>105</v>
      </c>
      <c r="K8" s="7">
        <v>3</v>
      </c>
      <c r="L8" s="5">
        <v>22</v>
      </c>
      <c r="M8" s="5">
        <v>29</v>
      </c>
      <c r="N8" s="7">
        <v>55</v>
      </c>
      <c r="O8" s="4">
        <v>201</v>
      </c>
      <c r="P8" s="4">
        <f t="shared" si="0"/>
        <v>5.025</v>
      </c>
      <c r="Q8" s="4"/>
      <c r="R8" s="4">
        <f t="shared" si="1"/>
        <v>0</v>
      </c>
      <c r="S8" t="s">
        <v>388</v>
      </c>
    </row>
    <row r="9" outlineLevel="2" spans="1:19">
      <c r="A9" s="8" t="s">
        <v>58</v>
      </c>
      <c r="B9" s="3" t="s">
        <v>64</v>
      </c>
      <c r="C9" s="3" t="s">
        <v>17</v>
      </c>
      <c r="D9" s="3" t="s">
        <v>20</v>
      </c>
      <c r="E9" s="4">
        <v>10</v>
      </c>
      <c r="F9" s="4">
        <v>1</v>
      </c>
      <c r="G9" s="5">
        <v>0</v>
      </c>
      <c r="H9" s="5">
        <v>0</v>
      </c>
      <c r="I9" s="6">
        <v>132</v>
      </c>
      <c r="J9" s="5">
        <v>132</v>
      </c>
      <c r="K9" s="7">
        <v>4</v>
      </c>
      <c r="L9" s="5">
        <v>36</v>
      </c>
      <c r="M9" s="5">
        <v>60</v>
      </c>
      <c r="N9" s="7">
        <v>117</v>
      </c>
      <c r="O9" s="4">
        <v>28</v>
      </c>
      <c r="P9" s="4">
        <f t="shared" si="0"/>
        <v>0.28</v>
      </c>
      <c r="Q9" s="4"/>
      <c r="R9" s="4">
        <f t="shared" si="1"/>
        <v>0</v>
      </c>
      <c r="S9" t="s">
        <v>388</v>
      </c>
    </row>
    <row r="10" outlineLevel="2" spans="1:19">
      <c r="A10" s="8" t="s">
        <v>58</v>
      </c>
      <c r="B10" s="3" t="s">
        <v>23</v>
      </c>
      <c r="C10" s="3" t="s">
        <v>17</v>
      </c>
      <c r="D10" s="3" t="s">
        <v>20</v>
      </c>
      <c r="E10" s="4">
        <v>5</v>
      </c>
      <c r="F10" s="4">
        <v>5</v>
      </c>
      <c r="G10" s="5">
        <v>0</v>
      </c>
      <c r="H10" s="5">
        <v>5.24</v>
      </c>
      <c r="I10" s="6">
        <v>40</v>
      </c>
      <c r="J10" s="5">
        <v>40</v>
      </c>
      <c r="K10" s="7">
        <v>1</v>
      </c>
      <c r="L10" s="5">
        <v>5</v>
      </c>
      <c r="M10" s="5">
        <v>6</v>
      </c>
      <c r="N10" s="7">
        <v>21</v>
      </c>
      <c r="O10" s="4">
        <v>5</v>
      </c>
      <c r="P10" s="4">
        <f t="shared" si="0"/>
        <v>0.025</v>
      </c>
      <c r="Q10" s="4"/>
      <c r="R10" s="4">
        <f t="shared" si="1"/>
        <v>0</v>
      </c>
      <c r="S10" t="s">
        <v>388</v>
      </c>
    </row>
    <row r="11" outlineLevel="2" spans="1:19">
      <c r="A11" s="8" t="s">
        <v>58</v>
      </c>
      <c r="B11" s="3" t="s">
        <v>65</v>
      </c>
      <c r="C11" s="3" t="s">
        <v>17</v>
      </c>
      <c r="D11" s="3" t="s">
        <v>20</v>
      </c>
      <c r="E11" s="4">
        <v>2.5</v>
      </c>
      <c r="F11" s="4">
        <v>1</v>
      </c>
      <c r="G11" s="5">
        <v>0</v>
      </c>
      <c r="H11" s="5">
        <v>0</v>
      </c>
      <c r="I11" s="6">
        <v>249</v>
      </c>
      <c r="J11" s="5">
        <v>250</v>
      </c>
      <c r="K11" s="7">
        <v>0</v>
      </c>
      <c r="L11" s="5">
        <v>9</v>
      </c>
      <c r="M11" s="5">
        <v>39</v>
      </c>
      <c r="N11" s="7">
        <v>50</v>
      </c>
      <c r="O11" s="4">
        <v>0</v>
      </c>
      <c r="P11" s="4">
        <f t="shared" si="0"/>
        <v>0</v>
      </c>
      <c r="Q11" s="4"/>
      <c r="R11" s="4">
        <f t="shared" si="1"/>
        <v>0</v>
      </c>
      <c r="S11" t="s">
        <v>388</v>
      </c>
    </row>
    <row r="12" outlineLevel="2" spans="1:19">
      <c r="A12" s="8" t="s">
        <v>58</v>
      </c>
      <c r="B12" s="3" t="s">
        <v>21</v>
      </c>
      <c r="C12" s="3" t="s">
        <v>17</v>
      </c>
      <c r="D12" s="3" t="s">
        <v>20</v>
      </c>
      <c r="E12" s="4">
        <v>5</v>
      </c>
      <c r="F12" s="4">
        <v>1</v>
      </c>
      <c r="G12" s="5">
        <v>0</v>
      </c>
      <c r="H12" s="5">
        <v>0</v>
      </c>
      <c r="I12" s="6">
        <v>98</v>
      </c>
      <c r="J12" s="5">
        <v>99</v>
      </c>
      <c r="K12" s="7">
        <v>5</v>
      </c>
      <c r="L12" s="5">
        <v>20</v>
      </c>
      <c r="M12" s="5">
        <v>31</v>
      </c>
      <c r="N12" s="7">
        <v>80</v>
      </c>
      <c r="O12" s="4">
        <v>11</v>
      </c>
      <c r="P12" s="4">
        <f t="shared" si="0"/>
        <v>0.055</v>
      </c>
      <c r="Q12" s="4"/>
      <c r="R12" s="4">
        <f t="shared" si="1"/>
        <v>0</v>
      </c>
      <c r="S12" t="s">
        <v>388</v>
      </c>
    </row>
    <row r="13" s="1" customFormat="1" outlineLevel="1" spans="1:19">
      <c r="A13" s="9" t="s">
        <v>389</v>
      </c>
      <c r="B13" s="10"/>
      <c r="C13" s="10"/>
      <c r="D13" s="10"/>
      <c r="E13" s="11"/>
      <c r="F13" s="11"/>
      <c r="G13" s="12"/>
      <c r="H13" s="12"/>
      <c r="I13" s="12"/>
      <c r="J13" s="12"/>
      <c r="K13" s="13"/>
      <c r="L13" s="12"/>
      <c r="M13" s="12"/>
      <c r="N13" s="13"/>
      <c r="O13" s="11">
        <f>SUBTOTAL(9,O2:O12)</f>
        <v>801</v>
      </c>
      <c r="P13" s="11">
        <f>SUBTOTAL(9,P2:P12)</f>
        <v>7.92</v>
      </c>
      <c r="Q13" s="11">
        <f>SUBTOTAL(9,Q2:Q12)</f>
        <v>0</v>
      </c>
      <c r="R13" s="11">
        <f>SUBTOTAL(9,R2:R12)</f>
        <v>0</v>
      </c>
      <c r="S13" t="s">
        <v>388</v>
      </c>
    </row>
    <row r="14" outlineLevel="2" spans="1:19">
      <c r="A14" s="3" t="s">
        <v>67</v>
      </c>
      <c r="B14" s="3" t="s">
        <v>59</v>
      </c>
      <c r="C14" s="3" t="s">
        <v>17</v>
      </c>
      <c r="D14" s="3" t="s">
        <v>20</v>
      </c>
      <c r="E14" s="4">
        <v>2.5</v>
      </c>
      <c r="F14" s="4">
        <v>1</v>
      </c>
      <c r="G14" s="5">
        <v>0</v>
      </c>
      <c r="H14" s="5">
        <v>0</v>
      </c>
      <c r="I14" s="6">
        <v>55</v>
      </c>
      <c r="J14" s="5">
        <v>55</v>
      </c>
      <c r="K14" s="7">
        <v>1</v>
      </c>
      <c r="L14" s="5">
        <v>6</v>
      </c>
      <c r="M14" s="5">
        <v>9</v>
      </c>
      <c r="N14" s="7">
        <v>12</v>
      </c>
      <c r="O14" s="4">
        <v>8</v>
      </c>
      <c r="P14" s="4">
        <f t="shared" ref="P14:P35" si="2">E14*O14/1000</f>
        <v>0.02</v>
      </c>
      <c r="Q14" s="4">
        <v>8</v>
      </c>
      <c r="R14" s="4">
        <f t="shared" ref="R14:R35" si="3">E14*Q14/1000</f>
        <v>0.02</v>
      </c>
      <c r="S14" t="s">
        <v>388</v>
      </c>
    </row>
    <row r="15" outlineLevel="2" spans="1:19">
      <c r="A15" s="8" t="s">
        <v>67</v>
      </c>
      <c r="B15" s="3" t="s">
        <v>60</v>
      </c>
      <c r="C15" s="3" t="s">
        <v>17</v>
      </c>
      <c r="D15" s="3" t="s">
        <v>20</v>
      </c>
      <c r="E15" s="4">
        <v>10</v>
      </c>
      <c r="F15" s="4">
        <v>1</v>
      </c>
      <c r="G15" s="5">
        <v>0</v>
      </c>
      <c r="H15" s="5">
        <v>0.2</v>
      </c>
      <c r="I15" s="6">
        <v>50</v>
      </c>
      <c r="J15" s="5">
        <v>50</v>
      </c>
      <c r="K15" s="7">
        <v>3</v>
      </c>
      <c r="L15" s="5">
        <v>9</v>
      </c>
      <c r="M15" s="5">
        <v>16</v>
      </c>
      <c r="N15" s="7">
        <v>31</v>
      </c>
      <c r="O15" s="4">
        <v>3</v>
      </c>
      <c r="P15" s="4">
        <f t="shared" si="2"/>
        <v>0.03</v>
      </c>
      <c r="Q15" s="4">
        <v>3</v>
      </c>
      <c r="R15" s="4">
        <f t="shared" si="3"/>
        <v>0.03</v>
      </c>
      <c r="S15" t="s">
        <v>388</v>
      </c>
    </row>
    <row r="16" outlineLevel="2" spans="1:19">
      <c r="A16" s="8" t="s">
        <v>67</v>
      </c>
      <c r="B16" s="3" t="s">
        <v>16</v>
      </c>
      <c r="C16" s="3" t="s">
        <v>17</v>
      </c>
      <c r="D16" s="3" t="s">
        <v>20</v>
      </c>
      <c r="E16" s="4">
        <v>5</v>
      </c>
      <c r="F16" s="4">
        <v>1</v>
      </c>
      <c r="G16" s="5">
        <v>0</v>
      </c>
      <c r="H16" s="5">
        <v>22.67</v>
      </c>
      <c r="I16" s="6">
        <v>81</v>
      </c>
      <c r="J16" s="5">
        <v>81</v>
      </c>
      <c r="K16" s="7">
        <v>0</v>
      </c>
      <c r="L16" s="5">
        <v>9</v>
      </c>
      <c r="M16" s="5">
        <v>13</v>
      </c>
      <c r="N16" s="7">
        <v>35</v>
      </c>
      <c r="O16" s="4">
        <v>0</v>
      </c>
      <c r="P16" s="4">
        <f t="shared" si="2"/>
        <v>0</v>
      </c>
      <c r="Q16" s="4">
        <v>0</v>
      </c>
      <c r="R16" s="4">
        <f t="shared" si="3"/>
        <v>0</v>
      </c>
      <c r="S16" t="s">
        <v>388</v>
      </c>
    </row>
    <row r="17" outlineLevel="2" spans="1:19">
      <c r="A17" s="8" t="s">
        <v>67</v>
      </c>
      <c r="B17" s="3" t="s">
        <v>61</v>
      </c>
      <c r="C17" s="3" t="s">
        <v>17</v>
      </c>
      <c r="D17" s="3" t="s">
        <v>20</v>
      </c>
      <c r="E17" s="4">
        <v>10</v>
      </c>
      <c r="F17" s="4">
        <v>1</v>
      </c>
      <c r="G17" s="5">
        <v>0</v>
      </c>
      <c r="H17" s="5">
        <v>30.98</v>
      </c>
      <c r="I17" s="6">
        <v>82</v>
      </c>
      <c r="J17" s="5">
        <v>82</v>
      </c>
      <c r="K17" s="7">
        <v>1</v>
      </c>
      <c r="L17" s="5">
        <v>7</v>
      </c>
      <c r="M17" s="5">
        <v>13</v>
      </c>
      <c r="N17" s="7">
        <v>28</v>
      </c>
      <c r="O17" s="4">
        <v>0</v>
      </c>
      <c r="P17" s="4">
        <f t="shared" si="2"/>
        <v>0</v>
      </c>
      <c r="Q17" s="4">
        <v>0</v>
      </c>
      <c r="R17" s="4">
        <f t="shared" si="3"/>
        <v>0</v>
      </c>
      <c r="S17" t="s">
        <v>388</v>
      </c>
    </row>
    <row r="18" outlineLevel="2" spans="1:19">
      <c r="A18" s="8" t="s">
        <v>67</v>
      </c>
      <c r="B18" s="3" t="s">
        <v>62</v>
      </c>
      <c r="C18" s="3" t="s">
        <v>17</v>
      </c>
      <c r="D18" s="3" t="s">
        <v>20</v>
      </c>
      <c r="E18" s="4">
        <v>10</v>
      </c>
      <c r="F18" s="4">
        <v>1</v>
      </c>
      <c r="G18" s="5">
        <v>0</v>
      </c>
      <c r="H18" s="5">
        <v>0</v>
      </c>
      <c r="I18" s="6">
        <v>71</v>
      </c>
      <c r="J18" s="5">
        <v>72</v>
      </c>
      <c r="K18" s="7">
        <v>6</v>
      </c>
      <c r="L18" s="5">
        <v>21</v>
      </c>
      <c r="M18" s="5">
        <v>35</v>
      </c>
      <c r="N18" s="7">
        <v>69</v>
      </c>
      <c r="O18" s="4">
        <v>32</v>
      </c>
      <c r="P18" s="4">
        <f t="shared" si="2"/>
        <v>0.32</v>
      </c>
      <c r="Q18" s="4">
        <v>32</v>
      </c>
      <c r="R18" s="4">
        <f t="shared" si="3"/>
        <v>0.32</v>
      </c>
      <c r="S18" t="s">
        <v>388</v>
      </c>
    </row>
    <row r="19" outlineLevel="2" spans="1:19">
      <c r="A19" s="8" t="s">
        <v>67</v>
      </c>
      <c r="B19" s="3" t="s">
        <v>19</v>
      </c>
      <c r="C19" s="3" t="s">
        <v>17</v>
      </c>
      <c r="D19" s="3" t="s">
        <v>20</v>
      </c>
      <c r="E19" s="4">
        <v>5</v>
      </c>
      <c r="F19" s="4">
        <v>1</v>
      </c>
      <c r="G19" s="5">
        <v>0</v>
      </c>
      <c r="H19" s="5">
        <v>0</v>
      </c>
      <c r="I19" s="6">
        <v>161</v>
      </c>
      <c r="J19" s="5">
        <v>168</v>
      </c>
      <c r="K19" s="7">
        <v>41</v>
      </c>
      <c r="L19" s="5">
        <v>225</v>
      </c>
      <c r="M19" s="5">
        <v>308</v>
      </c>
      <c r="N19" s="7">
        <v>414</v>
      </c>
      <c r="O19" s="4">
        <v>381</v>
      </c>
      <c r="P19" s="4">
        <f t="shared" si="2"/>
        <v>1.905</v>
      </c>
      <c r="Q19" s="4">
        <v>381</v>
      </c>
      <c r="R19" s="4">
        <f t="shared" si="3"/>
        <v>1.905</v>
      </c>
      <c r="S19" t="s">
        <v>388</v>
      </c>
    </row>
    <row r="20" outlineLevel="2" spans="1:19">
      <c r="A20" s="8" t="s">
        <v>67</v>
      </c>
      <c r="B20" s="3" t="s">
        <v>63</v>
      </c>
      <c r="C20" s="3" t="s">
        <v>17</v>
      </c>
      <c r="D20" s="3" t="s">
        <v>20</v>
      </c>
      <c r="E20" s="4">
        <v>25</v>
      </c>
      <c r="F20" s="4">
        <v>1</v>
      </c>
      <c r="G20" s="5">
        <v>0</v>
      </c>
      <c r="H20" s="5">
        <v>0</v>
      </c>
      <c r="I20" s="6">
        <v>73</v>
      </c>
      <c r="J20" s="5">
        <v>73</v>
      </c>
      <c r="K20" s="7">
        <v>0</v>
      </c>
      <c r="L20" s="5">
        <v>15</v>
      </c>
      <c r="M20" s="5">
        <v>27</v>
      </c>
      <c r="N20" s="7">
        <v>47</v>
      </c>
      <c r="O20" s="4">
        <v>137</v>
      </c>
      <c r="P20" s="4">
        <f t="shared" si="2"/>
        <v>3.425</v>
      </c>
      <c r="Q20" s="14">
        <v>0</v>
      </c>
      <c r="R20" s="4">
        <f t="shared" si="3"/>
        <v>0</v>
      </c>
      <c r="S20" t="s">
        <v>388</v>
      </c>
    </row>
    <row r="21" outlineLevel="2" spans="1:19">
      <c r="A21" s="8" t="s">
        <v>67</v>
      </c>
      <c r="B21" s="3" t="s">
        <v>64</v>
      </c>
      <c r="C21" s="3" t="s">
        <v>17</v>
      </c>
      <c r="D21" s="3" t="s">
        <v>20</v>
      </c>
      <c r="E21" s="4">
        <v>10</v>
      </c>
      <c r="F21" s="4">
        <v>1</v>
      </c>
      <c r="G21" s="5">
        <v>0</v>
      </c>
      <c r="H21" s="5">
        <v>0</v>
      </c>
      <c r="I21" s="6">
        <v>56</v>
      </c>
      <c r="J21" s="5">
        <v>59</v>
      </c>
      <c r="K21" s="7">
        <v>2</v>
      </c>
      <c r="L21" s="5">
        <v>11</v>
      </c>
      <c r="M21" s="5">
        <v>24</v>
      </c>
      <c r="N21" s="7">
        <v>50</v>
      </c>
      <c r="O21" s="4">
        <v>10</v>
      </c>
      <c r="P21" s="4">
        <f t="shared" si="2"/>
        <v>0.1</v>
      </c>
      <c r="Q21" s="4">
        <v>10</v>
      </c>
      <c r="R21" s="4">
        <f t="shared" si="3"/>
        <v>0.1</v>
      </c>
      <c r="S21" t="s">
        <v>388</v>
      </c>
    </row>
    <row r="22" outlineLevel="2" spans="1:19">
      <c r="A22" s="8" t="s">
        <v>67</v>
      </c>
      <c r="B22" s="3" t="s">
        <v>23</v>
      </c>
      <c r="C22" s="3" t="s">
        <v>17</v>
      </c>
      <c r="D22" s="3" t="s">
        <v>20</v>
      </c>
      <c r="E22" s="4">
        <v>5</v>
      </c>
      <c r="F22" s="4">
        <v>5</v>
      </c>
      <c r="G22" s="5">
        <v>0</v>
      </c>
      <c r="H22" s="5">
        <v>59.27</v>
      </c>
      <c r="I22" s="6">
        <v>80</v>
      </c>
      <c r="J22" s="5">
        <v>80</v>
      </c>
      <c r="K22" s="7">
        <v>0</v>
      </c>
      <c r="L22" s="5">
        <v>5</v>
      </c>
      <c r="M22" s="5">
        <v>8</v>
      </c>
      <c r="N22" s="7">
        <v>10</v>
      </c>
      <c r="O22" s="4">
        <v>0</v>
      </c>
      <c r="P22" s="4">
        <f t="shared" si="2"/>
        <v>0</v>
      </c>
      <c r="Q22" s="4">
        <v>0</v>
      </c>
      <c r="R22" s="4">
        <f t="shared" si="3"/>
        <v>0</v>
      </c>
      <c r="S22" t="s">
        <v>388</v>
      </c>
    </row>
    <row r="23" outlineLevel="2" spans="1:19">
      <c r="A23" s="8" t="s">
        <v>67</v>
      </c>
      <c r="B23" s="3" t="s">
        <v>65</v>
      </c>
      <c r="C23" s="3" t="s">
        <v>17</v>
      </c>
      <c r="D23" s="3" t="s">
        <v>20</v>
      </c>
      <c r="E23" s="4">
        <v>2.5</v>
      </c>
      <c r="F23" s="4">
        <v>1</v>
      </c>
      <c r="G23" s="5">
        <v>0</v>
      </c>
      <c r="H23" s="5">
        <v>0</v>
      </c>
      <c r="I23" s="6">
        <v>51</v>
      </c>
      <c r="J23" s="5">
        <v>51</v>
      </c>
      <c r="K23" s="7">
        <v>1</v>
      </c>
      <c r="L23" s="5">
        <v>25</v>
      </c>
      <c r="M23" s="5">
        <v>28</v>
      </c>
      <c r="N23" s="7">
        <v>37</v>
      </c>
      <c r="O23" s="4">
        <v>13</v>
      </c>
      <c r="P23" s="4">
        <f t="shared" si="2"/>
        <v>0.0325</v>
      </c>
      <c r="Q23" s="4">
        <v>13</v>
      </c>
      <c r="R23" s="4">
        <f t="shared" si="3"/>
        <v>0.0325</v>
      </c>
      <c r="S23" t="s">
        <v>388</v>
      </c>
    </row>
    <row r="24" outlineLevel="2" spans="1:19">
      <c r="A24" s="8" t="s">
        <v>67</v>
      </c>
      <c r="B24" s="3" t="s">
        <v>21</v>
      </c>
      <c r="C24" s="3" t="s">
        <v>17</v>
      </c>
      <c r="D24" s="3" t="s">
        <v>20</v>
      </c>
      <c r="E24" s="4">
        <v>5</v>
      </c>
      <c r="F24" s="4">
        <v>1</v>
      </c>
      <c r="G24" s="5">
        <v>0</v>
      </c>
      <c r="H24" s="5">
        <v>0</v>
      </c>
      <c r="I24" s="6">
        <v>40</v>
      </c>
      <c r="J24" s="5">
        <v>40</v>
      </c>
      <c r="K24" s="7">
        <v>6</v>
      </c>
      <c r="L24" s="5">
        <v>24</v>
      </c>
      <c r="M24" s="5">
        <v>43</v>
      </c>
      <c r="N24" s="7">
        <v>70</v>
      </c>
      <c r="O24" s="4">
        <v>53</v>
      </c>
      <c r="P24" s="4">
        <f t="shared" si="2"/>
        <v>0.265</v>
      </c>
      <c r="Q24" s="4">
        <v>53</v>
      </c>
      <c r="R24" s="4">
        <f t="shared" si="3"/>
        <v>0.265</v>
      </c>
      <c r="S24" t="s">
        <v>388</v>
      </c>
    </row>
    <row r="25" s="1" customFormat="1" outlineLevel="1" spans="1:19">
      <c r="A25" s="9" t="s">
        <v>390</v>
      </c>
      <c r="B25" s="10"/>
      <c r="C25" s="10"/>
      <c r="D25" s="10"/>
      <c r="E25" s="11"/>
      <c r="F25" s="11"/>
      <c r="G25" s="12"/>
      <c r="H25" s="12"/>
      <c r="I25" s="12"/>
      <c r="J25" s="12"/>
      <c r="K25" s="13"/>
      <c r="L25" s="12"/>
      <c r="M25" s="12"/>
      <c r="N25" s="13"/>
      <c r="O25" s="11">
        <f>SUBTOTAL(9,O14:O24)</f>
        <v>637</v>
      </c>
      <c r="P25" s="11">
        <f>SUBTOTAL(9,P14:P24)</f>
        <v>6.0975</v>
      </c>
      <c r="Q25" s="11">
        <f>SUBTOTAL(9,Q14:Q24)</f>
        <v>500</v>
      </c>
      <c r="R25" s="11">
        <f>SUBTOTAL(9,R14:R24)</f>
        <v>2.6725</v>
      </c>
      <c r="S25" t="s">
        <v>388</v>
      </c>
    </row>
    <row r="26" outlineLevel="2" spans="1:19">
      <c r="A26" s="3" t="s">
        <v>69</v>
      </c>
      <c r="B26" s="3" t="s">
        <v>59</v>
      </c>
      <c r="C26" s="3" t="s">
        <v>17</v>
      </c>
      <c r="D26" s="3" t="s">
        <v>20</v>
      </c>
      <c r="E26" s="4">
        <v>2.5</v>
      </c>
      <c r="F26" s="4">
        <v>1</v>
      </c>
      <c r="G26" s="5">
        <v>0</v>
      </c>
      <c r="H26" s="5">
        <v>0</v>
      </c>
      <c r="I26" s="6">
        <v>29</v>
      </c>
      <c r="J26" s="5">
        <v>29</v>
      </c>
      <c r="K26" s="7">
        <v>3</v>
      </c>
      <c r="L26" s="5">
        <v>13</v>
      </c>
      <c r="M26" s="5">
        <v>34</v>
      </c>
      <c r="N26" s="7">
        <v>59</v>
      </c>
      <c r="O26" s="4">
        <v>226</v>
      </c>
      <c r="P26" s="4">
        <f t="shared" ref="P26:P36" si="4">E26*O26/1000</f>
        <v>0.565</v>
      </c>
      <c r="Q26" s="4">
        <v>226</v>
      </c>
      <c r="R26" s="4">
        <f t="shared" ref="R26:R36" si="5">E26*Q26/1000</f>
        <v>0.565</v>
      </c>
      <c r="S26" s="15" t="s">
        <v>391</v>
      </c>
    </row>
    <row r="27" outlineLevel="2" spans="1:19">
      <c r="A27" s="8" t="s">
        <v>69</v>
      </c>
      <c r="B27" s="3" t="s">
        <v>60</v>
      </c>
      <c r="C27" s="3" t="s">
        <v>17</v>
      </c>
      <c r="D27" s="3" t="s">
        <v>70</v>
      </c>
      <c r="E27" s="4">
        <v>10</v>
      </c>
      <c r="F27" s="4">
        <v>1</v>
      </c>
      <c r="G27" s="5">
        <v>0</v>
      </c>
      <c r="H27" s="5">
        <v>0</v>
      </c>
      <c r="I27" s="6">
        <v>0</v>
      </c>
      <c r="J27" s="5">
        <v>0</v>
      </c>
      <c r="K27" s="7">
        <v>0</v>
      </c>
      <c r="L27" s="5">
        <v>4</v>
      </c>
      <c r="M27" s="5">
        <v>21</v>
      </c>
      <c r="N27" s="7">
        <v>32</v>
      </c>
      <c r="O27" s="4">
        <v>47</v>
      </c>
      <c r="P27" s="4">
        <f t="shared" si="4"/>
        <v>0.47</v>
      </c>
      <c r="Q27" s="4">
        <v>47</v>
      </c>
      <c r="R27" s="4">
        <f t="shared" si="5"/>
        <v>0.47</v>
      </c>
      <c r="S27" s="15" t="s">
        <v>391</v>
      </c>
    </row>
    <row r="28" outlineLevel="2" spans="1:19">
      <c r="A28" s="8" t="s">
        <v>69</v>
      </c>
      <c r="B28" s="3" t="s">
        <v>16</v>
      </c>
      <c r="C28" s="3" t="s">
        <v>17</v>
      </c>
      <c r="D28" s="3" t="s">
        <v>20</v>
      </c>
      <c r="E28" s="4">
        <v>5</v>
      </c>
      <c r="F28" s="4">
        <v>1</v>
      </c>
      <c r="G28" s="5">
        <v>0</v>
      </c>
      <c r="H28" s="5">
        <v>0</v>
      </c>
      <c r="I28" s="6">
        <v>35</v>
      </c>
      <c r="J28" s="5">
        <v>35</v>
      </c>
      <c r="K28" s="7">
        <v>7</v>
      </c>
      <c r="L28" s="5">
        <v>19</v>
      </c>
      <c r="M28" s="5">
        <v>37</v>
      </c>
      <c r="N28" s="7">
        <v>64</v>
      </c>
      <c r="O28" s="4">
        <v>76</v>
      </c>
      <c r="P28" s="4">
        <f t="shared" si="4"/>
        <v>0.38</v>
      </c>
      <c r="Q28" s="4">
        <v>76</v>
      </c>
      <c r="R28" s="4">
        <f t="shared" si="5"/>
        <v>0.38</v>
      </c>
      <c r="S28" s="15" t="s">
        <v>391</v>
      </c>
    </row>
    <row r="29" outlineLevel="2" spans="1:19">
      <c r="A29" s="8" t="s">
        <v>69</v>
      </c>
      <c r="B29" s="3" t="s">
        <v>61</v>
      </c>
      <c r="C29" s="3" t="s">
        <v>17</v>
      </c>
      <c r="D29" s="3" t="s">
        <v>20</v>
      </c>
      <c r="E29" s="4">
        <v>10</v>
      </c>
      <c r="F29" s="4">
        <v>1</v>
      </c>
      <c r="G29" s="5">
        <v>0</v>
      </c>
      <c r="H29" s="5">
        <v>0.73</v>
      </c>
      <c r="I29" s="6">
        <v>55</v>
      </c>
      <c r="J29" s="5">
        <v>55</v>
      </c>
      <c r="K29" s="7">
        <v>0</v>
      </c>
      <c r="L29" s="5">
        <v>7</v>
      </c>
      <c r="M29" s="5">
        <v>13</v>
      </c>
      <c r="N29" s="7">
        <v>26</v>
      </c>
      <c r="O29" s="4">
        <v>0</v>
      </c>
      <c r="P29" s="4">
        <f t="shared" si="4"/>
        <v>0</v>
      </c>
      <c r="Q29" s="4">
        <v>0</v>
      </c>
      <c r="R29" s="4">
        <f t="shared" si="5"/>
        <v>0</v>
      </c>
      <c r="S29" s="15" t="s">
        <v>391</v>
      </c>
    </row>
    <row r="30" outlineLevel="2" spans="1:19">
      <c r="A30" s="8" t="s">
        <v>69</v>
      </c>
      <c r="B30" s="3" t="s">
        <v>62</v>
      </c>
      <c r="C30" s="3" t="s">
        <v>17</v>
      </c>
      <c r="D30" s="3" t="s">
        <v>20</v>
      </c>
      <c r="E30" s="4">
        <v>10</v>
      </c>
      <c r="F30" s="4">
        <v>1</v>
      </c>
      <c r="G30" s="5">
        <v>0</v>
      </c>
      <c r="H30" s="5">
        <v>0</v>
      </c>
      <c r="I30" s="6">
        <v>36</v>
      </c>
      <c r="J30" s="5">
        <v>36</v>
      </c>
      <c r="K30" s="7">
        <v>4</v>
      </c>
      <c r="L30" s="5">
        <v>16</v>
      </c>
      <c r="M30" s="5">
        <v>26</v>
      </c>
      <c r="N30" s="7">
        <v>60</v>
      </c>
      <c r="O30" s="4">
        <v>29</v>
      </c>
      <c r="P30" s="4">
        <f t="shared" si="4"/>
        <v>0.29</v>
      </c>
      <c r="Q30" s="4">
        <v>29</v>
      </c>
      <c r="R30" s="4">
        <f t="shared" si="5"/>
        <v>0.29</v>
      </c>
      <c r="S30" s="15" t="s">
        <v>391</v>
      </c>
    </row>
    <row r="31" outlineLevel="2" spans="1:19">
      <c r="A31" s="8" t="s">
        <v>69</v>
      </c>
      <c r="B31" s="3" t="s">
        <v>19</v>
      </c>
      <c r="C31" s="3" t="s">
        <v>17</v>
      </c>
      <c r="D31" s="3" t="s">
        <v>20</v>
      </c>
      <c r="E31" s="4">
        <v>5</v>
      </c>
      <c r="F31" s="4">
        <v>1</v>
      </c>
      <c r="G31" s="5">
        <v>0</v>
      </c>
      <c r="H31" s="5">
        <v>0</v>
      </c>
      <c r="I31" s="6">
        <v>192</v>
      </c>
      <c r="J31" s="5">
        <v>191</v>
      </c>
      <c r="K31" s="7">
        <v>45</v>
      </c>
      <c r="L31" s="5">
        <v>189</v>
      </c>
      <c r="M31" s="5">
        <v>326</v>
      </c>
      <c r="N31" s="7">
        <v>477</v>
      </c>
      <c r="O31" s="4">
        <v>564</v>
      </c>
      <c r="P31" s="4">
        <f t="shared" si="4"/>
        <v>2.82</v>
      </c>
      <c r="Q31" s="4">
        <v>564</v>
      </c>
      <c r="R31" s="4">
        <f t="shared" si="5"/>
        <v>2.82</v>
      </c>
      <c r="S31" s="15" t="s">
        <v>391</v>
      </c>
    </row>
    <row r="32" outlineLevel="2" spans="1:19">
      <c r="A32" s="8" t="s">
        <v>69</v>
      </c>
      <c r="B32" s="3" t="s">
        <v>63</v>
      </c>
      <c r="C32" s="3" t="s">
        <v>17</v>
      </c>
      <c r="D32" s="3" t="s">
        <v>20</v>
      </c>
      <c r="E32" s="4">
        <v>25</v>
      </c>
      <c r="F32" s="4">
        <v>1</v>
      </c>
      <c r="G32" s="5">
        <v>0</v>
      </c>
      <c r="H32" s="5">
        <v>0</v>
      </c>
      <c r="I32" s="6">
        <v>74</v>
      </c>
      <c r="J32" s="5">
        <v>74</v>
      </c>
      <c r="K32" s="7">
        <v>7</v>
      </c>
      <c r="L32" s="5">
        <v>27</v>
      </c>
      <c r="M32" s="5">
        <v>41</v>
      </c>
      <c r="N32" s="7">
        <v>52</v>
      </c>
      <c r="O32" s="4">
        <v>60</v>
      </c>
      <c r="P32" s="4">
        <f t="shared" si="4"/>
        <v>1.5</v>
      </c>
      <c r="Q32" s="4">
        <v>60</v>
      </c>
      <c r="R32" s="4">
        <f t="shared" si="5"/>
        <v>1.5</v>
      </c>
      <c r="S32" s="15" t="s">
        <v>391</v>
      </c>
    </row>
    <row r="33" outlineLevel="2" spans="1:19">
      <c r="A33" s="8" t="s">
        <v>69</v>
      </c>
      <c r="B33" s="3" t="s">
        <v>64</v>
      </c>
      <c r="C33" s="3" t="s">
        <v>17</v>
      </c>
      <c r="D33" s="3" t="s">
        <v>20</v>
      </c>
      <c r="E33" s="4">
        <v>10</v>
      </c>
      <c r="F33" s="4">
        <v>1</v>
      </c>
      <c r="G33" s="5">
        <v>0</v>
      </c>
      <c r="H33" s="5">
        <v>0</v>
      </c>
      <c r="I33" s="6">
        <v>64</v>
      </c>
      <c r="J33" s="5">
        <v>64</v>
      </c>
      <c r="K33" s="7">
        <v>7</v>
      </c>
      <c r="L33" s="5">
        <v>19</v>
      </c>
      <c r="M33" s="5">
        <v>33</v>
      </c>
      <c r="N33" s="7">
        <v>79</v>
      </c>
      <c r="O33" s="4">
        <v>39</v>
      </c>
      <c r="P33" s="4">
        <f t="shared" si="4"/>
        <v>0.39</v>
      </c>
      <c r="Q33" s="4">
        <v>39</v>
      </c>
      <c r="R33" s="4">
        <f t="shared" si="5"/>
        <v>0.39</v>
      </c>
      <c r="S33" s="15" t="s">
        <v>391</v>
      </c>
    </row>
    <row r="34" outlineLevel="2" spans="1:19">
      <c r="A34" s="8" t="s">
        <v>69</v>
      </c>
      <c r="B34" s="3" t="s">
        <v>23</v>
      </c>
      <c r="C34" s="3" t="s">
        <v>17</v>
      </c>
      <c r="D34" s="3" t="s">
        <v>20</v>
      </c>
      <c r="E34" s="4">
        <v>5</v>
      </c>
      <c r="F34" s="4">
        <v>5</v>
      </c>
      <c r="G34" s="5">
        <v>0</v>
      </c>
      <c r="H34" s="5">
        <v>36.34</v>
      </c>
      <c r="I34" s="6">
        <v>65</v>
      </c>
      <c r="J34" s="5">
        <v>65</v>
      </c>
      <c r="K34" s="7">
        <v>0</v>
      </c>
      <c r="L34" s="5">
        <v>2</v>
      </c>
      <c r="M34" s="5">
        <v>4</v>
      </c>
      <c r="N34" s="7">
        <v>16</v>
      </c>
      <c r="O34" s="4">
        <v>0</v>
      </c>
      <c r="P34" s="4">
        <f t="shared" si="4"/>
        <v>0</v>
      </c>
      <c r="Q34" s="4">
        <v>0</v>
      </c>
      <c r="R34" s="4">
        <f t="shared" si="5"/>
        <v>0</v>
      </c>
      <c r="S34" s="15" t="s">
        <v>391</v>
      </c>
    </row>
    <row r="35" outlineLevel="2" spans="1:19">
      <c r="A35" s="8" t="s">
        <v>69</v>
      </c>
      <c r="B35" s="3" t="s">
        <v>65</v>
      </c>
      <c r="C35" s="3" t="s">
        <v>17</v>
      </c>
      <c r="D35" s="3" t="s">
        <v>20</v>
      </c>
      <c r="E35" s="4">
        <v>2.5</v>
      </c>
      <c r="F35" s="4">
        <v>1</v>
      </c>
      <c r="G35" s="5">
        <v>0</v>
      </c>
      <c r="H35" s="5">
        <v>0</v>
      </c>
      <c r="I35" s="6">
        <v>43</v>
      </c>
      <c r="J35" s="5">
        <v>43</v>
      </c>
      <c r="K35" s="7">
        <v>0</v>
      </c>
      <c r="L35" s="5">
        <v>7</v>
      </c>
      <c r="M35" s="5">
        <v>14</v>
      </c>
      <c r="N35" s="7">
        <v>18</v>
      </c>
      <c r="O35" s="4">
        <v>15</v>
      </c>
      <c r="P35" s="4">
        <f t="shared" si="4"/>
        <v>0.0375</v>
      </c>
      <c r="Q35" s="4">
        <v>15</v>
      </c>
      <c r="R35" s="4">
        <f t="shared" si="5"/>
        <v>0.0375</v>
      </c>
      <c r="S35" s="15" t="s">
        <v>391</v>
      </c>
    </row>
    <row r="36" outlineLevel="2" spans="1:19">
      <c r="A36" s="8" t="s">
        <v>69</v>
      </c>
      <c r="B36" s="3" t="s">
        <v>21</v>
      </c>
      <c r="C36" s="3" t="s">
        <v>17</v>
      </c>
      <c r="D36" s="3" t="s">
        <v>20</v>
      </c>
      <c r="E36" s="4">
        <v>5</v>
      </c>
      <c r="F36" s="4">
        <v>1</v>
      </c>
      <c r="G36" s="5">
        <v>0</v>
      </c>
      <c r="H36" s="5">
        <v>10.92</v>
      </c>
      <c r="I36" s="6">
        <v>116</v>
      </c>
      <c r="J36" s="5">
        <v>116</v>
      </c>
      <c r="K36" s="7">
        <v>1</v>
      </c>
      <c r="L36" s="5">
        <v>11</v>
      </c>
      <c r="M36" s="5">
        <v>18</v>
      </c>
      <c r="N36" s="7">
        <v>64</v>
      </c>
      <c r="O36" s="4">
        <v>0</v>
      </c>
      <c r="P36" s="4">
        <f t="shared" si="4"/>
        <v>0</v>
      </c>
      <c r="Q36" s="4">
        <v>0</v>
      </c>
      <c r="R36" s="4">
        <f t="shared" si="5"/>
        <v>0</v>
      </c>
      <c r="S36" s="15" t="s">
        <v>391</v>
      </c>
    </row>
    <row r="37" s="1" customFormat="1" outlineLevel="1" spans="1:19">
      <c r="A37" s="9" t="s">
        <v>392</v>
      </c>
      <c r="B37" s="10"/>
      <c r="C37" s="10"/>
      <c r="D37" s="10"/>
      <c r="E37" s="11"/>
      <c r="F37" s="11"/>
      <c r="G37" s="12"/>
      <c r="H37" s="12"/>
      <c r="I37" s="12"/>
      <c r="J37" s="12"/>
      <c r="K37" s="13"/>
      <c r="L37" s="12"/>
      <c r="M37" s="12"/>
      <c r="N37" s="13"/>
      <c r="O37" s="11">
        <f>SUBTOTAL(9,O26:O36)</f>
        <v>1056</v>
      </c>
      <c r="P37" s="11">
        <f>SUBTOTAL(9,P26:P36)</f>
        <v>6.4525</v>
      </c>
      <c r="Q37" s="11">
        <f>SUBTOTAL(9,Q26:Q36)</f>
        <v>1056</v>
      </c>
      <c r="R37" s="11">
        <f>SUBTOTAL(9,R26:R36)</f>
        <v>6.4525</v>
      </c>
      <c r="S37" s="15" t="s">
        <v>391</v>
      </c>
    </row>
    <row r="38" outlineLevel="2" spans="1:19">
      <c r="A38" s="3" t="s">
        <v>74</v>
      </c>
      <c r="B38" s="3" t="s">
        <v>59</v>
      </c>
      <c r="C38" s="3" t="s">
        <v>17</v>
      </c>
      <c r="D38" s="3" t="s">
        <v>20</v>
      </c>
      <c r="E38" s="4">
        <v>2.5</v>
      </c>
      <c r="F38" s="4">
        <v>1</v>
      </c>
      <c r="G38" s="5">
        <v>0</v>
      </c>
      <c r="H38" s="5">
        <v>0</v>
      </c>
      <c r="I38" s="6">
        <v>122</v>
      </c>
      <c r="J38" s="5">
        <v>122</v>
      </c>
      <c r="K38" s="7">
        <v>0</v>
      </c>
      <c r="L38" s="5">
        <v>0</v>
      </c>
      <c r="M38" s="5">
        <v>9</v>
      </c>
      <c r="N38" s="7">
        <v>14</v>
      </c>
      <c r="O38" s="4">
        <v>0</v>
      </c>
      <c r="P38" s="4">
        <f t="shared" ref="P38:P48" si="6">E38*O38/1000</f>
        <v>0</v>
      </c>
      <c r="Q38" s="4"/>
      <c r="R38" s="4">
        <f t="shared" ref="R38:R48" si="7">E38*Q38/1000</f>
        <v>0</v>
      </c>
      <c r="S38" t="s">
        <v>388</v>
      </c>
    </row>
    <row r="39" outlineLevel="2" spans="1:19">
      <c r="A39" s="8" t="s">
        <v>74</v>
      </c>
      <c r="B39" s="3" t="s">
        <v>60</v>
      </c>
      <c r="C39" s="3" t="s">
        <v>17</v>
      </c>
      <c r="D39" s="3" t="s">
        <v>20</v>
      </c>
      <c r="E39" s="4">
        <v>10</v>
      </c>
      <c r="F39" s="4">
        <v>1</v>
      </c>
      <c r="G39" s="5">
        <v>0</v>
      </c>
      <c r="H39" s="5">
        <v>0</v>
      </c>
      <c r="I39" s="6">
        <v>25</v>
      </c>
      <c r="J39" s="5">
        <v>26</v>
      </c>
      <c r="K39" s="7">
        <v>9</v>
      </c>
      <c r="L39" s="5">
        <v>15</v>
      </c>
      <c r="M39" s="5">
        <v>22</v>
      </c>
      <c r="N39" s="7">
        <v>40</v>
      </c>
      <c r="O39" s="4">
        <v>22</v>
      </c>
      <c r="P39" s="4">
        <f t="shared" si="6"/>
        <v>0.22</v>
      </c>
      <c r="Q39" s="4"/>
      <c r="R39" s="4">
        <f t="shared" si="7"/>
        <v>0</v>
      </c>
      <c r="S39" t="s">
        <v>388</v>
      </c>
    </row>
    <row r="40" outlineLevel="2" spans="1:19">
      <c r="A40" s="8" t="s">
        <v>74</v>
      </c>
      <c r="B40" s="3" t="s">
        <v>16</v>
      </c>
      <c r="C40" s="3" t="s">
        <v>17</v>
      </c>
      <c r="D40" s="3" t="s">
        <v>20</v>
      </c>
      <c r="E40" s="4">
        <v>5</v>
      </c>
      <c r="F40" s="4">
        <v>1</v>
      </c>
      <c r="G40" s="5">
        <v>0</v>
      </c>
      <c r="H40" s="5">
        <v>0</v>
      </c>
      <c r="I40" s="6">
        <v>53</v>
      </c>
      <c r="J40" s="5">
        <v>53</v>
      </c>
      <c r="K40" s="7">
        <v>3</v>
      </c>
      <c r="L40" s="5">
        <v>16</v>
      </c>
      <c r="M40" s="5">
        <v>29</v>
      </c>
      <c r="N40" s="7">
        <v>66</v>
      </c>
      <c r="O40" s="4">
        <v>30</v>
      </c>
      <c r="P40" s="4">
        <f t="shared" si="6"/>
        <v>0.15</v>
      </c>
      <c r="Q40" s="4"/>
      <c r="R40" s="4">
        <f t="shared" si="7"/>
        <v>0</v>
      </c>
      <c r="S40" t="s">
        <v>388</v>
      </c>
    </row>
    <row r="41" outlineLevel="2" spans="1:19">
      <c r="A41" s="8" t="s">
        <v>74</v>
      </c>
      <c r="B41" s="3" t="s">
        <v>61</v>
      </c>
      <c r="C41" s="3" t="s">
        <v>17</v>
      </c>
      <c r="D41" s="3" t="s">
        <v>20</v>
      </c>
      <c r="E41" s="4">
        <v>10</v>
      </c>
      <c r="F41" s="4">
        <v>1</v>
      </c>
      <c r="G41" s="5">
        <v>0</v>
      </c>
      <c r="H41" s="5">
        <v>0</v>
      </c>
      <c r="I41" s="6">
        <v>40</v>
      </c>
      <c r="J41" s="5">
        <v>40</v>
      </c>
      <c r="K41" s="7">
        <v>2</v>
      </c>
      <c r="L41" s="5">
        <v>8</v>
      </c>
      <c r="M41" s="5">
        <v>20</v>
      </c>
      <c r="N41" s="7">
        <v>39</v>
      </c>
      <c r="O41" s="4">
        <v>21</v>
      </c>
      <c r="P41" s="4">
        <f t="shared" si="6"/>
        <v>0.21</v>
      </c>
      <c r="Q41" s="4"/>
      <c r="R41" s="4">
        <f t="shared" si="7"/>
        <v>0</v>
      </c>
      <c r="S41" t="s">
        <v>388</v>
      </c>
    </row>
    <row r="42" outlineLevel="2" spans="1:19">
      <c r="A42" s="8" t="s">
        <v>74</v>
      </c>
      <c r="B42" s="3" t="s">
        <v>62</v>
      </c>
      <c r="C42" s="3" t="s">
        <v>17</v>
      </c>
      <c r="D42" s="3" t="s">
        <v>20</v>
      </c>
      <c r="E42" s="4">
        <v>10</v>
      </c>
      <c r="F42" s="4">
        <v>1</v>
      </c>
      <c r="G42" s="5">
        <v>0</v>
      </c>
      <c r="H42" s="5">
        <v>0</v>
      </c>
      <c r="I42" s="6">
        <v>66</v>
      </c>
      <c r="J42" s="5">
        <v>66</v>
      </c>
      <c r="K42" s="7">
        <v>1</v>
      </c>
      <c r="L42" s="5">
        <v>5</v>
      </c>
      <c r="M42" s="5">
        <v>19</v>
      </c>
      <c r="N42" s="7">
        <v>52</v>
      </c>
      <c r="O42" s="4">
        <v>9</v>
      </c>
      <c r="P42" s="4">
        <f t="shared" si="6"/>
        <v>0.09</v>
      </c>
      <c r="Q42" s="4"/>
      <c r="R42" s="4">
        <f t="shared" si="7"/>
        <v>0</v>
      </c>
      <c r="S42" t="s">
        <v>388</v>
      </c>
    </row>
    <row r="43" outlineLevel="2" spans="1:19">
      <c r="A43" s="8" t="s">
        <v>74</v>
      </c>
      <c r="B43" s="3" t="s">
        <v>19</v>
      </c>
      <c r="C43" s="3" t="s">
        <v>17</v>
      </c>
      <c r="D43" s="3" t="s">
        <v>20</v>
      </c>
      <c r="E43" s="4">
        <v>5</v>
      </c>
      <c r="F43" s="4">
        <v>1</v>
      </c>
      <c r="G43" s="5">
        <v>0</v>
      </c>
      <c r="H43" s="5">
        <v>0</v>
      </c>
      <c r="I43" s="6">
        <v>189</v>
      </c>
      <c r="J43" s="5">
        <v>197</v>
      </c>
      <c r="K43" s="7">
        <v>31</v>
      </c>
      <c r="L43" s="5">
        <v>290</v>
      </c>
      <c r="M43" s="5">
        <v>360</v>
      </c>
      <c r="N43" s="7">
        <v>587</v>
      </c>
      <c r="O43" s="4">
        <v>245</v>
      </c>
      <c r="P43" s="4">
        <f t="shared" si="6"/>
        <v>1.225</v>
      </c>
      <c r="Q43" s="4"/>
      <c r="R43" s="4">
        <f t="shared" si="7"/>
        <v>0</v>
      </c>
      <c r="S43" t="s">
        <v>388</v>
      </c>
    </row>
    <row r="44" outlineLevel="2" spans="1:19">
      <c r="A44" s="8" t="s">
        <v>74</v>
      </c>
      <c r="B44" s="3" t="s">
        <v>63</v>
      </c>
      <c r="C44" s="3" t="s">
        <v>17</v>
      </c>
      <c r="D44" s="3" t="s">
        <v>20</v>
      </c>
      <c r="E44" s="4">
        <v>25</v>
      </c>
      <c r="F44" s="4">
        <v>1</v>
      </c>
      <c r="G44" s="5">
        <v>0</v>
      </c>
      <c r="H44" s="5">
        <v>0</v>
      </c>
      <c r="I44" s="6">
        <v>36</v>
      </c>
      <c r="J44" s="5">
        <v>36</v>
      </c>
      <c r="K44" s="7">
        <v>13</v>
      </c>
      <c r="L44" s="5">
        <v>34</v>
      </c>
      <c r="M44" s="5">
        <v>50</v>
      </c>
      <c r="N44" s="7">
        <v>83</v>
      </c>
      <c r="O44" s="4">
        <v>33</v>
      </c>
      <c r="P44" s="4">
        <f t="shared" si="6"/>
        <v>0.825</v>
      </c>
      <c r="Q44" s="4"/>
      <c r="R44" s="4">
        <f t="shared" si="7"/>
        <v>0</v>
      </c>
      <c r="S44" t="s">
        <v>388</v>
      </c>
    </row>
    <row r="45" outlineLevel="2" spans="1:19">
      <c r="A45" s="8" t="s">
        <v>74</v>
      </c>
      <c r="B45" s="3" t="s">
        <v>64</v>
      </c>
      <c r="C45" s="3" t="s">
        <v>17</v>
      </c>
      <c r="D45" s="3" t="s">
        <v>20</v>
      </c>
      <c r="E45" s="4">
        <v>10</v>
      </c>
      <c r="F45" s="4">
        <v>1</v>
      </c>
      <c r="G45" s="5">
        <v>0</v>
      </c>
      <c r="H45" s="5">
        <v>0</v>
      </c>
      <c r="I45" s="6">
        <v>49</v>
      </c>
      <c r="J45" s="5">
        <v>51</v>
      </c>
      <c r="K45" s="7">
        <v>2</v>
      </c>
      <c r="L45" s="5">
        <v>16</v>
      </c>
      <c r="M45" s="5">
        <v>30</v>
      </c>
      <c r="N45" s="7">
        <v>76</v>
      </c>
      <c r="O45" s="4">
        <v>49</v>
      </c>
      <c r="P45" s="4">
        <f t="shared" si="6"/>
        <v>0.49</v>
      </c>
      <c r="Q45" s="4"/>
      <c r="R45" s="4">
        <f t="shared" si="7"/>
        <v>0</v>
      </c>
      <c r="S45" t="s">
        <v>388</v>
      </c>
    </row>
    <row r="46" outlineLevel="2" spans="1:19">
      <c r="A46" s="8" t="s">
        <v>74</v>
      </c>
      <c r="B46" s="3" t="s">
        <v>23</v>
      </c>
      <c r="C46" s="3" t="s">
        <v>17</v>
      </c>
      <c r="D46" s="3" t="s">
        <v>20</v>
      </c>
      <c r="E46" s="4">
        <v>5</v>
      </c>
      <c r="F46" s="4">
        <v>5</v>
      </c>
      <c r="G46" s="5">
        <v>0</v>
      </c>
      <c r="H46" s="5">
        <v>15.08</v>
      </c>
      <c r="I46" s="6">
        <v>60</v>
      </c>
      <c r="J46" s="5">
        <v>60</v>
      </c>
      <c r="K46" s="7">
        <v>0</v>
      </c>
      <c r="L46" s="5">
        <v>2</v>
      </c>
      <c r="M46" s="5">
        <v>6</v>
      </c>
      <c r="N46" s="7">
        <v>21</v>
      </c>
      <c r="O46" s="4">
        <v>0</v>
      </c>
      <c r="P46" s="4">
        <f t="shared" si="6"/>
        <v>0</v>
      </c>
      <c r="Q46" s="4"/>
      <c r="R46" s="4">
        <f t="shared" si="7"/>
        <v>0</v>
      </c>
      <c r="S46" t="s">
        <v>388</v>
      </c>
    </row>
    <row r="47" outlineLevel="2" spans="1:19">
      <c r="A47" s="8" t="s">
        <v>74</v>
      </c>
      <c r="B47" s="3" t="s">
        <v>65</v>
      </c>
      <c r="C47" s="3" t="s">
        <v>17</v>
      </c>
      <c r="D47" s="3" t="s">
        <v>20</v>
      </c>
      <c r="E47" s="4">
        <v>2.5</v>
      </c>
      <c r="F47" s="4">
        <v>1</v>
      </c>
      <c r="G47" s="5">
        <v>0</v>
      </c>
      <c r="H47" s="5">
        <v>0</v>
      </c>
      <c r="I47" s="6">
        <v>118</v>
      </c>
      <c r="J47" s="5">
        <v>118</v>
      </c>
      <c r="K47" s="7">
        <v>0</v>
      </c>
      <c r="L47" s="5">
        <v>2</v>
      </c>
      <c r="M47" s="5">
        <v>9</v>
      </c>
      <c r="N47" s="7">
        <v>18</v>
      </c>
      <c r="O47" s="4">
        <v>0</v>
      </c>
      <c r="P47" s="4">
        <f t="shared" si="6"/>
        <v>0</v>
      </c>
      <c r="Q47" s="4"/>
      <c r="R47" s="4">
        <f t="shared" si="7"/>
        <v>0</v>
      </c>
      <c r="S47" t="s">
        <v>388</v>
      </c>
    </row>
    <row r="48" outlineLevel="2" spans="1:19">
      <c r="A48" s="8" t="s">
        <v>74</v>
      </c>
      <c r="B48" s="3" t="s">
        <v>21</v>
      </c>
      <c r="C48" s="3" t="s">
        <v>17</v>
      </c>
      <c r="D48" s="3" t="s">
        <v>20</v>
      </c>
      <c r="E48" s="4">
        <v>5</v>
      </c>
      <c r="F48" s="4">
        <v>1</v>
      </c>
      <c r="G48" s="5">
        <v>0</v>
      </c>
      <c r="H48" s="5">
        <v>0</v>
      </c>
      <c r="I48" s="6">
        <v>58</v>
      </c>
      <c r="J48" s="5">
        <v>61</v>
      </c>
      <c r="K48" s="7">
        <v>8</v>
      </c>
      <c r="L48" s="5">
        <v>11</v>
      </c>
      <c r="M48" s="5">
        <v>28</v>
      </c>
      <c r="N48" s="7">
        <v>58</v>
      </c>
      <c r="O48" s="4">
        <v>10</v>
      </c>
      <c r="P48" s="4">
        <f t="shared" si="6"/>
        <v>0.05</v>
      </c>
      <c r="Q48" s="4"/>
      <c r="R48" s="4">
        <f t="shared" si="7"/>
        <v>0</v>
      </c>
      <c r="S48" t="s">
        <v>388</v>
      </c>
    </row>
    <row r="49" s="1" customFormat="1" outlineLevel="1" spans="1:19">
      <c r="A49" s="9" t="s">
        <v>393</v>
      </c>
      <c r="B49" s="10"/>
      <c r="C49" s="10"/>
      <c r="D49" s="10"/>
      <c r="E49" s="11"/>
      <c r="F49" s="11"/>
      <c r="G49" s="12"/>
      <c r="H49" s="12"/>
      <c r="I49" s="12"/>
      <c r="J49" s="12"/>
      <c r="K49" s="13"/>
      <c r="L49" s="12"/>
      <c r="M49" s="12"/>
      <c r="N49" s="13"/>
      <c r="O49" s="11">
        <f>SUBTOTAL(9,O38:O48)</f>
        <v>419</v>
      </c>
      <c r="P49" s="11">
        <f>SUBTOTAL(9,P38:P48)</f>
        <v>3.26</v>
      </c>
      <c r="Q49" s="11">
        <f>SUBTOTAL(9,Q38:Q48)</f>
        <v>0</v>
      </c>
      <c r="R49" s="11">
        <f>SUBTOTAL(9,R38:R48)</f>
        <v>0</v>
      </c>
      <c r="S49" t="s">
        <v>388</v>
      </c>
    </row>
    <row r="50" outlineLevel="2" spans="1:19">
      <c r="A50" s="3" t="s">
        <v>75</v>
      </c>
      <c r="B50" s="3" t="s">
        <v>59</v>
      </c>
      <c r="C50" s="3" t="s">
        <v>17</v>
      </c>
      <c r="D50" s="3" t="s">
        <v>20</v>
      </c>
      <c r="E50" s="4">
        <v>2.5</v>
      </c>
      <c r="F50" s="4">
        <v>1</v>
      </c>
      <c r="G50" s="5">
        <v>0</v>
      </c>
      <c r="H50" s="5">
        <v>0</v>
      </c>
      <c r="I50" s="6">
        <v>131</v>
      </c>
      <c r="J50" s="5">
        <v>131</v>
      </c>
      <c r="K50" s="7">
        <v>1</v>
      </c>
      <c r="L50" s="5">
        <v>14</v>
      </c>
      <c r="M50" s="5">
        <v>29</v>
      </c>
      <c r="N50" s="7">
        <v>34</v>
      </c>
      <c r="O50" s="4">
        <v>0</v>
      </c>
      <c r="P50" s="4">
        <f t="shared" ref="P50:P70" si="8">E50*O50/1000</f>
        <v>0</v>
      </c>
      <c r="Q50" s="4"/>
      <c r="R50" s="4">
        <f t="shared" ref="R50:R70" si="9">E50*Q50/1000</f>
        <v>0</v>
      </c>
      <c r="S50" t="s">
        <v>388</v>
      </c>
    </row>
    <row r="51" outlineLevel="2" spans="1:19">
      <c r="A51" s="8" t="s">
        <v>75</v>
      </c>
      <c r="B51" s="3" t="s">
        <v>60</v>
      </c>
      <c r="C51" s="3" t="s">
        <v>17</v>
      </c>
      <c r="D51" s="3" t="s">
        <v>20</v>
      </c>
      <c r="E51" s="4">
        <v>10</v>
      </c>
      <c r="F51" s="4">
        <v>1</v>
      </c>
      <c r="G51" s="5">
        <v>0</v>
      </c>
      <c r="H51" s="5">
        <v>0</v>
      </c>
      <c r="I51" s="6">
        <v>46</v>
      </c>
      <c r="J51" s="5">
        <v>46</v>
      </c>
      <c r="K51" s="7">
        <v>2</v>
      </c>
      <c r="L51" s="5">
        <v>7</v>
      </c>
      <c r="M51" s="5">
        <v>20</v>
      </c>
      <c r="N51" s="7">
        <v>22</v>
      </c>
      <c r="O51" s="4">
        <v>3</v>
      </c>
      <c r="P51" s="4">
        <f t="shared" si="8"/>
        <v>0.03</v>
      </c>
      <c r="Q51" s="4"/>
      <c r="R51" s="4">
        <f t="shared" si="9"/>
        <v>0</v>
      </c>
      <c r="S51" t="s">
        <v>388</v>
      </c>
    </row>
    <row r="52" outlineLevel="2" spans="1:19">
      <c r="A52" s="8" t="s">
        <v>75</v>
      </c>
      <c r="B52" s="3" t="s">
        <v>16</v>
      </c>
      <c r="C52" s="3" t="s">
        <v>17</v>
      </c>
      <c r="D52" s="3" t="s">
        <v>20</v>
      </c>
      <c r="E52" s="4">
        <v>5</v>
      </c>
      <c r="F52" s="4">
        <v>1</v>
      </c>
      <c r="G52" s="5">
        <v>0</v>
      </c>
      <c r="H52" s="5">
        <v>16.98</v>
      </c>
      <c r="I52" s="6">
        <v>106</v>
      </c>
      <c r="J52" s="5">
        <v>106</v>
      </c>
      <c r="K52" s="7">
        <v>1</v>
      </c>
      <c r="L52" s="5">
        <v>11</v>
      </c>
      <c r="M52" s="5">
        <v>24</v>
      </c>
      <c r="N52" s="7">
        <v>45</v>
      </c>
      <c r="O52" s="4">
        <v>0</v>
      </c>
      <c r="P52" s="4">
        <f t="shared" si="8"/>
        <v>0</v>
      </c>
      <c r="Q52" s="4"/>
      <c r="R52" s="4">
        <f t="shared" si="9"/>
        <v>0</v>
      </c>
      <c r="S52" t="s">
        <v>388</v>
      </c>
    </row>
    <row r="53" outlineLevel="2" spans="1:19">
      <c r="A53" s="8" t="s">
        <v>75</v>
      </c>
      <c r="B53" s="3" t="s">
        <v>61</v>
      </c>
      <c r="C53" s="3" t="s">
        <v>17</v>
      </c>
      <c r="D53" s="3" t="s">
        <v>20</v>
      </c>
      <c r="E53" s="4">
        <v>10</v>
      </c>
      <c r="F53" s="4">
        <v>1</v>
      </c>
      <c r="G53" s="5">
        <v>0</v>
      </c>
      <c r="H53" s="5">
        <v>8.28</v>
      </c>
      <c r="I53" s="6">
        <v>64</v>
      </c>
      <c r="J53" s="5">
        <v>66</v>
      </c>
      <c r="K53" s="7">
        <v>0</v>
      </c>
      <c r="L53" s="5">
        <v>5</v>
      </c>
      <c r="M53" s="5">
        <v>13</v>
      </c>
      <c r="N53" s="7">
        <v>29</v>
      </c>
      <c r="O53" s="4">
        <v>0</v>
      </c>
      <c r="P53" s="4">
        <f t="shared" si="8"/>
        <v>0</v>
      </c>
      <c r="Q53" s="4"/>
      <c r="R53" s="4">
        <f t="shared" si="9"/>
        <v>0</v>
      </c>
      <c r="S53" t="s">
        <v>388</v>
      </c>
    </row>
    <row r="54" outlineLevel="2" spans="1:19">
      <c r="A54" s="8" t="s">
        <v>75</v>
      </c>
      <c r="B54" s="3" t="s">
        <v>62</v>
      </c>
      <c r="C54" s="3" t="s">
        <v>17</v>
      </c>
      <c r="D54" s="3" t="s">
        <v>20</v>
      </c>
      <c r="E54" s="4">
        <v>10</v>
      </c>
      <c r="F54" s="4">
        <v>1</v>
      </c>
      <c r="G54" s="5">
        <v>0</v>
      </c>
      <c r="H54" s="5">
        <v>0</v>
      </c>
      <c r="I54" s="6">
        <v>27</v>
      </c>
      <c r="J54" s="5">
        <v>29</v>
      </c>
      <c r="K54" s="7">
        <v>2</v>
      </c>
      <c r="L54" s="5">
        <v>9</v>
      </c>
      <c r="M54" s="5">
        <v>24</v>
      </c>
      <c r="N54" s="7">
        <v>25</v>
      </c>
      <c r="O54" s="4">
        <v>8</v>
      </c>
      <c r="P54" s="4">
        <f t="shared" si="8"/>
        <v>0.08</v>
      </c>
      <c r="Q54" s="4"/>
      <c r="R54" s="4">
        <f t="shared" si="9"/>
        <v>0</v>
      </c>
      <c r="S54" t="s">
        <v>388</v>
      </c>
    </row>
    <row r="55" outlineLevel="2" spans="1:19">
      <c r="A55" s="8" t="s">
        <v>75</v>
      </c>
      <c r="B55" s="3" t="s">
        <v>19</v>
      </c>
      <c r="C55" s="3" t="s">
        <v>17</v>
      </c>
      <c r="D55" s="3" t="s">
        <v>20</v>
      </c>
      <c r="E55" s="4">
        <v>5</v>
      </c>
      <c r="F55" s="4">
        <v>1</v>
      </c>
      <c r="G55" s="5">
        <v>0</v>
      </c>
      <c r="H55" s="5">
        <v>0</v>
      </c>
      <c r="I55" s="6">
        <v>230</v>
      </c>
      <c r="J55" s="5">
        <v>234</v>
      </c>
      <c r="K55" s="7">
        <v>35</v>
      </c>
      <c r="L55" s="5">
        <v>150</v>
      </c>
      <c r="M55" s="5">
        <v>256</v>
      </c>
      <c r="N55" s="7">
        <v>269</v>
      </c>
      <c r="O55" s="4">
        <v>304</v>
      </c>
      <c r="P55" s="4">
        <f t="shared" si="8"/>
        <v>1.52</v>
      </c>
      <c r="Q55" s="4"/>
      <c r="R55" s="4">
        <f t="shared" si="9"/>
        <v>0</v>
      </c>
      <c r="S55" t="s">
        <v>388</v>
      </c>
    </row>
    <row r="56" outlineLevel="2" spans="1:19">
      <c r="A56" s="8" t="s">
        <v>75</v>
      </c>
      <c r="B56" s="3" t="s">
        <v>63</v>
      </c>
      <c r="C56" s="3" t="s">
        <v>17</v>
      </c>
      <c r="D56" s="3" t="s">
        <v>20</v>
      </c>
      <c r="E56" s="4">
        <v>25</v>
      </c>
      <c r="F56" s="4">
        <v>1</v>
      </c>
      <c r="G56" s="5">
        <v>0</v>
      </c>
      <c r="H56" s="5">
        <v>0</v>
      </c>
      <c r="I56" s="6">
        <v>82</v>
      </c>
      <c r="J56" s="5">
        <v>83</v>
      </c>
      <c r="K56" s="7">
        <v>0</v>
      </c>
      <c r="L56" s="5">
        <v>15</v>
      </c>
      <c r="M56" s="5">
        <v>40</v>
      </c>
      <c r="N56" s="7">
        <v>40</v>
      </c>
      <c r="O56" s="4">
        <v>35</v>
      </c>
      <c r="P56" s="4">
        <f t="shared" si="8"/>
        <v>0.875</v>
      </c>
      <c r="Q56" s="4"/>
      <c r="R56" s="4">
        <f t="shared" si="9"/>
        <v>0</v>
      </c>
      <c r="S56" t="s">
        <v>388</v>
      </c>
    </row>
    <row r="57" outlineLevel="2" spans="1:19">
      <c r="A57" s="8" t="s">
        <v>75</v>
      </c>
      <c r="B57" s="3" t="s">
        <v>64</v>
      </c>
      <c r="C57" s="3" t="s">
        <v>17</v>
      </c>
      <c r="D57" s="3" t="s">
        <v>20</v>
      </c>
      <c r="E57" s="4">
        <v>10</v>
      </c>
      <c r="F57" s="4">
        <v>1</v>
      </c>
      <c r="G57" s="5">
        <v>0</v>
      </c>
      <c r="H57" s="5">
        <v>0</v>
      </c>
      <c r="I57" s="6">
        <v>119</v>
      </c>
      <c r="J57" s="5">
        <v>121</v>
      </c>
      <c r="K57" s="7">
        <v>4</v>
      </c>
      <c r="L57" s="5">
        <v>21</v>
      </c>
      <c r="M57" s="5">
        <v>37</v>
      </c>
      <c r="N57" s="7">
        <v>99</v>
      </c>
      <c r="O57" s="4">
        <v>33</v>
      </c>
      <c r="P57" s="4">
        <f t="shared" si="8"/>
        <v>0.33</v>
      </c>
      <c r="Q57" s="4"/>
      <c r="R57" s="4">
        <f t="shared" si="9"/>
        <v>0</v>
      </c>
      <c r="S57" t="s">
        <v>388</v>
      </c>
    </row>
    <row r="58" outlineLevel="2" spans="1:19">
      <c r="A58" s="8" t="s">
        <v>75</v>
      </c>
      <c r="B58" s="3" t="s">
        <v>23</v>
      </c>
      <c r="C58" s="3" t="s">
        <v>17</v>
      </c>
      <c r="D58" s="3" t="s">
        <v>20</v>
      </c>
      <c r="E58" s="4">
        <v>5</v>
      </c>
      <c r="F58" s="4">
        <v>5</v>
      </c>
      <c r="G58" s="5">
        <v>0</v>
      </c>
      <c r="H58" s="5">
        <v>1.6</v>
      </c>
      <c r="I58" s="6">
        <v>39</v>
      </c>
      <c r="J58" s="5">
        <v>39</v>
      </c>
      <c r="K58" s="7">
        <v>1</v>
      </c>
      <c r="L58" s="5">
        <v>3</v>
      </c>
      <c r="M58" s="5">
        <v>5</v>
      </c>
      <c r="N58" s="7">
        <v>22</v>
      </c>
      <c r="O58" s="4">
        <v>15</v>
      </c>
      <c r="P58" s="4">
        <f t="shared" si="8"/>
        <v>0.075</v>
      </c>
      <c r="Q58" s="4"/>
      <c r="R58" s="4">
        <f t="shared" si="9"/>
        <v>0</v>
      </c>
      <c r="S58" t="s">
        <v>388</v>
      </c>
    </row>
    <row r="59" outlineLevel="2" spans="1:19">
      <c r="A59" s="8" t="s">
        <v>75</v>
      </c>
      <c r="B59" s="3" t="s">
        <v>65</v>
      </c>
      <c r="C59" s="3" t="s">
        <v>17</v>
      </c>
      <c r="D59" s="3" t="s">
        <v>20</v>
      </c>
      <c r="E59" s="4">
        <v>2.5</v>
      </c>
      <c r="F59" s="4">
        <v>1</v>
      </c>
      <c r="G59" s="5">
        <v>0</v>
      </c>
      <c r="H59" s="5">
        <v>0</v>
      </c>
      <c r="I59" s="6">
        <v>48</v>
      </c>
      <c r="J59" s="5">
        <v>48</v>
      </c>
      <c r="K59" s="7">
        <v>1</v>
      </c>
      <c r="L59" s="5">
        <v>2</v>
      </c>
      <c r="M59" s="5">
        <v>7</v>
      </c>
      <c r="N59" s="7">
        <v>8</v>
      </c>
      <c r="O59" s="4">
        <v>0</v>
      </c>
      <c r="P59" s="4">
        <f t="shared" si="8"/>
        <v>0</v>
      </c>
      <c r="Q59" s="4"/>
      <c r="R59" s="4">
        <f t="shared" si="9"/>
        <v>0</v>
      </c>
      <c r="S59" t="s">
        <v>388</v>
      </c>
    </row>
    <row r="60" outlineLevel="2" spans="1:19">
      <c r="A60" s="8" t="s">
        <v>75</v>
      </c>
      <c r="B60" s="3" t="s">
        <v>21</v>
      </c>
      <c r="C60" s="3" t="s">
        <v>17</v>
      </c>
      <c r="D60" s="3" t="s">
        <v>20</v>
      </c>
      <c r="E60" s="4">
        <v>5</v>
      </c>
      <c r="F60" s="4">
        <v>1</v>
      </c>
      <c r="G60" s="5">
        <v>0</v>
      </c>
      <c r="H60" s="5">
        <v>0</v>
      </c>
      <c r="I60" s="6">
        <v>62</v>
      </c>
      <c r="J60" s="5">
        <v>64</v>
      </c>
      <c r="K60" s="7">
        <v>2</v>
      </c>
      <c r="L60" s="5">
        <v>23</v>
      </c>
      <c r="M60" s="5">
        <v>38</v>
      </c>
      <c r="N60" s="7">
        <v>57</v>
      </c>
      <c r="O60" s="4">
        <v>27</v>
      </c>
      <c r="P60" s="4">
        <f t="shared" si="8"/>
        <v>0.135</v>
      </c>
      <c r="Q60" s="4"/>
      <c r="R60" s="4">
        <f t="shared" si="9"/>
        <v>0</v>
      </c>
      <c r="S60" t="s">
        <v>388</v>
      </c>
    </row>
    <row r="61" s="1" customFormat="1" outlineLevel="1" spans="1:19">
      <c r="A61" s="9" t="s">
        <v>394</v>
      </c>
      <c r="B61" s="10"/>
      <c r="C61" s="10"/>
      <c r="D61" s="10"/>
      <c r="E61" s="11"/>
      <c r="F61" s="11"/>
      <c r="G61" s="12"/>
      <c r="H61" s="12"/>
      <c r="I61" s="12"/>
      <c r="J61" s="12"/>
      <c r="K61" s="13"/>
      <c r="L61" s="12"/>
      <c r="M61" s="12"/>
      <c r="N61" s="13"/>
      <c r="O61" s="11">
        <f>SUBTOTAL(9,O50:O60)</f>
        <v>425</v>
      </c>
      <c r="P61" s="11">
        <f>SUBTOTAL(9,P50:P60)</f>
        <v>3.045</v>
      </c>
      <c r="Q61" s="11">
        <f>SUBTOTAL(9,Q50:Q60)</f>
        <v>0</v>
      </c>
      <c r="R61" s="11">
        <f>SUBTOTAL(9,R50:R60)</f>
        <v>0</v>
      </c>
      <c r="S61" t="s">
        <v>388</v>
      </c>
    </row>
    <row r="62" outlineLevel="2" spans="1:19">
      <c r="A62" s="3" t="s">
        <v>76</v>
      </c>
      <c r="B62" s="3" t="s">
        <v>59</v>
      </c>
      <c r="C62" s="3" t="s">
        <v>17</v>
      </c>
      <c r="D62" s="3" t="s">
        <v>20</v>
      </c>
      <c r="E62" s="4">
        <v>2.5</v>
      </c>
      <c r="F62" s="4">
        <v>1</v>
      </c>
      <c r="G62" s="5">
        <v>0</v>
      </c>
      <c r="H62" s="5">
        <v>0</v>
      </c>
      <c r="I62" s="6">
        <v>139</v>
      </c>
      <c r="J62" s="5">
        <v>139</v>
      </c>
      <c r="K62" s="7">
        <v>1</v>
      </c>
      <c r="L62" s="5">
        <v>2</v>
      </c>
      <c r="M62" s="5">
        <v>24</v>
      </c>
      <c r="N62" s="7">
        <v>50</v>
      </c>
      <c r="O62" s="4">
        <v>69</v>
      </c>
      <c r="P62" s="4">
        <f t="shared" ref="P62:P72" si="10">E62*O62/1000</f>
        <v>0.1725</v>
      </c>
      <c r="Q62" s="4">
        <v>0</v>
      </c>
      <c r="R62" s="4">
        <f t="shared" ref="R62:R72" si="11">E62*Q62/1000</f>
        <v>0</v>
      </c>
      <c r="S62" s="15" t="s">
        <v>391</v>
      </c>
    </row>
    <row r="63" outlineLevel="2" spans="1:19">
      <c r="A63" s="8" t="s">
        <v>76</v>
      </c>
      <c r="B63" s="3" t="s">
        <v>60</v>
      </c>
      <c r="C63" s="3" t="s">
        <v>17</v>
      </c>
      <c r="D63" s="3" t="s">
        <v>20</v>
      </c>
      <c r="E63" s="4">
        <v>10</v>
      </c>
      <c r="F63" s="4">
        <v>1</v>
      </c>
      <c r="G63" s="5">
        <v>0</v>
      </c>
      <c r="H63" s="5">
        <v>0</v>
      </c>
      <c r="I63" s="6">
        <v>29</v>
      </c>
      <c r="J63" s="5">
        <v>29</v>
      </c>
      <c r="K63" s="7">
        <v>0</v>
      </c>
      <c r="L63" s="5">
        <v>19</v>
      </c>
      <c r="M63" s="5">
        <v>32</v>
      </c>
      <c r="N63" s="7">
        <v>40</v>
      </c>
      <c r="O63" s="4">
        <v>28</v>
      </c>
      <c r="P63" s="4">
        <f t="shared" si="10"/>
        <v>0.28</v>
      </c>
      <c r="Q63" s="4">
        <v>28</v>
      </c>
      <c r="R63" s="4">
        <f t="shared" si="11"/>
        <v>0.28</v>
      </c>
      <c r="S63" s="15" t="s">
        <v>391</v>
      </c>
    </row>
    <row r="64" outlineLevel="2" spans="1:19">
      <c r="A64" s="8" t="s">
        <v>76</v>
      </c>
      <c r="B64" s="3" t="s">
        <v>16</v>
      </c>
      <c r="C64" s="3" t="s">
        <v>17</v>
      </c>
      <c r="D64" s="3" t="s">
        <v>20</v>
      </c>
      <c r="E64" s="4">
        <v>5</v>
      </c>
      <c r="F64" s="4">
        <v>1</v>
      </c>
      <c r="G64" s="5">
        <v>0</v>
      </c>
      <c r="H64" s="5">
        <v>0</v>
      </c>
      <c r="I64" s="6">
        <v>34</v>
      </c>
      <c r="J64" s="5">
        <v>34</v>
      </c>
      <c r="K64" s="7">
        <v>3</v>
      </c>
      <c r="L64" s="5">
        <v>54</v>
      </c>
      <c r="M64" s="5">
        <v>65</v>
      </c>
      <c r="N64" s="7">
        <v>89</v>
      </c>
      <c r="O64" s="4">
        <v>97</v>
      </c>
      <c r="P64" s="4">
        <f t="shared" si="10"/>
        <v>0.485</v>
      </c>
      <c r="Q64" s="4">
        <v>97</v>
      </c>
      <c r="R64" s="4">
        <f t="shared" si="11"/>
        <v>0.485</v>
      </c>
      <c r="S64" s="15" t="s">
        <v>391</v>
      </c>
    </row>
    <row r="65" outlineLevel="2" spans="1:19">
      <c r="A65" s="8" t="s">
        <v>76</v>
      </c>
      <c r="B65" s="3" t="s">
        <v>61</v>
      </c>
      <c r="C65" s="3" t="s">
        <v>17</v>
      </c>
      <c r="D65" s="3" t="s">
        <v>20</v>
      </c>
      <c r="E65" s="4">
        <v>10</v>
      </c>
      <c r="F65" s="4">
        <v>1</v>
      </c>
      <c r="G65" s="5">
        <v>0</v>
      </c>
      <c r="H65" s="5">
        <v>0</v>
      </c>
      <c r="I65" s="6">
        <v>41</v>
      </c>
      <c r="J65" s="5">
        <v>41</v>
      </c>
      <c r="K65" s="7">
        <v>1</v>
      </c>
      <c r="L65" s="5">
        <v>14</v>
      </c>
      <c r="M65" s="5">
        <v>25</v>
      </c>
      <c r="N65" s="7">
        <v>47</v>
      </c>
      <c r="O65" s="4">
        <v>72</v>
      </c>
      <c r="P65" s="4">
        <f t="shared" si="10"/>
        <v>0.72</v>
      </c>
      <c r="Q65" s="4">
        <v>0</v>
      </c>
      <c r="R65" s="4">
        <f t="shared" si="11"/>
        <v>0</v>
      </c>
      <c r="S65" s="15" t="s">
        <v>391</v>
      </c>
    </row>
    <row r="66" outlineLevel="2" spans="1:19">
      <c r="A66" s="8" t="s">
        <v>76</v>
      </c>
      <c r="B66" s="3" t="s">
        <v>62</v>
      </c>
      <c r="C66" s="3" t="s">
        <v>17</v>
      </c>
      <c r="D66" s="3" t="s">
        <v>20</v>
      </c>
      <c r="E66" s="4">
        <v>10</v>
      </c>
      <c r="F66" s="4">
        <v>1</v>
      </c>
      <c r="G66" s="5">
        <v>0</v>
      </c>
      <c r="H66" s="5">
        <v>0</v>
      </c>
      <c r="I66" s="6">
        <v>48</v>
      </c>
      <c r="J66" s="5">
        <v>48</v>
      </c>
      <c r="K66" s="7">
        <v>3</v>
      </c>
      <c r="L66" s="5">
        <v>7</v>
      </c>
      <c r="M66" s="5">
        <v>7</v>
      </c>
      <c r="N66" s="7">
        <v>40</v>
      </c>
      <c r="O66" s="4">
        <v>12</v>
      </c>
      <c r="P66" s="4">
        <f t="shared" si="10"/>
        <v>0.12</v>
      </c>
      <c r="Q66" s="4">
        <v>12</v>
      </c>
      <c r="R66" s="4">
        <f t="shared" si="11"/>
        <v>0.12</v>
      </c>
      <c r="S66" s="15" t="s">
        <v>391</v>
      </c>
    </row>
    <row r="67" outlineLevel="2" spans="1:19">
      <c r="A67" s="8" t="s">
        <v>76</v>
      </c>
      <c r="B67" s="3" t="s">
        <v>19</v>
      </c>
      <c r="C67" s="3" t="s">
        <v>17</v>
      </c>
      <c r="D67" s="3" t="s">
        <v>20</v>
      </c>
      <c r="E67" s="4">
        <v>5</v>
      </c>
      <c r="F67" s="4">
        <v>1</v>
      </c>
      <c r="G67" s="5">
        <v>0</v>
      </c>
      <c r="H67" s="5">
        <v>0</v>
      </c>
      <c r="I67" s="6">
        <v>4</v>
      </c>
      <c r="J67" s="5">
        <v>4</v>
      </c>
      <c r="K67" s="7">
        <v>25</v>
      </c>
      <c r="L67" s="5">
        <v>339</v>
      </c>
      <c r="M67" s="5">
        <v>470</v>
      </c>
      <c r="N67" s="7">
        <v>629</v>
      </c>
      <c r="O67" s="4">
        <v>767</v>
      </c>
      <c r="P67" s="4">
        <f t="shared" si="10"/>
        <v>3.835</v>
      </c>
      <c r="Q67" s="4">
        <v>730</v>
      </c>
      <c r="R67" s="4">
        <f t="shared" si="11"/>
        <v>3.65</v>
      </c>
      <c r="S67" s="15" t="s">
        <v>391</v>
      </c>
    </row>
    <row r="68" outlineLevel="2" spans="1:19">
      <c r="A68" s="8" t="s">
        <v>76</v>
      </c>
      <c r="B68" s="3" t="s">
        <v>63</v>
      </c>
      <c r="C68" s="3" t="s">
        <v>17</v>
      </c>
      <c r="D68" s="3" t="s">
        <v>20</v>
      </c>
      <c r="E68" s="4">
        <v>25</v>
      </c>
      <c r="F68" s="4">
        <v>1</v>
      </c>
      <c r="G68" s="5">
        <v>0</v>
      </c>
      <c r="H68" s="5">
        <v>0</v>
      </c>
      <c r="I68" s="6">
        <v>81</v>
      </c>
      <c r="J68" s="5">
        <v>85</v>
      </c>
      <c r="K68" s="7">
        <v>1</v>
      </c>
      <c r="L68" s="5">
        <v>7</v>
      </c>
      <c r="M68" s="5">
        <v>28</v>
      </c>
      <c r="N68" s="7">
        <v>45</v>
      </c>
      <c r="O68" s="4">
        <v>113</v>
      </c>
      <c r="P68" s="4">
        <f t="shared" si="10"/>
        <v>2.825</v>
      </c>
      <c r="Q68" s="4">
        <v>0</v>
      </c>
      <c r="R68" s="4">
        <f t="shared" si="11"/>
        <v>0</v>
      </c>
      <c r="S68" s="15" t="s">
        <v>391</v>
      </c>
    </row>
    <row r="69" outlineLevel="2" spans="1:19">
      <c r="A69" s="8" t="s">
        <v>76</v>
      </c>
      <c r="B69" s="3" t="s">
        <v>64</v>
      </c>
      <c r="C69" s="3" t="s">
        <v>17</v>
      </c>
      <c r="D69" s="3" t="s">
        <v>20</v>
      </c>
      <c r="E69" s="4">
        <v>10</v>
      </c>
      <c r="F69" s="4">
        <v>1</v>
      </c>
      <c r="G69" s="5">
        <v>0</v>
      </c>
      <c r="H69" s="5">
        <v>0</v>
      </c>
      <c r="I69" s="6">
        <v>54</v>
      </c>
      <c r="J69" s="5">
        <v>54</v>
      </c>
      <c r="K69" s="7">
        <v>7</v>
      </c>
      <c r="L69" s="5">
        <v>28</v>
      </c>
      <c r="M69" s="5">
        <v>45</v>
      </c>
      <c r="N69" s="7">
        <v>89</v>
      </c>
      <c r="O69" s="4">
        <v>70</v>
      </c>
      <c r="P69" s="4">
        <f t="shared" si="10"/>
        <v>0.7</v>
      </c>
      <c r="Q69" s="4">
        <v>70</v>
      </c>
      <c r="R69" s="4">
        <f t="shared" si="11"/>
        <v>0.7</v>
      </c>
      <c r="S69" s="15" t="s">
        <v>391</v>
      </c>
    </row>
    <row r="70" outlineLevel="2" spans="1:19">
      <c r="A70" s="8" t="s">
        <v>76</v>
      </c>
      <c r="B70" s="3" t="s">
        <v>23</v>
      </c>
      <c r="C70" s="3" t="s">
        <v>17</v>
      </c>
      <c r="D70" s="3" t="s">
        <v>20</v>
      </c>
      <c r="E70" s="4">
        <v>5</v>
      </c>
      <c r="F70" s="4">
        <v>5</v>
      </c>
      <c r="G70" s="5">
        <v>0</v>
      </c>
      <c r="H70" s="5">
        <v>0.72</v>
      </c>
      <c r="I70" s="6">
        <v>31</v>
      </c>
      <c r="J70" s="5">
        <v>31</v>
      </c>
      <c r="K70" s="7">
        <v>0</v>
      </c>
      <c r="L70" s="5">
        <v>3</v>
      </c>
      <c r="M70" s="5">
        <v>6</v>
      </c>
      <c r="N70" s="7">
        <v>15</v>
      </c>
      <c r="O70" s="4">
        <v>10</v>
      </c>
      <c r="P70" s="4">
        <f t="shared" si="10"/>
        <v>0.05</v>
      </c>
      <c r="Q70" s="4">
        <v>0</v>
      </c>
      <c r="R70" s="4">
        <f t="shared" si="11"/>
        <v>0</v>
      </c>
      <c r="S70" s="15" t="s">
        <v>391</v>
      </c>
    </row>
    <row r="71" outlineLevel="2" spans="1:19">
      <c r="A71" s="8" t="s">
        <v>76</v>
      </c>
      <c r="B71" s="3" t="s">
        <v>65</v>
      </c>
      <c r="C71" s="3" t="s">
        <v>17</v>
      </c>
      <c r="D71" s="3" t="s">
        <v>20</v>
      </c>
      <c r="E71" s="4">
        <v>2.5</v>
      </c>
      <c r="F71" s="4">
        <v>1</v>
      </c>
      <c r="G71" s="5">
        <v>0</v>
      </c>
      <c r="H71" s="5">
        <v>0</v>
      </c>
      <c r="I71" s="6">
        <v>113</v>
      </c>
      <c r="J71" s="5">
        <v>113</v>
      </c>
      <c r="K71" s="7">
        <v>16</v>
      </c>
      <c r="L71" s="5">
        <v>41</v>
      </c>
      <c r="M71" s="5">
        <v>60</v>
      </c>
      <c r="N71" s="7">
        <v>66</v>
      </c>
      <c r="O71" s="4">
        <v>0</v>
      </c>
      <c r="P71" s="4">
        <f t="shared" si="10"/>
        <v>0</v>
      </c>
      <c r="Q71" s="4">
        <v>0</v>
      </c>
      <c r="R71" s="4">
        <f t="shared" si="11"/>
        <v>0</v>
      </c>
      <c r="S71" s="15" t="s">
        <v>391</v>
      </c>
    </row>
    <row r="72" outlineLevel="2" spans="1:19">
      <c r="A72" s="8" t="s">
        <v>76</v>
      </c>
      <c r="B72" s="3" t="s">
        <v>21</v>
      </c>
      <c r="C72" s="3" t="s">
        <v>17</v>
      </c>
      <c r="D72" s="3" t="s">
        <v>20</v>
      </c>
      <c r="E72" s="4">
        <v>5</v>
      </c>
      <c r="F72" s="4">
        <v>1</v>
      </c>
      <c r="G72" s="5">
        <v>0</v>
      </c>
      <c r="H72" s="5">
        <v>0</v>
      </c>
      <c r="I72" s="6">
        <v>75</v>
      </c>
      <c r="J72" s="5">
        <v>79</v>
      </c>
      <c r="K72" s="7">
        <v>5</v>
      </c>
      <c r="L72" s="5">
        <v>15</v>
      </c>
      <c r="M72" s="5">
        <v>17</v>
      </c>
      <c r="N72" s="7">
        <v>68</v>
      </c>
      <c r="O72" s="4">
        <v>15</v>
      </c>
      <c r="P72" s="4">
        <f t="shared" si="10"/>
        <v>0.075</v>
      </c>
      <c r="Q72" s="4">
        <v>15</v>
      </c>
      <c r="R72" s="4">
        <f t="shared" si="11"/>
        <v>0.075</v>
      </c>
      <c r="S72" s="15" t="s">
        <v>391</v>
      </c>
    </row>
    <row r="73" s="1" customFormat="1" outlineLevel="1" spans="1:19">
      <c r="A73" s="9" t="s">
        <v>395</v>
      </c>
      <c r="B73" s="10"/>
      <c r="C73" s="10"/>
      <c r="D73" s="10"/>
      <c r="E73" s="11"/>
      <c r="F73" s="11"/>
      <c r="G73" s="12"/>
      <c r="H73" s="12"/>
      <c r="I73" s="12"/>
      <c r="J73" s="12"/>
      <c r="K73" s="13"/>
      <c r="L73" s="12"/>
      <c r="M73" s="12"/>
      <c r="N73" s="13"/>
      <c r="O73" s="11">
        <f>SUBTOTAL(9,O62:O72)</f>
        <v>1253</v>
      </c>
      <c r="P73" s="11">
        <f>SUBTOTAL(9,P62:P72)</f>
        <v>9.2625</v>
      </c>
      <c r="Q73" s="11">
        <f>SUBTOTAL(9,Q62:Q72)</f>
        <v>952</v>
      </c>
      <c r="R73" s="11">
        <f>SUBTOTAL(9,R62:R72)</f>
        <v>5.31</v>
      </c>
      <c r="S73" s="15" t="s">
        <v>391</v>
      </c>
    </row>
    <row r="74" outlineLevel="2" spans="1:19">
      <c r="A74" s="3" t="s">
        <v>78</v>
      </c>
      <c r="B74" s="3" t="s">
        <v>59</v>
      </c>
      <c r="C74" s="3" t="s">
        <v>17</v>
      </c>
      <c r="D74" s="3" t="s">
        <v>20</v>
      </c>
      <c r="E74" s="4">
        <v>2.5</v>
      </c>
      <c r="F74" s="4">
        <v>1</v>
      </c>
      <c r="G74" s="5">
        <v>0</v>
      </c>
      <c r="H74" s="5">
        <v>0</v>
      </c>
      <c r="I74" s="6">
        <v>65</v>
      </c>
      <c r="J74" s="5">
        <v>65</v>
      </c>
      <c r="K74" s="7">
        <v>0</v>
      </c>
      <c r="L74" s="5">
        <v>4</v>
      </c>
      <c r="M74" s="5">
        <v>50</v>
      </c>
      <c r="N74" s="7">
        <v>53</v>
      </c>
      <c r="O74" s="4">
        <v>7</v>
      </c>
      <c r="P74" s="4">
        <f t="shared" ref="P74:P84" si="12">E74*O74/1000</f>
        <v>0.0175</v>
      </c>
      <c r="Q74" s="4">
        <v>7</v>
      </c>
      <c r="R74" s="4">
        <f t="shared" ref="R74:R84" si="13">E74*Q74/1000</f>
        <v>0.0175</v>
      </c>
      <c r="S74" t="s">
        <v>388</v>
      </c>
    </row>
    <row r="75" outlineLevel="2" spans="1:19">
      <c r="A75" s="8" t="s">
        <v>78</v>
      </c>
      <c r="B75" s="3" t="s">
        <v>60</v>
      </c>
      <c r="C75" s="3" t="s">
        <v>17</v>
      </c>
      <c r="D75" s="3" t="s">
        <v>20</v>
      </c>
      <c r="E75" s="4">
        <v>10</v>
      </c>
      <c r="F75" s="4">
        <v>1</v>
      </c>
      <c r="G75" s="5">
        <v>0</v>
      </c>
      <c r="H75" s="5">
        <v>0</v>
      </c>
      <c r="I75" s="6">
        <v>45</v>
      </c>
      <c r="J75" s="5">
        <v>45</v>
      </c>
      <c r="K75" s="7">
        <v>1</v>
      </c>
      <c r="L75" s="5">
        <v>5</v>
      </c>
      <c r="M75" s="5">
        <v>19</v>
      </c>
      <c r="N75" s="7">
        <v>30</v>
      </c>
      <c r="O75" s="4">
        <v>8</v>
      </c>
      <c r="P75" s="4">
        <f t="shared" si="12"/>
        <v>0.08</v>
      </c>
      <c r="Q75" s="4">
        <v>8</v>
      </c>
      <c r="R75" s="4">
        <f t="shared" si="13"/>
        <v>0.08</v>
      </c>
      <c r="S75" t="s">
        <v>388</v>
      </c>
    </row>
    <row r="76" outlineLevel="2" spans="1:19">
      <c r="A76" s="8" t="s">
        <v>78</v>
      </c>
      <c r="B76" s="3" t="s">
        <v>16</v>
      </c>
      <c r="C76" s="3" t="s">
        <v>17</v>
      </c>
      <c r="D76" s="3" t="s">
        <v>20</v>
      </c>
      <c r="E76" s="4">
        <v>5</v>
      </c>
      <c r="F76" s="4">
        <v>1</v>
      </c>
      <c r="G76" s="5">
        <v>0</v>
      </c>
      <c r="H76" s="5">
        <v>16.37</v>
      </c>
      <c r="I76" s="6">
        <v>93</v>
      </c>
      <c r="J76" s="5">
        <v>93</v>
      </c>
      <c r="K76" s="7">
        <v>3</v>
      </c>
      <c r="L76" s="5">
        <v>12</v>
      </c>
      <c r="M76" s="5">
        <v>30</v>
      </c>
      <c r="N76" s="7">
        <v>45</v>
      </c>
      <c r="O76" s="4">
        <v>0</v>
      </c>
      <c r="P76" s="4">
        <f t="shared" si="12"/>
        <v>0</v>
      </c>
      <c r="Q76" s="4">
        <v>0</v>
      </c>
      <c r="R76" s="4">
        <f t="shared" si="13"/>
        <v>0</v>
      </c>
      <c r="S76" t="s">
        <v>388</v>
      </c>
    </row>
    <row r="77" outlineLevel="2" spans="1:19">
      <c r="A77" s="8" t="s">
        <v>78</v>
      </c>
      <c r="B77" s="3" t="s">
        <v>61</v>
      </c>
      <c r="C77" s="3" t="s">
        <v>17</v>
      </c>
      <c r="D77" s="3" t="s">
        <v>20</v>
      </c>
      <c r="E77" s="4">
        <v>10</v>
      </c>
      <c r="F77" s="4">
        <v>1</v>
      </c>
      <c r="G77" s="5">
        <v>0</v>
      </c>
      <c r="H77" s="5">
        <v>0</v>
      </c>
      <c r="I77" s="6">
        <v>18</v>
      </c>
      <c r="J77" s="5">
        <v>18</v>
      </c>
      <c r="K77" s="7">
        <v>0</v>
      </c>
      <c r="L77" s="5">
        <v>24</v>
      </c>
      <c r="M77" s="5">
        <v>33</v>
      </c>
      <c r="N77" s="7">
        <v>42</v>
      </c>
      <c r="O77" s="4">
        <v>36</v>
      </c>
      <c r="P77" s="4">
        <f t="shared" si="12"/>
        <v>0.36</v>
      </c>
      <c r="Q77" s="4">
        <v>15</v>
      </c>
      <c r="R77" s="4">
        <f t="shared" si="13"/>
        <v>0.15</v>
      </c>
      <c r="S77" t="s">
        <v>388</v>
      </c>
    </row>
    <row r="78" outlineLevel="2" spans="1:19">
      <c r="A78" s="8" t="s">
        <v>78</v>
      </c>
      <c r="B78" s="3" t="s">
        <v>62</v>
      </c>
      <c r="C78" s="3" t="s">
        <v>17</v>
      </c>
      <c r="D78" s="3" t="s">
        <v>20</v>
      </c>
      <c r="E78" s="4">
        <v>10</v>
      </c>
      <c r="F78" s="4">
        <v>1</v>
      </c>
      <c r="G78" s="5">
        <v>0</v>
      </c>
      <c r="H78" s="5">
        <v>0</v>
      </c>
      <c r="I78" s="6">
        <v>57</v>
      </c>
      <c r="J78" s="5">
        <v>58</v>
      </c>
      <c r="K78" s="7">
        <v>1</v>
      </c>
      <c r="L78" s="5">
        <v>7</v>
      </c>
      <c r="M78" s="5">
        <v>22</v>
      </c>
      <c r="N78" s="7">
        <v>36</v>
      </c>
      <c r="O78" s="4">
        <v>3</v>
      </c>
      <c r="P78" s="4">
        <f t="shared" si="12"/>
        <v>0.03</v>
      </c>
      <c r="Q78" s="4">
        <v>0</v>
      </c>
      <c r="R78" s="4">
        <f t="shared" si="13"/>
        <v>0</v>
      </c>
      <c r="S78" t="s">
        <v>388</v>
      </c>
    </row>
    <row r="79" outlineLevel="2" spans="1:19">
      <c r="A79" s="8" t="s">
        <v>78</v>
      </c>
      <c r="B79" s="3" t="s">
        <v>19</v>
      </c>
      <c r="C79" s="3" t="s">
        <v>17</v>
      </c>
      <c r="D79" s="3" t="s">
        <v>20</v>
      </c>
      <c r="E79" s="4">
        <v>5</v>
      </c>
      <c r="F79" s="4">
        <v>1</v>
      </c>
      <c r="G79" s="5">
        <v>0</v>
      </c>
      <c r="H79" s="5">
        <v>0</v>
      </c>
      <c r="I79" s="6">
        <v>164</v>
      </c>
      <c r="J79" s="5">
        <v>172</v>
      </c>
      <c r="K79" s="7">
        <v>14</v>
      </c>
      <c r="L79" s="5">
        <v>134</v>
      </c>
      <c r="M79" s="5">
        <v>210</v>
      </c>
      <c r="N79" s="7">
        <v>310</v>
      </c>
      <c r="O79" s="4">
        <v>394</v>
      </c>
      <c r="P79" s="4">
        <f t="shared" si="12"/>
        <v>1.97</v>
      </c>
      <c r="Q79" s="4">
        <v>394</v>
      </c>
      <c r="R79" s="4">
        <f t="shared" si="13"/>
        <v>1.97</v>
      </c>
      <c r="S79" t="s">
        <v>388</v>
      </c>
    </row>
    <row r="80" outlineLevel="2" spans="1:19">
      <c r="A80" s="8" t="s">
        <v>78</v>
      </c>
      <c r="B80" s="3" t="s">
        <v>63</v>
      </c>
      <c r="C80" s="3" t="s">
        <v>17</v>
      </c>
      <c r="D80" s="3" t="s">
        <v>20</v>
      </c>
      <c r="E80" s="4">
        <v>25</v>
      </c>
      <c r="F80" s="4">
        <v>1</v>
      </c>
      <c r="G80" s="5">
        <v>0</v>
      </c>
      <c r="H80" s="5">
        <v>0</v>
      </c>
      <c r="I80" s="6">
        <v>64</v>
      </c>
      <c r="J80" s="5">
        <v>68</v>
      </c>
      <c r="K80" s="7">
        <v>3</v>
      </c>
      <c r="L80" s="5">
        <v>24</v>
      </c>
      <c r="M80" s="5">
        <v>43</v>
      </c>
      <c r="N80" s="7">
        <v>50</v>
      </c>
      <c r="O80" s="4">
        <v>129</v>
      </c>
      <c r="P80" s="4">
        <f t="shared" si="12"/>
        <v>3.225</v>
      </c>
      <c r="Q80" s="14">
        <v>50</v>
      </c>
      <c r="R80" s="4">
        <f t="shared" si="13"/>
        <v>1.25</v>
      </c>
      <c r="S80" t="s">
        <v>388</v>
      </c>
    </row>
    <row r="81" outlineLevel="2" spans="1:19">
      <c r="A81" s="8" t="s">
        <v>78</v>
      </c>
      <c r="B81" s="3" t="s">
        <v>64</v>
      </c>
      <c r="C81" s="3" t="s">
        <v>17</v>
      </c>
      <c r="D81" s="3" t="s">
        <v>20</v>
      </c>
      <c r="E81" s="4">
        <v>10</v>
      </c>
      <c r="F81" s="4">
        <v>1</v>
      </c>
      <c r="G81" s="5">
        <v>0</v>
      </c>
      <c r="H81" s="5">
        <v>0</v>
      </c>
      <c r="I81" s="6">
        <v>47</v>
      </c>
      <c r="J81" s="5">
        <v>48</v>
      </c>
      <c r="K81" s="7">
        <v>3</v>
      </c>
      <c r="L81" s="5">
        <v>9</v>
      </c>
      <c r="M81" s="5">
        <v>9</v>
      </c>
      <c r="N81" s="7">
        <v>30</v>
      </c>
      <c r="O81" s="4">
        <v>0</v>
      </c>
      <c r="P81" s="4">
        <f t="shared" si="12"/>
        <v>0</v>
      </c>
      <c r="Q81" s="4">
        <v>0</v>
      </c>
      <c r="R81" s="4">
        <f t="shared" si="13"/>
        <v>0</v>
      </c>
      <c r="S81" t="s">
        <v>388</v>
      </c>
    </row>
    <row r="82" outlineLevel="2" spans="1:19">
      <c r="A82" s="8" t="s">
        <v>78</v>
      </c>
      <c r="B82" s="3" t="s">
        <v>23</v>
      </c>
      <c r="C82" s="3" t="s">
        <v>17</v>
      </c>
      <c r="D82" s="3" t="s">
        <v>20</v>
      </c>
      <c r="E82" s="4">
        <v>5</v>
      </c>
      <c r="F82" s="4">
        <v>5</v>
      </c>
      <c r="G82" s="5">
        <v>0</v>
      </c>
      <c r="H82" s="5">
        <v>0</v>
      </c>
      <c r="I82" s="6">
        <v>38</v>
      </c>
      <c r="J82" s="5">
        <v>38</v>
      </c>
      <c r="K82" s="7">
        <v>0</v>
      </c>
      <c r="L82" s="5">
        <v>9</v>
      </c>
      <c r="M82" s="5">
        <v>23</v>
      </c>
      <c r="N82" s="7">
        <v>53</v>
      </c>
      <c r="O82" s="4">
        <v>10</v>
      </c>
      <c r="P82" s="4">
        <f t="shared" si="12"/>
        <v>0.05</v>
      </c>
      <c r="Q82" s="4">
        <v>10</v>
      </c>
      <c r="R82" s="4">
        <f t="shared" si="13"/>
        <v>0.05</v>
      </c>
      <c r="S82" t="s">
        <v>388</v>
      </c>
    </row>
    <row r="83" outlineLevel="2" spans="1:19">
      <c r="A83" s="8" t="s">
        <v>78</v>
      </c>
      <c r="B83" s="3" t="s">
        <v>65</v>
      </c>
      <c r="C83" s="3" t="s">
        <v>17</v>
      </c>
      <c r="D83" s="3" t="s">
        <v>20</v>
      </c>
      <c r="E83" s="4">
        <v>2.5</v>
      </c>
      <c r="F83" s="4">
        <v>1</v>
      </c>
      <c r="G83" s="5">
        <v>0</v>
      </c>
      <c r="H83" s="5">
        <v>0</v>
      </c>
      <c r="I83" s="6">
        <v>99</v>
      </c>
      <c r="J83" s="5">
        <v>99</v>
      </c>
      <c r="K83" s="7">
        <v>0</v>
      </c>
      <c r="L83" s="5">
        <v>1</v>
      </c>
      <c r="M83" s="5">
        <v>38</v>
      </c>
      <c r="N83" s="7">
        <v>50</v>
      </c>
      <c r="O83" s="4">
        <v>0</v>
      </c>
      <c r="P83" s="4">
        <f t="shared" si="12"/>
        <v>0</v>
      </c>
      <c r="Q83" s="4">
        <v>0</v>
      </c>
      <c r="R83" s="4">
        <f t="shared" si="13"/>
        <v>0</v>
      </c>
      <c r="S83" t="s">
        <v>388</v>
      </c>
    </row>
    <row r="84" outlineLevel="2" spans="1:19">
      <c r="A84" s="8" t="s">
        <v>78</v>
      </c>
      <c r="B84" s="3" t="s">
        <v>21</v>
      </c>
      <c r="C84" s="3" t="s">
        <v>17</v>
      </c>
      <c r="D84" s="3" t="s">
        <v>20</v>
      </c>
      <c r="E84" s="4">
        <v>5</v>
      </c>
      <c r="F84" s="4">
        <v>1</v>
      </c>
      <c r="G84" s="5">
        <v>0</v>
      </c>
      <c r="H84" s="5">
        <v>0</v>
      </c>
      <c r="I84" s="6">
        <v>91</v>
      </c>
      <c r="J84" s="5">
        <v>91</v>
      </c>
      <c r="K84" s="7">
        <v>1</v>
      </c>
      <c r="L84" s="5">
        <v>9</v>
      </c>
      <c r="M84" s="5">
        <v>24</v>
      </c>
      <c r="N84" s="7">
        <v>78</v>
      </c>
      <c r="O84" s="4">
        <v>48</v>
      </c>
      <c r="P84" s="4">
        <f t="shared" si="12"/>
        <v>0.24</v>
      </c>
      <c r="Q84" s="4">
        <v>48</v>
      </c>
      <c r="R84" s="4">
        <f t="shared" si="13"/>
        <v>0.24</v>
      </c>
      <c r="S84" t="s">
        <v>388</v>
      </c>
    </row>
    <row r="85" s="1" customFormat="1" outlineLevel="1" spans="1:19">
      <c r="A85" s="9" t="s">
        <v>396</v>
      </c>
      <c r="B85" s="10"/>
      <c r="C85" s="10"/>
      <c r="D85" s="10"/>
      <c r="E85" s="11"/>
      <c r="F85" s="11"/>
      <c r="G85" s="12"/>
      <c r="H85" s="12"/>
      <c r="I85" s="12"/>
      <c r="J85" s="12"/>
      <c r="K85" s="13"/>
      <c r="L85" s="12"/>
      <c r="M85" s="12"/>
      <c r="N85" s="13"/>
      <c r="O85" s="11">
        <f>SUBTOTAL(9,O74:O84)</f>
        <v>635</v>
      </c>
      <c r="P85" s="11">
        <f>SUBTOTAL(9,P74:P84)</f>
        <v>5.9725</v>
      </c>
      <c r="Q85" s="11">
        <f>SUBTOTAL(9,Q74:Q84)</f>
        <v>532</v>
      </c>
      <c r="R85" s="11">
        <f>SUBTOTAL(9,R74:R84)</f>
        <v>3.7575</v>
      </c>
      <c r="S85" t="s">
        <v>388</v>
      </c>
    </row>
    <row r="86" outlineLevel="2" spans="1:19">
      <c r="A86" s="3" t="s">
        <v>79</v>
      </c>
      <c r="B86" s="3" t="s">
        <v>59</v>
      </c>
      <c r="C86" s="3" t="s">
        <v>17</v>
      </c>
      <c r="D86" s="3" t="s">
        <v>20</v>
      </c>
      <c r="E86" s="4">
        <v>2.5</v>
      </c>
      <c r="F86" s="4">
        <v>1</v>
      </c>
      <c r="G86" s="5">
        <v>0</v>
      </c>
      <c r="H86" s="5">
        <v>0</v>
      </c>
      <c r="I86" s="6">
        <v>80</v>
      </c>
      <c r="J86" s="5">
        <v>80</v>
      </c>
      <c r="K86" s="7">
        <v>4</v>
      </c>
      <c r="L86" s="5">
        <v>12</v>
      </c>
      <c r="M86" s="5">
        <v>47</v>
      </c>
      <c r="N86" s="7">
        <v>70</v>
      </c>
      <c r="O86" s="4">
        <v>222</v>
      </c>
      <c r="P86" s="4">
        <f t="shared" ref="P86:P105" si="14">E86*O86/1000</f>
        <v>0.555</v>
      </c>
      <c r="Q86" s="16">
        <v>150</v>
      </c>
      <c r="R86" s="4">
        <f t="shared" ref="R86:R105" si="15">E86*Q86/1000</f>
        <v>0.375</v>
      </c>
      <c r="S86" s="15" t="s">
        <v>391</v>
      </c>
    </row>
    <row r="87" outlineLevel="2" spans="1:19">
      <c r="A87" s="8" t="s">
        <v>79</v>
      </c>
      <c r="B87" s="3" t="s">
        <v>60</v>
      </c>
      <c r="C87" s="3" t="s">
        <v>17</v>
      </c>
      <c r="D87" s="3" t="s">
        <v>70</v>
      </c>
      <c r="E87" s="4">
        <v>10</v>
      </c>
      <c r="F87" s="4">
        <v>1</v>
      </c>
      <c r="G87" s="5">
        <v>0</v>
      </c>
      <c r="H87" s="5">
        <v>0</v>
      </c>
      <c r="I87" s="6">
        <v>0</v>
      </c>
      <c r="J87" s="5">
        <v>0</v>
      </c>
      <c r="K87" s="7">
        <v>0</v>
      </c>
      <c r="L87" s="5">
        <v>15</v>
      </c>
      <c r="M87" s="5">
        <v>43</v>
      </c>
      <c r="N87" s="7">
        <v>67</v>
      </c>
      <c r="O87" s="4">
        <v>85</v>
      </c>
      <c r="P87" s="4">
        <f t="shared" si="14"/>
        <v>0.85</v>
      </c>
      <c r="Q87" s="4">
        <v>85</v>
      </c>
      <c r="R87" s="4">
        <f t="shared" si="15"/>
        <v>0.85</v>
      </c>
      <c r="S87" s="15" t="s">
        <v>391</v>
      </c>
    </row>
    <row r="88" outlineLevel="2" spans="1:19">
      <c r="A88" s="8" t="s">
        <v>79</v>
      </c>
      <c r="B88" s="3" t="s">
        <v>16</v>
      </c>
      <c r="C88" s="3" t="s">
        <v>17</v>
      </c>
      <c r="D88" s="3" t="s">
        <v>20</v>
      </c>
      <c r="E88" s="4">
        <v>5</v>
      </c>
      <c r="F88" s="4">
        <v>1</v>
      </c>
      <c r="G88" s="5">
        <v>0</v>
      </c>
      <c r="H88" s="5">
        <v>0</v>
      </c>
      <c r="I88" s="6">
        <v>99</v>
      </c>
      <c r="J88" s="5">
        <v>99</v>
      </c>
      <c r="K88" s="7">
        <v>5</v>
      </c>
      <c r="L88" s="5">
        <v>36</v>
      </c>
      <c r="M88" s="5">
        <v>74</v>
      </c>
      <c r="N88" s="7">
        <v>147</v>
      </c>
      <c r="O88" s="4">
        <v>257</v>
      </c>
      <c r="P88" s="4">
        <f t="shared" si="14"/>
        <v>1.285</v>
      </c>
      <c r="Q88" s="16">
        <v>80</v>
      </c>
      <c r="R88" s="4">
        <f t="shared" si="15"/>
        <v>0.4</v>
      </c>
      <c r="S88" s="15" t="s">
        <v>391</v>
      </c>
    </row>
    <row r="89" outlineLevel="2" spans="1:19">
      <c r="A89" s="8" t="s">
        <v>79</v>
      </c>
      <c r="B89" s="3" t="s">
        <v>61</v>
      </c>
      <c r="C89" s="3" t="s">
        <v>17</v>
      </c>
      <c r="D89" s="3" t="s">
        <v>70</v>
      </c>
      <c r="E89" s="4">
        <v>10</v>
      </c>
      <c r="F89" s="4">
        <v>1</v>
      </c>
      <c r="G89" s="5">
        <v>0</v>
      </c>
      <c r="H89" s="5">
        <v>0</v>
      </c>
      <c r="I89" s="6">
        <v>0</v>
      </c>
      <c r="J89" s="5">
        <v>0</v>
      </c>
      <c r="K89" s="7">
        <v>0</v>
      </c>
      <c r="L89" s="5">
        <v>6</v>
      </c>
      <c r="M89" s="5">
        <v>13</v>
      </c>
      <c r="N89" s="7">
        <v>35</v>
      </c>
      <c r="O89" s="4">
        <v>83</v>
      </c>
      <c r="P89" s="4">
        <f t="shared" si="14"/>
        <v>0.83</v>
      </c>
      <c r="Q89" s="16">
        <v>40</v>
      </c>
      <c r="R89" s="4">
        <f t="shared" si="15"/>
        <v>0.4</v>
      </c>
      <c r="S89" s="15" t="s">
        <v>391</v>
      </c>
    </row>
    <row r="90" outlineLevel="2" spans="1:19">
      <c r="A90" s="8" t="s">
        <v>79</v>
      </c>
      <c r="B90" s="3" t="s">
        <v>62</v>
      </c>
      <c r="C90" s="3" t="s">
        <v>17</v>
      </c>
      <c r="D90" s="3" t="s">
        <v>20</v>
      </c>
      <c r="E90" s="4">
        <v>10</v>
      </c>
      <c r="F90" s="4">
        <v>1</v>
      </c>
      <c r="G90" s="5">
        <v>0</v>
      </c>
      <c r="H90" s="5">
        <v>0</v>
      </c>
      <c r="I90" s="6">
        <v>42</v>
      </c>
      <c r="J90" s="5">
        <v>43</v>
      </c>
      <c r="K90" s="7">
        <v>4</v>
      </c>
      <c r="L90" s="5">
        <v>15</v>
      </c>
      <c r="M90" s="5">
        <v>39</v>
      </c>
      <c r="N90" s="7">
        <v>100</v>
      </c>
      <c r="O90" s="4">
        <v>64</v>
      </c>
      <c r="P90" s="4">
        <f t="shared" si="14"/>
        <v>0.64</v>
      </c>
      <c r="Q90" s="4">
        <v>64</v>
      </c>
      <c r="R90" s="4">
        <f t="shared" si="15"/>
        <v>0.64</v>
      </c>
      <c r="S90" s="15" t="s">
        <v>391</v>
      </c>
    </row>
    <row r="91" outlineLevel="2" spans="1:19">
      <c r="A91" s="8" t="s">
        <v>79</v>
      </c>
      <c r="B91" s="3" t="s">
        <v>19</v>
      </c>
      <c r="C91" s="3" t="s">
        <v>17</v>
      </c>
      <c r="D91" s="3" t="s">
        <v>20</v>
      </c>
      <c r="E91" s="4">
        <v>5</v>
      </c>
      <c r="F91" s="4">
        <v>1</v>
      </c>
      <c r="G91" s="5">
        <v>0</v>
      </c>
      <c r="H91" s="5">
        <v>0</v>
      </c>
      <c r="I91" s="6">
        <v>402</v>
      </c>
      <c r="J91" s="5">
        <v>429</v>
      </c>
      <c r="K91" s="7">
        <v>12</v>
      </c>
      <c r="L91" s="5">
        <v>119</v>
      </c>
      <c r="M91" s="5">
        <v>199</v>
      </c>
      <c r="N91" s="7">
        <v>389</v>
      </c>
      <c r="O91" s="4">
        <v>723</v>
      </c>
      <c r="P91" s="4">
        <f t="shared" si="14"/>
        <v>3.615</v>
      </c>
      <c r="Q91" s="4">
        <v>723</v>
      </c>
      <c r="R91" s="4">
        <f t="shared" si="15"/>
        <v>3.615</v>
      </c>
      <c r="S91" s="15" t="s">
        <v>391</v>
      </c>
    </row>
    <row r="92" outlineLevel="2" spans="1:19">
      <c r="A92" s="8" t="s">
        <v>79</v>
      </c>
      <c r="B92" s="3" t="s">
        <v>63</v>
      </c>
      <c r="C92" s="3" t="s">
        <v>17</v>
      </c>
      <c r="D92" s="3" t="s">
        <v>20</v>
      </c>
      <c r="E92" s="4">
        <v>25</v>
      </c>
      <c r="F92" s="4">
        <v>1</v>
      </c>
      <c r="G92" s="5">
        <v>0</v>
      </c>
      <c r="H92" s="5">
        <v>0</v>
      </c>
      <c r="I92" s="6">
        <v>67</v>
      </c>
      <c r="J92" s="5">
        <v>68</v>
      </c>
      <c r="K92" s="7">
        <v>3</v>
      </c>
      <c r="L92" s="5">
        <v>16</v>
      </c>
      <c r="M92" s="5">
        <v>28</v>
      </c>
      <c r="N92" s="7">
        <v>41</v>
      </c>
      <c r="O92" s="4">
        <v>102</v>
      </c>
      <c r="P92" s="4">
        <f t="shared" si="14"/>
        <v>2.55</v>
      </c>
      <c r="Q92" s="4">
        <v>100</v>
      </c>
      <c r="R92" s="4">
        <f t="shared" si="15"/>
        <v>2.5</v>
      </c>
      <c r="S92" s="15" t="s">
        <v>391</v>
      </c>
    </row>
    <row r="93" outlineLevel="2" spans="1:19">
      <c r="A93" s="8" t="s">
        <v>79</v>
      </c>
      <c r="B93" s="3" t="s">
        <v>64</v>
      </c>
      <c r="C93" s="3" t="s">
        <v>17</v>
      </c>
      <c r="D93" s="3" t="s">
        <v>20</v>
      </c>
      <c r="E93" s="4">
        <v>10</v>
      </c>
      <c r="F93" s="4">
        <v>1</v>
      </c>
      <c r="G93" s="5">
        <v>0</v>
      </c>
      <c r="H93" s="5">
        <v>34.71</v>
      </c>
      <c r="I93" s="6">
        <v>1</v>
      </c>
      <c r="J93" s="5">
        <v>1</v>
      </c>
      <c r="K93" s="7">
        <v>0</v>
      </c>
      <c r="L93" s="5">
        <v>17</v>
      </c>
      <c r="M93" s="5">
        <v>27</v>
      </c>
      <c r="N93" s="7">
        <v>75</v>
      </c>
      <c r="O93" s="4">
        <v>0</v>
      </c>
      <c r="P93" s="4">
        <f t="shared" si="14"/>
        <v>0</v>
      </c>
      <c r="Q93" s="4">
        <v>0</v>
      </c>
      <c r="R93" s="4">
        <f t="shared" si="15"/>
        <v>0</v>
      </c>
      <c r="S93" s="15" t="s">
        <v>391</v>
      </c>
    </row>
    <row r="94" outlineLevel="2" spans="1:19">
      <c r="A94" s="8" t="s">
        <v>79</v>
      </c>
      <c r="B94" s="3" t="s">
        <v>23</v>
      </c>
      <c r="C94" s="3" t="s">
        <v>17</v>
      </c>
      <c r="D94" s="3" t="s">
        <v>20</v>
      </c>
      <c r="E94" s="4">
        <v>5</v>
      </c>
      <c r="F94" s="4">
        <v>5</v>
      </c>
      <c r="G94" s="5">
        <v>0</v>
      </c>
      <c r="H94" s="5">
        <v>0</v>
      </c>
      <c r="I94" s="6">
        <v>40</v>
      </c>
      <c r="J94" s="5">
        <v>40</v>
      </c>
      <c r="K94" s="7">
        <v>2</v>
      </c>
      <c r="L94" s="5">
        <v>7</v>
      </c>
      <c r="M94" s="5">
        <v>31</v>
      </c>
      <c r="N94" s="7">
        <v>35</v>
      </c>
      <c r="O94" s="4">
        <v>10</v>
      </c>
      <c r="P94" s="4">
        <f t="shared" si="14"/>
        <v>0.05</v>
      </c>
      <c r="Q94" s="4">
        <v>0</v>
      </c>
      <c r="R94" s="4">
        <f t="shared" si="15"/>
        <v>0</v>
      </c>
      <c r="S94" s="15" t="s">
        <v>391</v>
      </c>
    </row>
    <row r="95" outlineLevel="2" spans="1:19">
      <c r="A95" s="8" t="s">
        <v>79</v>
      </c>
      <c r="B95" s="3" t="s">
        <v>65</v>
      </c>
      <c r="C95" s="3" t="s">
        <v>17</v>
      </c>
      <c r="D95" s="3" t="s">
        <v>20</v>
      </c>
      <c r="E95" s="4">
        <v>2.5</v>
      </c>
      <c r="F95" s="4">
        <v>1</v>
      </c>
      <c r="G95" s="5">
        <v>0</v>
      </c>
      <c r="H95" s="5">
        <v>0</v>
      </c>
      <c r="I95" s="6">
        <v>0</v>
      </c>
      <c r="J95" s="5">
        <v>0</v>
      </c>
      <c r="K95" s="7">
        <v>1</v>
      </c>
      <c r="L95" s="5">
        <v>7</v>
      </c>
      <c r="M95" s="5">
        <v>42</v>
      </c>
      <c r="N95" s="7">
        <v>51</v>
      </c>
      <c r="O95" s="4">
        <v>136</v>
      </c>
      <c r="P95" s="4">
        <f t="shared" si="14"/>
        <v>0.34</v>
      </c>
      <c r="Q95" s="4">
        <v>136</v>
      </c>
      <c r="R95" s="4">
        <f t="shared" si="15"/>
        <v>0.34</v>
      </c>
      <c r="S95" s="15" t="s">
        <v>391</v>
      </c>
    </row>
    <row r="96" outlineLevel="2" spans="1:19">
      <c r="A96" s="8" t="s">
        <v>79</v>
      </c>
      <c r="B96" s="3" t="s">
        <v>21</v>
      </c>
      <c r="C96" s="3" t="s">
        <v>17</v>
      </c>
      <c r="D96" s="3" t="s">
        <v>20</v>
      </c>
      <c r="E96" s="4">
        <v>5</v>
      </c>
      <c r="F96" s="4">
        <v>1</v>
      </c>
      <c r="G96" s="5">
        <v>0</v>
      </c>
      <c r="H96" s="5">
        <v>0</v>
      </c>
      <c r="I96" s="6">
        <v>129</v>
      </c>
      <c r="J96" s="5">
        <v>129</v>
      </c>
      <c r="K96" s="7">
        <v>7</v>
      </c>
      <c r="L96" s="5">
        <v>26</v>
      </c>
      <c r="M96" s="5">
        <v>28</v>
      </c>
      <c r="N96" s="7">
        <v>93</v>
      </c>
      <c r="O96" s="4">
        <v>31</v>
      </c>
      <c r="P96" s="4">
        <f t="shared" si="14"/>
        <v>0.155</v>
      </c>
      <c r="Q96" s="4">
        <v>31</v>
      </c>
      <c r="R96" s="4">
        <f t="shared" si="15"/>
        <v>0.155</v>
      </c>
      <c r="S96" s="15" t="s">
        <v>391</v>
      </c>
    </row>
    <row r="97" s="1" customFormat="1" outlineLevel="1" spans="1:20">
      <c r="A97" s="9" t="s">
        <v>397</v>
      </c>
      <c r="B97" s="10"/>
      <c r="C97" s="10"/>
      <c r="D97" s="10"/>
      <c r="E97" s="11"/>
      <c r="F97" s="11"/>
      <c r="G97" s="12"/>
      <c r="H97" s="12"/>
      <c r="I97" s="12"/>
      <c r="J97" s="12"/>
      <c r="K97" s="13"/>
      <c r="L97" s="12"/>
      <c r="M97" s="12"/>
      <c r="N97" s="13"/>
      <c r="O97" s="11">
        <f>SUBTOTAL(9,O86:O96)</f>
        <v>1713</v>
      </c>
      <c r="P97" s="11">
        <f>SUBTOTAL(9,P86:P96)</f>
        <v>10.87</v>
      </c>
      <c r="Q97" s="11">
        <f>SUBTOTAL(9,Q86:Q96)</f>
        <v>1409</v>
      </c>
      <c r="R97" s="11">
        <f>SUBTOTAL(9,R86:R96)</f>
        <v>9.275</v>
      </c>
      <c r="S97" s="15" t="s">
        <v>391</v>
      </c>
      <c r="T97" s="1" t="s">
        <v>398</v>
      </c>
    </row>
    <row r="98" outlineLevel="2" spans="1:20">
      <c r="A98" s="3" t="s">
        <v>80</v>
      </c>
      <c r="B98" s="3" t="s">
        <v>59</v>
      </c>
      <c r="C98" s="3" t="s">
        <v>17</v>
      </c>
      <c r="D98" s="3" t="s">
        <v>20</v>
      </c>
      <c r="E98" s="4">
        <v>2.5</v>
      </c>
      <c r="F98" s="4">
        <v>1</v>
      </c>
      <c r="G98" s="5">
        <v>0</v>
      </c>
      <c r="H98" s="5">
        <v>0</v>
      </c>
      <c r="I98" s="6">
        <v>166</v>
      </c>
      <c r="J98" s="5">
        <v>166</v>
      </c>
      <c r="K98" s="7">
        <v>13</v>
      </c>
      <c r="L98" s="5">
        <v>31</v>
      </c>
      <c r="M98" s="5">
        <v>90</v>
      </c>
      <c r="N98" s="7">
        <v>130</v>
      </c>
      <c r="O98" s="4">
        <v>0</v>
      </c>
      <c r="P98" s="4">
        <f t="shared" ref="P98:P108" si="16">E98*O98/1000</f>
        <v>0</v>
      </c>
      <c r="Q98" s="4">
        <v>0</v>
      </c>
      <c r="R98" s="4">
        <f t="shared" ref="R98:R108" si="17">E98*Q98/1000</f>
        <v>0</v>
      </c>
      <c r="S98" t="s">
        <v>388</v>
      </c>
      <c r="T98">
        <v>50</v>
      </c>
    </row>
    <row r="99" outlineLevel="2" spans="1:20">
      <c r="A99" s="8" t="s">
        <v>80</v>
      </c>
      <c r="B99" s="3" t="s">
        <v>60</v>
      </c>
      <c r="C99" s="3" t="s">
        <v>17</v>
      </c>
      <c r="D99" s="3" t="s">
        <v>20</v>
      </c>
      <c r="E99" s="4">
        <v>10</v>
      </c>
      <c r="F99" s="4">
        <v>1</v>
      </c>
      <c r="G99" s="5">
        <v>0</v>
      </c>
      <c r="H99" s="5">
        <v>0</v>
      </c>
      <c r="I99" s="6">
        <v>20</v>
      </c>
      <c r="J99" s="5">
        <v>20</v>
      </c>
      <c r="K99" s="7">
        <v>3</v>
      </c>
      <c r="L99" s="5">
        <v>26</v>
      </c>
      <c r="M99" s="5">
        <v>37</v>
      </c>
      <c r="N99" s="7">
        <v>68</v>
      </c>
      <c r="O99" s="4">
        <v>26</v>
      </c>
      <c r="P99" s="4">
        <f t="shared" si="16"/>
        <v>0.26</v>
      </c>
      <c r="Q99" s="4">
        <v>26</v>
      </c>
      <c r="R99" s="4">
        <f t="shared" si="17"/>
        <v>0.26</v>
      </c>
      <c r="S99" t="s">
        <v>388</v>
      </c>
      <c r="T99">
        <v>37</v>
      </c>
    </row>
    <row r="100" outlineLevel="2" spans="1:20">
      <c r="A100" s="8" t="s">
        <v>80</v>
      </c>
      <c r="B100" s="3" t="s">
        <v>16</v>
      </c>
      <c r="C100" s="3" t="s">
        <v>17</v>
      </c>
      <c r="D100" s="3" t="s">
        <v>20</v>
      </c>
      <c r="E100" s="4">
        <v>5</v>
      </c>
      <c r="F100" s="4">
        <v>1</v>
      </c>
      <c r="G100" s="5">
        <v>0</v>
      </c>
      <c r="H100" s="5">
        <v>0</v>
      </c>
      <c r="I100" s="6">
        <v>59</v>
      </c>
      <c r="J100" s="5">
        <v>60</v>
      </c>
      <c r="K100" s="7">
        <v>10</v>
      </c>
      <c r="L100" s="5">
        <v>70</v>
      </c>
      <c r="M100" s="5">
        <v>134</v>
      </c>
      <c r="N100" s="7">
        <v>224</v>
      </c>
      <c r="O100" s="4">
        <v>200</v>
      </c>
      <c r="P100" s="4">
        <f t="shared" si="16"/>
        <v>1</v>
      </c>
      <c r="Q100" s="4">
        <v>200</v>
      </c>
      <c r="R100" s="4">
        <f t="shared" si="17"/>
        <v>1</v>
      </c>
      <c r="S100" t="s">
        <v>388</v>
      </c>
      <c r="T100">
        <v>150</v>
      </c>
    </row>
    <row r="101" outlineLevel="2" spans="1:20">
      <c r="A101" s="8" t="s">
        <v>80</v>
      </c>
      <c r="B101" s="3" t="s">
        <v>61</v>
      </c>
      <c r="C101" s="3" t="s">
        <v>17</v>
      </c>
      <c r="D101" s="3" t="s">
        <v>20</v>
      </c>
      <c r="E101" s="4">
        <v>10</v>
      </c>
      <c r="F101" s="4">
        <v>1</v>
      </c>
      <c r="G101" s="5">
        <v>0</v>
      </c>
      <c r="H101" s="5">
        <v>0</v>
      </c>
      <c r="I101" s="6">
        <v>47</v>
      </c>
      <c r="J101" s="5">
        <v>47</v>
      </c>
      <c r="K101" s="7">
        <v>2</v>
      </c>
      <c r="L101" s="5">
        <v>13</v>
      </c>
      <c r="M101" s="5">
        <v>19</v>
      </c>
      <c r="N101" s="7">
        <v>43</v>
      </c>
      <c r="O101" s="4">
        <v>11</v>
      </c>
      <c r="P101" s="4">
        <f t="shared" si="16"/>
        <v>0.11</v>
      </c>
      <c r="Q101" s="4">
        <v>11</v>
      </c>
      <c r="R101" s="4">
        <f t="shared" si="17"/>
        <v>0.11</v>
      </c>
      <c r="S101" t="s">
        <v>388</v>
      </c>
      <c r="T101">
        <v>0</v>
      </c>
    </row>
    <row r="102" outlineLevel="2" spans="1:20">
      <c r="A102" s="8" t="s">
        <v>80</v>
      </c>
      <c r="B102" s="3" t="s">
        <v>62</v>
      </c>
      <c r="C102" s="3" t="s">
        <v>17</v>
      </c>
      <c r="D102" s="3" t="s">
        <v>20</v>
      </c>
      <c r="E102" s="4">
        <v>10</v>
      </c>
      <c r="F102" s="4">
        <v>1</v>
      </c>
      <c r="G102" s="5">
        <v>0</v>
      </c>
      <c r="H102" s="5">
        <v>0</v>
      </c>
      <c r="I102" s="6">
        <v>69</v>
      </c>
      <c r="J102" s="5">
        <v>69</v>
      </c>
      <c r="K102" s="7">
        <v>1</v>
      </c>
      <c r="L102" s="5">
        <v>20</v>
      </c>
      <c r="M102" s="5">
        <v>36</v>
      </c>
      <c r="N102" s="7">
        <v>89</v>
      </c>
      <c r="O102" s="4">
        <v>0</v>
      </c>
      <c r="P102" s="4">
        <f t="shared" si="16"/>
        <v>0</v>
      </c>
      <c r="Q102" s="4">
        <v>0</v>
      </c>
      <c r="R102" s="4">
        <f t="shared" si="17"/>
        <v>0</v>
      </c>
      <c r="S102" t="s">
        <v>388</v>
      </c>
      <c r="T102">
        <v>40</v>
      </c>
    </row>
    <row r="103" outlineLevel="2" spans="1:20">
      <c r="A103" s="8" t="s">
        <v>80</v>
      </c>
      <c r="B103" s="3" t="s">
        <v>19</v>
      </c>
      <c r="C103" s="3" t="s">
        <v>17</v>
      </c>
      <c r="D103" s="3" t="s">
        <v>20</v>
      </c>
      <c r="E103" s="4">
        <v>5</v>
      </c>
      <c r="F103" s="4">
        <v>1</v>
      </c>
      <c r="G103" s="5">
        <v>0</v>
      </c>
      <c r="H103" s="5">
        <v>0</v>
      </c>
      <c r="I103" s="6">
        <v>0</v>
      </c>
      <c r="J103" s="5">
        <v>0</v>
      </c>
      <c r="K103" s="7">
        <v>4</v>
      </c>
      <c r="L103" s="5">
        <v>207</v>
      </c>
      <c r="M103" s="5">
        <v>799</v>
      </c>
      <c r="N103" s="7">
        <v>1353</v>
      </c>
      <c r="O103" s="4">
        <v>709</v>
      </c>
      <c r="P103" s="4">
        <f t="shared" si="16"/>
        <v>3.545</v>
      </c>
      <c r="Q103" s="4">
        <v>709</v>
      </c>
      <c r="R103" s="4">
        <f t="shared" si="17"/>
        <v>3.545</v>
      </c>
      <c r="S103" t="s">
        <v>388</v>
      </c>
      <c r="T103">
        <v>1388</v>
      </c>
    </row>
    <row r="104" outlineLevel="2" spans="1:20">
      <c r="A104" s="8" t="s">
        <v>80</v>
      </c>
      <c r="B104" s="3" t="s">
        <v>63</v>
      </c>
      <c r="C104" s="3" t="s">
        <v>17</v>
      </c>
      <c r="D104" s="3" t="s">
        <v>20</v>
      </c>
      <c r="E104" s="4">
        <v>25</v>
      </c>
      <c r="F104" s="4">
        <v>1</v>
      </c>
      <c r="G104" s="5">
        <v>0</v>
      </c>
      <c r="H104" s="5">
        <v>0</v>
      </c>
      <c r="I104" s="6">
        <v>125</v>
      </c>
      <c r="J104" s="5">
        <v>126</v>
      </c>
      <c r="K104" s="7">
        <v>5</v>
      </c>
      <c r="L104" s="5">
        <v>30</v>
      </c>
      <c r="M104" s="5">
        <v>59</v>
      </c>
      <c r="N104" s="7">
        <v>93</v>
      </c>
      <c r="O104" s="4">
        <v>0</v>
      </c>
      <c r="P104" s="4">
        <f t="shared" si="16"/>
        <v>0</v>
      </c>
      <c r="Q104" s="4">
        <v>0</v>
      </c>
      <c r="R104" s="4">
        <f t="shared" si="17"/>
        <v>0</v>
      </c>
      <c r="S104" t="s">
        <v>388</v>
      </c>
      <c r="T104">
        <v>0</v>
      </c>
    </row>
    <row r="105" outlineLevel="2" spans="1:20">
      <c r="A105" s="8" t="s">
        <v>80</v>
      </c>
      <c r="B105" s="3" t="s">
        <v>64</v>
      </c>
      <c r="C105" s="3" t="s">
        <v>17</v>
      </c>
      <c r="D105" s="3" t="s">
        <v>20</v>
      </c>
      <c r="E105" s="4">
        <v>10</v>
      </c>
      <c r="F105" s="4">
        <v>1</v>
      </c>
      <c r="G105" s="5">
        <v>0</v>
      </c>
      <c r="H105" s="5">
        <v>0</v>
      </c>
      <c r="I105" s="6">
        <v>103</v>
      </c>
      <c r="J105" s="5">
        <v>103</v>
      </c>
      <c r="K105" s="7">
        <v>3</v>
      </c>
      <c r="L105" s="5">
        <v>26</v>
      </c>
      <c r="M105" s="5">
        <v>55</v>
      </c>
      <c r="N105" s="7">
        <v>114</v>
      </c>
      <c r="O105" s="4">
        <v>42</v>
      </c>
      <c r="P105" s="4">
        <f t="shared" si="16"/>
        <v>0.42</v>
      </c>
      <c r="Q105" s="4">
        <v>42</v>
      </c>
      <c r="R105" s="4">
        <f t="shared" si="17"/>
        <v>0.42</v>
      </c>
      <c r="S105" t="s">
        <v>388</v>
      </c>
      <c r="T105">
        <v>0</v>
      </c>
    </row>
    <row r="106" outlineLevel="2" spans="1:20">
      <c r="A106" s="8" t="s">
        <v>80</v>
      </c>
      <c r="B106" s="3" t="s">
        <v>23</v>
      </c>
      <c r="C106" s="3" t="s">
        <v>17</v>
      </c>
      <c r="D106" s="3" t="s">
        <v>20</v>
      </c>
      <c r="E106" s="4">
        <v>5</v>
      </c>
      <c r="F106" s="4">
        <v>5</v>
      </c>
      <c r="G106" s="5">
        <v>0</v>
      </c>
      <c r="H106" s="5">
        <v>0</v>
      </c>
      <c r="I106" s="6">
        <v>40</v>
      </c>
      <c r="J106" s="5">
        <v>40</v>
      </c>
      <c r="K106" s="7">
        <v>1</v>
      </c>
      <c r="L106" s="5">
        <v>11</v>
      </c>
      <c r="M106" s="5">
        <v>24</v>
      </c>
      <c r="N106" s="7">
        <v>60</v>
      </c>
      <c r="O106" s="4">
        <v>90</v>
      </c>
      <c r="P106" s="4">
        <f t="shared" si="16"/>
        <v>0.45</v>
      </c>
      <c r="Q106" s="4">
        <v>90</v>
      </c>
      <c r="R106" s="4">
        <f t="shared" si="17"/>
        <v>0.45</v>
      </c>
      <c r="S106" t="s">
        <v>388</v>
      </c>
      <c r="T106">
        <v>0</v>
      </c>
    </row>
    <row r="107" outlineLevel="2" spans="1:20">
      <c r="A107" s="8" t="s">
        <v>80</v>
      </c>
      <c r="B107" s="3" t="s">
        <v>65</v>
      </c>
      <c r="C107" s="3" t="s">
        <v>17</v>
      </c>
      <c r="D107" s="3" t="s">
        <v>20</v>
      </c>
      <c r="E107" s="4">
        <v>2.5</v>
      </c>
      <c r="F107" s="4">
        <v>1</v>
      </c>
      <c r="G107" s="5">
        <v>0</v>
      </c>
      <c r="H107" s="5">
        <v>0</v>
      </c>
      <c r="I107" s="6">
        <v>122</v>
      </c>
      <c r="J107" s="5">
        <v>122</v>
      </c>
      <c r="K107" s="7">
        <v>2</v>
      </c>
      <c r="L107" s="5">
        <v>6</v>
      </c>
      <c r="M107" s="5">
        <v>32</v>
      </c>
      <c r="N107" s="7">
        <v>55</v>
      </c>
      <c r="O107" s="4">
        <v>0</v>
      </c>
      <c r="P107" s="4">
        <f t="shared" si="16"/>
        <v>0</v>
      </c>
      <c r="Q107" s="4">
        <v>0</v>
      </c>
      <c r="R107" s="4">
        <f t="shared" si="17"/>
        <v>0</v>
      </c>
      <c r="S107" t="s">
        <v>388</v>
      </c>
      <c r="T107">
        <v>0</v>
      </c>
    </row>
    <row r="108" outlineLevel="2" spans="1:20">
      <c r="A108" s="8" t="s">
        <v>80</v>
      </c>
      <c r="B108" s="3" t="s">
        <v>21</v>
      </c>
      <c r="C108" s="3" t="s">
        <v>17</v>
      </c>
      <c r="D108" s="3" t="s">
        <v>20</v>
      </c>
      <c r="E108" s="4">
        <v>5</v>
      </c>
      <c r="F108" s="4">
        <v>1</v>
      </c>
      <c r="G108" s="5">
        <v>0</v>
      </c>
      <c r="H108" s="5">
        <v>0</v>
      </c>
      <c r="I108" s="6">
        <v>187</v>
      </c>
      <c r="J108" s="5">
        <v>192</v>
      </c>
      <c r="K108" s="7">
        <v>8</v>
      </c>
      <c r="L108" s="5">
        <v>43</v>
      </c>
      <c r="M108" s="5">
        <v>68</v>
      </c>
      <c r="N108" s="7">
        <v>207</v>
      </c>
      <c r="O108" s="4">
        <v>72</v>
      </c>
      <c r="P108" s="4">
        <f t="shared" si="16"/>
        <v>0.36</v>
      </c>
      <c r="Q108" s="4">
        <v>72</v>
      </c>
      <c r="R108" s="4">
        <f t="shared" si="17"/>
        <v>0.36</v>
      </c>
      <c r="S108" t="s">
        <v>388</v>
      </c>
      <c r="T108">
        <v>0</v>
      </c>
    </row>
    <row r="109" s="1" customFormat="1" outlineLevel="1" spans="1:20">
      <c r="A109" s="9" t="s">
        <v>399</v>
      </c>
      <c r="B109" s="10"/>
      <c r="C109" s="10"/>
      <c r="D109" s="10"/>
      <c r="E109" s="11"/>
      <c r="F109" s="11"/>
      <c r="G109" s="12"/>
      <c r="H109" s="12"/>
      <c r="I109" s="12"/>
      <c r="J109" s="12"/>
      <c r="K109" s="13"/>
      <c r="L109" s="12"/>
      <c r="M109" s="12"/>
      <c r="N109" s="13"/>
      <c r="O109" s="11">
        <f>SUBTOTAL(9,O98:O108)</f>
        <v>1150</v>
      </c>
      <c r="P109" s="11">
        <f>SUBTOTAL(9,P98:P108)</f>
        <v>6.145</v>
      </c>
      <c r="Q109" s="11">
        <f>SUBTOTAL(9,Q98:Q108)</f>
        <v>1150</v>
      </c>
      <c r="R109" s="11">
        <f>SUBTOTAL(9,R98:R108)</f>
        <v>6.145</v>
      </c>
      <c r="S109" t="s">
        <v>388</v>
      </c>
      <c r="T109">
        <v>0</v>
      </c>
    </row>
    <row r="110" outlineLevel="2" spans="1:20">
      <c r="A110" s="3" t="s">
        <v>83</v>
      </c>
      <c r="B110" s="3" t="s">
        <v>59</v>
      </c>
      <c r="C110" s="3" t="s">
        <v>17</v>
      </c>
      <c r="D110" s="3" t="s">
        <v>20</v>
      </c>
      <c r="E110" s="4">
        <v>2.5</v>
      </c>
      <c r="F110" s="4">
        <v>1</v>
      </c>
      <c r="G110" s="5">
        <v>0</v>
      </c>
      <c r="H110" s="5">
        <v>0</v>
      </c>
      <c r="I110" s="6">
        <v>338</v>
      </c>
      <c r="J110" s="5">
        <v>338</v>
      </c>
      <c r="K110" s="7">
        <v>6</v>
      </c>
      <c r="L110" s="5">
        <v>11</v>
      </c>
      <c r="M110" s="5">
        <v>45</v>
      </c>
      <c r="N110" s="7">
        <v>90</v>
      </c>
      <c r="O110" s="4">
        <v>188</v>
      </c>
      <c r="P110" s="4">
        <f t="shared" ref="P110:P120" si="18">E110*O110/1000</f>
        <v>0.47</v>
      </c>
      <c r="Q110" s="4">
        <v>0</v>
      </c>
      <c r="R110" s="4">
        <f t="shared" ref="R110:R120" si="19">E110*Q110/1000</f>
        <v>0</v>
      </c>
      <c r="S110" s="15" t="s">
        <v>391</v>
      </c>
    </row>
    <row r="111" outlineLevel="2" spans="1:20">
      <c r="A111" s="8" t="s">
        <v>83</v>
      </c>
      <c r="B111" s="3" t="s">
        <v>60</v>
      </c>
      <c r="C111" s="3" t="s">
        <v>17</v>
      </c>
      <c r="D111" s="3" t="s">
        <v>20</v>
      </c>
      <c r="E111" s="4">
        <v>10</v>
      </c>
      <c r="F111" s="4">
        <v>1</v>
      </c>
      <c r="G111" s="5">
        <v>0</v>
      </c>
      <c r="H111" s="5">
        <v>0</v>
      </c>
      <c r="I111" s="6">
        <v>51</v>
      </c>
      <c r="J111" s="5">
        <v>51</v>
      </c>
      <c r="K111" s="7">
        <v>7</v>
      </c>
      <c r="L111" s="5">
        <v>44</v>
      </c>
      <c r="M111" s="5">
        <v>57</v>
      </c>
      <c r="N111" s="7">
        <v>108</v>
      </c>
      <c r="O111" s="4">
        <v>74</v>
      </c>
      <c r="P111" s="4">
        <f t="shared" si="18"/>
        <v>0.74</v>
      </c>
      <c r="Q111" s="4">
        <v>74</v>
      </c>
      <c r="R111" s="4">
        <f t="shared" si="19"/>
        <v>0.74</v>
      </c>
      <c r="S111" s="15" t="s">
        <v>391</v>
      </c>
    </row>
    <row r="112" outlineLevel="2" spans="1:20">
      <c r="A112" s="8" t="s">
        <v>83</v>
      </c>
      <c r="B112" s="3" t="s">
        <v>16</v>
      </c>
      <c r="C112" s="3" t="s">
        <v>17</v>
      </c>
      <c r="D112" s="3" t="s">
        <v>20</v>
      </c>
      <c r="E112" s="4">
        <v>5</v>
      </c>
      <c r="F112" s="4">
        <v>1</v>
      </c>
      <c r="G112" s="5">
        <v>0</v>
      </c>
      <c r="H112" s="5">
        <v>0</v>
      </c>
      <c r="I112" s="6">
        <v>131</v>
      </c>
      <c r="J112" s="5">
        <v>133</v>
      </c>
      <c r="K112" s="7">
        <v>4</v>
      </c>
      <c r="L112" s="5">
        <v>63</v>
      </c>
      <c r="M112" s="5">
        <v>130</v>
      </c>
      <c r="N112" s="7">
        <v>222</v>
      </c>
      <c r="O112" s="4">
        <v>451</v>
      </c>
      <c r="P112" s="4">
        <f t="shared" si="18"/>
        <v>2.255</v>
      </c>
      <c r="Q112" s="4">
        <v>100</v>
      </c>
      <c r="R112" s="4">
        <f t="shared" si="19"/>
        <v>0.5</v>
      </c>
      <c r="S112" s="15" t="s">
        <v>391</v>
      </c>
    </row>
    <row r="113" outlineLevel="2" spans="1:20">
      <c r="A113" s="8" t="s">
        <v>83</v>
      </c>
      <c r="B113" s="3" t="s">
        <v>61</v>
      </c>
      <c r="C113" s="3" t="s">
        <v>17</v>
      </c>
      <c r="D113" s="3" t="s">
        <v>20</v>
      </c>
      <c r="E113" s="4">
        <v>10</v>
      </c>
      <c r="F113" s="4">
        <v>1</v>
      </c>
      <c r="G113" s="5">
        <v>0</v>
      </c>
      <c r="H113" s="5">
        <v>0</v>
      </c>
      <c r="I113" s="6">
        <v>24</v>
      </c>
      <c r="J113" s="5">
        <v>24</v>
      </c>
      <c r="K113" s="7">
        <v>2</v>
      </c>
      <c r="L113" s="5">
        <v>56</v>
      </c>
      <c r="M113" s="5">
        <v>72</v>
      </c>
      <c r="N113" s="7">
        <v>122</v>
      </c>
      <c r="O113" s="4">
        <v>181</v>
      </c>
      <c r="P113" s="4">
        <f t="shared" si="18"/>
        <v>1.81</v>
      </c>
      <c r="Q113" s="16">
        <v>100</v>
      </c>
      <c r="R113" s="4">
        <f t="shared" si="19"/>
        <v>1</v>
      </c>
      <c r="S113" s="15" t="s">
        <v>391</v>
      </c>
    </row>
    <row r="114" outlineLevel="2" spans="1:20">
      <c r="A114" s="8" t="s">
        <v>83</v>
      </c>
      <c r="B114" s="3" t="s">
        <v>62</v>
      </c>
      <c r="C114" s="3" t="s">
        <v>17</v>
      </c>
      <c r="D114" s="3" t="s">
        <v>20</v>
      </c>
      <c r="E114" s="4">
        <v>10</v>
      </c>
      <c r="F114" s="4">
        <v>1</v>
      </c>
      <c r="G114" s="5">
        <v>0</v>
      </c>
      <c r="H114" s="5">
        <v>0</v>
      </c>
      <c r="I114" s="6">
        <v>89</v>
      </c>
      <c r="J114" s="5">
        <v>89</v>
      </c>
      <c r="K114" s="7">
        <v>4</v>
      </c>
      <c r="L114" s="5">
        <v>10</v>
      </c>
      <c r="M114" s="5">
        <v>32</v>
      </c>
      <c r="N114" s="7">
        <v>95</v>
      </c>
      <c r="O114" s="4">
        <v>81</v>
      </c>
      <c r="P114" s="4">
        <f t="shared" si="18"/>
        <v>0.81</v>
      </c>
      <c r="Q114" s="4">
        <v>81</v>
      </c>
      <c r="R114" s="4">
        <f t="shared" si="19"/>
        <v>0.81</v>
      </c>
      <c r="S114" s="15" t="s">
        <v>391</v>
      </c>
    </row>
    <row r="115" outlineLevel="2" spans="1:20">
      <c r="A115" s="8" t="s">
        <v>83</v>
      </c>
      <c r="B115" s="3" t="s">
        <v>19</v>
      </c>
      <c r="C115" s="3" t="s">
        <v>17</v>
      </c>
      <c r="D115" s="3" t="s">
        <v>20</v>
      </c>
      <c r="E115" s="4">
        <v>5</v>
      </c>
      <c r="F115" s="4">
        <v>1</v>
      </c>
      <c r="G115" s="5">
        <v>0</v>
      </c>
      <c r="H115" s="5">
        <v>0</v>
      </c>
      <c r="I115" s="6">
        <v>477</v>
      </c>
      <c r="J115" s="5">
        <v>482</v>
      </c>
      <c r="K115" s="7">
        <v>38</v>
      </c>
      <c r="L115" s="5">
        <v>312</v>
      </c>
      <c r="M115" s="5">
        <v>499</v>
      </c>
      <c r="N115" s="7">
        <v>899</v>
      </c>
      <c r="O115" s="4">
        <v>2329</v>
      </c>
      <c r="P115" s="4">
        <f t="shared" si="18"/>
        <v>11.645</v>
      </c>
      <c r="Q115" s="4">
        <v>1200</v>
      </c>
      <c r="R115" s="4">
        <f t="shared" si="19"/>
        <v>6</v>
      </c>
      <c r="S115" s="15" t="s">
        <v>391</v>
      </c>
    </row>
    <row r="116" outlineLevel="2" spans="1:20">
      <c r="A116" s="8" t="s">
        <v>83</v>
      </c>
      <c r="B116" s="3" t="s">
        <v>63</v>
      </c>
      <c r="C116" s="3" t="s">
        <v>17</v>
      </c>
      <c r="D116" s="3" t="s">
        <v>20</v>
      </c>
      <c r="E116" s="4">
        <v>25</v>
      </c>
      <c r="F116" s="4">
        <v>1</v>
      </c>
      <c r="G116" s="5">
        <v>0</v>
      </c>
      <c r="H116" s="5">
        <v>0</v>
      </c>
      <c r="I116" s="6">
        <v>104</v>
      </c>
      <c r="J116" s="5">
        <v>104</v>
      </c>
      <c r="K116" s="7">
        <v>2</v>
      </c>
      <c r="L116" s="5">
        <v>16</v>
      </c>
      <c r="M116" s="5">
        <v>29</v>
      </c>
      <c r="N116" s="7">
        <v>57</v>
      </c>
      <c r="O116" s="4">
        <v>148</v>
      </c>
      <c r="P116" s="4">
        <f t="shared" si="18"/>
        <v>3.7</v>
      </c>
      <c r="Q116" s="4">
        <v>26</v>
      </c>
      <c r="R116" s="4">
        <f t="shared" si="19"/>
        <v>0.65</v>
      </c>
      <c r="S116" s="15" t="s">
        <v>391</v>
      </c>
    </row>
    <row r="117" outlineLevel="2" spans="1:20">
      <c r="A117" s="8" t="s">
        <v>83</v>
      </c>
      <c r="B117" s="3" t="s">
        <v>64</v>
      </c>
      <c r="C117" s="3" t="s">
        <v>17</v>
      </c>
      <c r="D117" s="3" t="s">
        <v>20</v>
      </c>
      <c r="E117" s="4">
        <v>10</v>
      </c>
      <c r="F117" s="4">
        <v>1</v>
      </c>
      <c r="G117" s="5">
        <v>0</v>
      </c>
      <c r="H117" s="5">
        <v>0</v>
      </c>
      <c r="I117" s="6">
        <v>186</v>
      </c>
      <c r="J117" s="5">
        <v>186</v>
      </c>
      <c r="K117" s="7">
        <v>2</v>
      </c>
      <c r="L117" s="5">
        <v>33</v>
      </c>
      <c r="M117" s="5">
        <v>58</v>
      </c>
      <c r="N117" s="7">
        <v>151</v>
      </c>
      <c r="O117" s="4">
        <v>181</v>
      </c>
      <c r="P117" s="4">
        <f t="shared" si="18"/>
        <v>1.81</v>
      </c>
      <c r="Q117" s="4">
        <v>0</v>
      </c>
      <c r="R117" s="4">
        <f t="shared" si="19"/>
        <v>0</v>
      </c>
      <c r="S117" s="15" t="s">
        <v>391</v>
      </c>
    </row>
    <row r="118" outlineLevel="2" spans="1:20">
      <c r="A118" s="8" t="s">
        <v>83</v>
      </c>
      <c r="B118" s="3" t="s">
        <v>23</v>
      </c>
      <c r="C118" s="3" t="s">
        <v>17</v>
      </c>
      <c r="D118" s="3" t="s">
        <v>20</v>
      </c>
      <c r="E118" s="4">
        <v>5</v>
      </c>
      <c r="F118" s="4">
        <v>5</v>
      </c>
      <c r="G118" s="5">
        <v>0</v>
      </c>
      <c r="H118" s="5">
        <v>19.42</v>
      </c>
      <c r="I118" s="6">
        <v>118</v>
      </c>
      <c r="J118" s="5">
        <v>118</v>
      </c>
      <c r="K118" s="7">
        <v>1</v>
      </c>
      <c r="L118" s="5">
        <v>23</v>
      </c>
      <c r="M118" s="5">
        <v>31</v>
      </c>
      <c r="N118" s="7">
        <v>66</v>
      </c>
      <c r="O118" s="4">
        <v>0</v>
      </c>
      <c r="P118" s="4">
        <f t="shared" si="18"/>
        <v>0</v>
      </c>
      <c r="Q118" s="4">
        <v>0</v>
      </c>
      <c r="R118" s="4">
        <f t="shared" si="19"/>
        <v>0</v>
      </c>
      <c r="S118" s="15" t="s">
        <v>391</v>
      </c>
    </row>
    <row r="119" outlineLevel="2" spans="1:20">
      <c r="A119" s="8" t="s">
        <v>83</v>
      </c>
      <c r="B119" s="3" t="s">
        <v>65</v>
      </c>
      <c r="C119" s="3" t="s">
        <v>17</v>
      </c>
      <c r="D119" s="3" t="s">
        <v>20</v>
      </c>
      <c r="E119" s="4">
        <v>2.5</v>
      </c>
      <c r="F119" s="4">
        <v>1</v>
      </c>
      <c r="G119" s="5">
        <v>0</v>
      </c>
      <c r="H119" s="5">
        <v>0</v>
      </c>
      <c r="I119" s="6">
        <v>243</v>
      </c>
      <c r="J119" s="5">
        <v>244</v>
      </c>
      <c r="K119" s="7">
        <v>4</v>
      </c>
      <c r="L119" s="5">
        <v>22</v>
      </c>
      <c r="M119" s="5">
        <v>51</v>
      </c>
      <c r="N119" s="7">
        <v>93</v>
      </c>
      <c r="O119" s="4">
        <v>129</v>
      </c>
      <c r="P119" s="4">
        <f t="shared" si="18"/>
        <v>0.3225</v>
      </c>
      <c r="Q119" s="4">
        <v>0</v>
      </c>
      <c r="R119" s="4">
        <f t="shared" si="19"/>
        <v>0</v>
      </c>
      <c r="S119" s="15" t="s">
        <v>391</v>
      </c>
    </row>
    <row r="120" outlineLevel="2" spans="1:20">
      <c r="A120" s="8" t="s">
        <v>83</v>
      </c>
      <c r="B120" s="3" t="s">
        <v>21</v>
      </c>
      <c r="C120" s="3" t="s">
        <v>17</v>
      </c>
      <c r="D120" s="3" t="s">
        <v>20</v>
      </c>
      <c r="E120" s="4">
        <v>5</v>
      </c>
      <c r="F120" s="4">
        <v>1</v>
      </c>
      <c r="G120" s="5">
        <v>0</v>
      </c>
      <c r="H120" s="5">
        <v>0</v>
      </c>
      <c r="I120" s="6">
        <v>100</v>
      </c>
      <c r="J120" s="5">
        <v>102</v>
      </c>
      <c r="K120" s="7">
        <v>5</v>
      </c>
      <c r="L120" s="5">
        <v>42</v>
      </c>
      <c r="M120" s="5">
        <v>70</v>
      </c>
      <c r="N120" s="7">
        <v>136</v>
      </c>
      <c r="O120" s="4">
        <v>350</v>
      </c>
      <c r="P120" s="4">
        <f t="shared" si="18"/>
        <v>1.75</v>
      </c>
      <c r="Q120" s="4">
        <v>60</v>
      </c>
      <c r="R120" s="4">
        <f t="shared" si="19"/>
        <v>0.3</v>
      </c>
      <c r="S120" s="15" t="s">
        <v>391</v>
      </c>
    </row>
    <row r="121" s="1" customFormat="1" outlineLevel="1" spans="1:20">
      <c r="A121" s="9" t="s">
        <v>400</v>
      </c>
      <c r="B121" s="10"/>
      <c r="C121" s="10"/>
      <c r="D121" s="10"/>
      <c r="E121" s="11"/>
      <c r="F121" s="11"/>
      <c r="G121" s="12"/>
      <c r="H121" s="12"/>
      <c r="I121" s="12"/>
      <c r="J121" s="12"/>
      <c r="K121" s="13"/>
      <c r="L121" s="12"/>
      <c r="M121" s="12"/>
      <c r="N121" s="13"/>
      <c r="O121" s="11">
        <f>SUBTOTAL(9,O110:O120)</f>
        <v>4112</v>
      </c>
      <c r="P121" s="11">
        <f>SUBTOTAL(9,P110:P120)</f>
        <v>25.3125</v>
      </c>
      <c r="Q121" s="11">
        <f>SUBTOTAL(9,Q110:Q120)</f>
        <v>1641</v>
      </c>
      <c r="R121" s="11">
        <f>SUBTOTAL(9,R110:R120)</f>
        <v>10</v>
      </c>
      <c r="S121" s="15" t="s">
        <v>391</v>
      </c>
      <c r="T121" s="1" t="s">
        <v>398</v>
      </c>
    </row>
    <row r="122" outlineLevel="2" spans="1:20">
      <c r="A122" s="3" t="s">
        <v>84</v>
      </c>
      <c r="B122" s="3" t="s">
        <v>59</v>
      </c>
      <c r="C122" s="3" t="s">
        <v>17</v>
      </c>
      <c r="D122" s="3" t="s">
        <v>20</v>
      </c>
      <c r="E122" s="4">
        <v>2.5</v>
      </c>
      <c r="F122" s="4">
        <v>1</v>
      </c>
      <c r="G122" s="5">
        <v>0</v>
      </c>
      <c r="H122" s="5">
        <v>0</v>
      </c>
      <c r="I122" s="6">
        <v>136</v>
      </c>
      <c r="J122" s="5">
        <v>138</v>
      </c>
      <c r="K122" s="7">
        <v>38</v>
      </c>
      <c r="L122" s="5">
        <v>91</v>
      </c>
      <c r="M122" s="5">
        <v>109</v>
      </c>
      <c r="N122" s="7">
        <v>140</v>
      </c>
      <c r="O122" s="4">
        <v>193</v>
      </c>
      <c r="P122" s="4">
        <f t="shared" ref="P122:P140" si="20">E122*O122/1000</f>
        <v>0.4825</v>
      </c>
      <c r="Q122" s="4">
        <v>193</v>
      </c>
      <c r="R122" s="4">
        <f t="shared" ref="R122:R140" si="21">E122*Q122/1000</f>
        <v>0.4825</v>
      </c>
      <c r="S122" s="15" t="s">
        <v>388</v>
      </c>
      <c r="T122">
        <v>50</v>
      </c>
    </row>
    <row r="123" outlineLevel="2" spans="1:20">
      <c r="A123" s="8" t="s">
        <v>84</v>
      </c>
      <c r="B123" s="3" t="s">
        <v>60</v>
      </c>
      <c r="C123" s="3" t="s">
        <v>17</v>
      </c>
      <c r="D123" s="3" t="s">
        <v>20</v>
      </c>
      <c r="E123" s="4">
        <v>10</v>
      </c>
      <c r="F123" s="4">
        <v>1</v>
      </c>
      <c r="G123" s="5">
        <v>0</v>
      </c>
      <c r="H123" s="5">
        <v>0</v>
      </c>
      <c r="I123" s="6">
        <v>2</v>
      </c>
      <c r="J123" s="5">
        <v>5</v>
      </c>
      <c r="K123" s="7">
        <v>10</v>
      </c>
      <c r="L123" s="5">
        <v>34</v>
      </c>
      <c r="M123" s="5">
        <v>75</v>
      </c>
      <c r="N123" s="7">
        <v>124</v>
      </c>
      <c r="O123" s="4">
        <v>32</v>
      </c>
      <c r="P123" s="4">
        <f t="shared" si="20"/>
        <v>0.32</v>
      </c>
      <c r="Q123" s="4">
        <v>32</v>
      </c>
      <c r="R123" s="4">
        <f t="shared" si="21"/>
        <v>0.32</v>
      </c>
      <c r="S123" s="15" t="s">
        <v>388</v>
      </c>
      <c r="T123">
        <v>101</v>
      </c>
    </row>
    <row r="124" outlineLevel="2" spans="1:20">
      <c r="A124" s="8" t="s">
        <v>84</v>
      </c>
      <c r="B124" s="3" t="s">
        <v>16</v>
      </c>
      <c r="C124" s="3" t="s">
        <v>17</v>
      </c>
      <c r="D124" s="3" t="s">
        <v>20</v>
      </c>
      <c r="E124" s="4">
        <v>5</v>
      </c>
      <c r="F124" s="4">
        <v>1</v>
      </c>
      <c r="G124" s="5">
        <v>0</v>
      </c>
      <c r="H124" s="5">
        <v>0</v>
      </c>
      <c r="I124" s="6">
        <v>60</v>
      </c>
      <c r="J124" s="5">
        <v>61</v>
      </c>
      <c r="K124" s="7">
        <v>9</v>
      </c>
      <c r="L124" s="5">
        <v>39</v>
      </c>
      <c r="M124" s="5">
        <v>93</v>
      </c>
      <c r="N124" s="7">
        <v>175</v>
      </c>
      <c r="O124" s="4">
        <v>243</v>
      </c>
      <c r="P124" s="4">
        <f t="shared" si="20"/>
        <v>1.215</v>
      </c>
      <c r="Q124" s="4">
        <v>100</v>
      </c>
      <c r="R124" s="4">
        <f t="shared" si="21"/>
        <v>0.5</v>
      </c>
      <c r="S124" s="15" t="s">
        <v>388</v>
      </c>
      <c r="T124">
        <v>120</v>
      </c>
    </row>
    <row r="125" outlineLevel="2" spans="1:20">
      <c r="A125" s="8" t="s">
        <v>84</v>
      </c>
      <c r="B125" s="3" t="s">
        <v>61</v>
      </c>
      <c r="C125" s="3" t="s">
        <v>17</v>
      </c>
      <c r="D125" s="3" t="s">
        <v>20</v>
      </c>
      <c r="E125" s="4">
        <v>10</v>
      </c>
      <c r="F125" s="4">
        <v>1</v>
      </c>
      <c r="G125" s="5">
        <v>0</v>
      </c>
      <c r="H125" s="5">
        <v>27.47</v>
      </c>
      <c r="I125" s="6">
        <v>122</v>
      </c>
      <c r="J125" s="5">
        <v>123</v>
      </c>
      <c r="K125" s="7">
        <v>0</v>
      </c>
      <c r="L125" s="5">
        <v>8</v>
      </c>
      <c r="M125" s="5">
        <v>15</v>
      </c>
      <c r="N125" s="7">
        <v>39</v>
      </c>
      <c r="O125" s="4">
        <v>0</v>
      </c>
      <c r="P125" s="4">
        <f t="shared" si="20"/>
        <v>0</v>
      </c>
      <c r="Q125" s="4">
        <v>0</v>
      </c>
      <c r="R125" s="4">
        <f t="shared" si="21"/>
        <v>0</v>
      </c>
      <c r="S125" s="15" t="s">
        <v>388</v>
      </c>
      <c r="T125">
        <v>0</v>
      </c>
    </row>
    <row r="126" outlineLevel="2" spans="1:20">
      <c r="A126" s="8" t="s">
        <v>84</v>
      </c>
      <c r="B126" s="3" t="s">
        <v>62</v>
      </c>
      <c r="C126" s="3" t="s">
        <v>17</v>
      </c>
      <c r="D126" s="3" t="s">
        <v>20</v>
      </c>
      <c r="E126" s="4">
        <v>10</v>
      </c>
      <c r="F126" s="4">
        <v>1</v>
      </c>
      <c r="G126" s="5">
        <v>0</v>
      </c>
      <c r="H126" s="5">
        <v>0</v>
      </c>
      <c r="I126" s="6">
        <v>78</v>
      </c>
      <c r="J126" s="5">
        <v>78</v>
      </c>
      <c r="K126" s="7">
        <v>6</v>
      </c>
      <c r="L126" s="5">
        <v>21</v>
      </c>
      <c r="M126" s="5">
        <v>40</v>
      </c>
      <c r="N126" s="7">
        <v>99</v>
      </c>
      <c r="O126" s="4">
        <v>34</v>
      </c>
      <c r="P126" s="4">
        <f t="shared" si="20"/>
        <v>0.34</v>
      </c>
      <c r="Q126" s="4">
        <v>34</v>
      </c>
      <c r="R126" s="4">
        <f t="shared" si="21"/>
        <v>0.34</v>
      </c>
      <c r="S126" s="15" t="s">
        <v>388</v>
      </c>
      <c r="T126">
        <v>50</v>
      </c>
    </row>
    <row r="127" outlineLevel="2" spans="1:20">
      <c r="A127" s="8" t="s">
        <v>84</v>
      </c>
      <c r="B127" s="3" t="s">
        <v>19</v>
      </c>
      <c r="C127" s="3" t="s">
        <v>17</v>
      </c>
      <c r="D127" s="3" t="s">
        <v>20</v>
      </c>
      <c r="E127" s="4">
        <v>5</v>
      </c>
      <c r="F127" s="4">
        <v>1</v>
      </c>
      <c r="G127" s="5">
        <v>0</v>
      </c>
      <c r="H127" s="5">
        <v>0</v>
      </c>
      <c r="I127" s="6">
        <v>0</v>
      </c>
      <c r="J127" s="5">
        <v>0</v>
      </c>
      <c r="K127" s="7">
        <v>13</v>
      </c>
      <c r="L127" s="5">
        <v>390</v>
      </c>
      <c r="M127" s="5">
        <v>688</v>
      </c>
      <c r="N127" s="7">
        <v>973</v>
      </c>
      <c r="O127" s="4">
        <v>1744</v>
      </c>
      <c r="P127" s="4">
        <f t="shared" si="20"/>
        <v>8.72</v>
      </c>
      <c r="Q127" s="4">
        <v>800</v>
      </c>
      <c r="R127" s="4">
        <f t="shared" si="21"/>
        <v>4</v>
      </c>
      <c r="S127" s="15" t="s">
        <v>388</v>
      </c>
      <c r="T127">
        <v>1400</v>
      </c>
    </row>
    <row r="128" outlineLevel="2" spans="1:20">
      <c r="A128" s="8" t="s">
        <v>84</v>
      </c>
      <c r="B128" s="3" t="s">
        <v>63</v>
      </c>
      <c r="C128" s="3" t="s">
        <v>17</v>
      </c>
      <c r="D128" s="3" t="s">
        <v>20</v>
      </c>
      <c r="E128" s="4">
        <v>25</v>
      </c>
      <c r="F128" s="4">
        <v>1</v>
      </c>
      <c r="G128" s="5">
        <v>0</v>
      </c>
      <c r="H128" s="5">
        <v>0</v>
      </c>
      <c r="I128" s="6">
        <v>60</v>
      </c>
      <c r="J128" s="5">
        <v>60</v>
      </c>
      <c r="K128" s="7">
        <v>12</v>
      </c>
      <c r="L128" s="5">
        <v>33</v>
      </c>
      <c r="M128" s="5">
        <v>52</v>
      </c>
      <c r="N128" s="7">
        <v>72</v>
      </c>
      <c r="O128" s="4">
        <v>145</v>
      </c>
      <c r="P128" s="4">
        <f t="shared" si="20"/>
        <v>3.625</v>
      </c>
      <c r="Q128" s="4">
        <v>145</v>
      </c>
      <c r="R128" s="4">
        <f t="shared" si="21"/>
        <v>3.625</v>
      </c>
      <c r="S128" s="15" t="s">
        <v>388</v>
      </c>
      <c r="T128">
        <v>10</v>
      </c>
    </row>
    <row r="129" outlineLevel="2" spans="1:20">
      <c r="A129" s="8" t="s">
        <v>84</v>
      </c>
      <c r="B129" s="3" t="s">
        <v>64</v>
      </c>
      <c r="C129" s="3" t="s">
        <v>17</v>
      </c>
      <c r="D129" s="3" t="s">
        <v>20</v>
      </c>
      <c r="E129" s="4">
        <v>10</v>
      </c>
      <c r="F129" s="4">
        <v>1</v>
      </c>
      <c r="G129" s="5">
        <v>0</v>
      </c>
      <c r="H129" s="5">
        <v>0</v>
      </c>
      <c r="I129" s="6">
        <v>119</v>
      </c>
      <c r="J129" s="5">
        <v>119</v>
      </c>
      <c r="K129" s="7">
        <v>2</v>
      </c>
      <c r="L129" s="5">
        <v>19</v>
      </c>
      <c r="M129" s="5">
        <v>36</v>
      </c>
      <c r="N129" s="7">
        <v>100</v>
      </c>
      <c r="O129" s="4">
        <v>50</v>
      </c>
      <c r="P129" s="4">
        <f t="shared" si="20"/>
        <v>0.5</v>
      </c>
      <c r="Q129" s="4">
        <v>30</v>
      </c>
      <c r="R129" s="4">
        <f t="shared" si="21"/>
        <v>0.3</v>
      </c>
      <c r="S129" s="15" t="s">
        <v>388</v>
      </c>
      <c r="T129">
        <v>0</v>
      </c>
    </row>
    <row r="130" outlineLevel="2" spans="1:20">
      <c r="A130" s="8" t="s">
        <v>84</v>
      </c>
      <c r="B130" s="3" t="s">
        <v>23</v>
      </c>
      <c r="C130" s="3" t="s">
        <v>17</v>
      </c>
      <c r="D130" s="3" t="s">
        <v>20</v>
      </c>
      <c r="E130" s="4">
        <v>5</v>
      </c>
      <c r="F130" s="4">
        <v>5</v>
      </c>
      <c r="G130" s="5">
        <v>0</v>
      </c>
      <c r="H130" s="5">
        <v>0</v>
      </c>
      <c r="I130" s="6">
        <v>44</v>
      </c>
      <c r="J130" s="5">
        <v>44</v>
      </c>
      <c r="K130" s="7">
        <v>2</v>
      </c>
      <c r="L130" s="5">
        <v>14</v>
      </c>
      <c r="M130" s="5">
        <v>41</v>
      </c>
      <c r="N130" s="7">
        <v>93</v>
      </c>
      <c r="O130" s="4">
        <v>75</v>
      </c>
      <c r="P130" s="4">
        <f t="shared" si="20"/>
        <v>0.375</v>
      </c>
      <c r="Q130" s="4">
        <v>50</v>
      </c>
      <c r="R130" s="4">
        <f t="shared" si="21"/>
        <v>0.25</v>
      </c>
      <c r="S130" s="15" t="s">
        <v>388</v>
      </c>
      <c r="T130">
        <v>30</v>
      </c>
    </row>
    <row r="131" outlineLevel="2" spans="1:20">
      <c r="A131" s="8" t="s">
        <v>84</v>
      </c>
      <c r="B131" s="3" t="s">
        <v>65</v>
      </c>
      <c r="C131" s="3" t="s">
        <v>17</v>
      </c>
      <c r="D131" s="3" t="s">
        <v>20</v>
      </c>
      <c r="E131" s="4">
        <v>2.5</v>
      </c>
      <c r="F131" s="4">
        <v>1</v>
      </c>
      <c r="G131" s="5">
        <v>0</v>
      </c>
      <c r="H131" s="5">
        <v>0</v>
      </c>
      <c r="I131" s="6">
        <v>66</v>
      </c>
      <c r="J131" s="5">
        <v>66</v>
      </c>
      <c r="K131" s="7">
        <v>1</v>
      </c>
      <c r="L131" s="5">
        <v>10</v>
      </c>
      <c r="M131" s="5">
        <v>24</v>
      </c>
      <c r="N131" s="7">
        <v>33</v>
      </c>
      <c r="O131" s="4">
        <v>21</v>
      </c>
      <c r="P131" s="4">
        <f t="shared" si="20"/>
        <v>0.0525</v>
      </c>
      <c r="Q131" s="4">
        <v>21</v>
      </c>
      <c r="R131" s="4">
        <f t="shared" si="21"/>
        <v>0.0525</v>
      </c>
      <c r="S131" s="15" t="s">
        <v>388</v>
      </c>
      <c r="T131">
        <v>50</v>
      </c>
    </row>
    <row r="132" outlineLevel="2" spans="1:20">
      <c r="A132" s="8" t="s">
        <v>84</v>
      </c>
      <c r="B132" s="3" t="s">
        <v>21</v>
      </c>
      <c r="C132" s="3" t="s">
        <v>17</v>
      </c>
      <c r="D132" s="3" t="s">
        <v>20</v>
      </c>
      <c r="E132" s="4">
        <v>5</v>
      </c>
      <c r="F132" s="4">
        <v>1</v>
      </c>
      <c r="G132" s="5">
        <v>0</v>
      </c>
      <c r="H132" s="5">
        <v>0</v>
      </c>
      <c r="I132" s="6">
        <v>74</v>
      </c>
      <c r="J132" s="5">
        <v>77</v>
      </c>
      <c r="K132" s="7">
        <v>3</v>
      </c>
      <c r="L132" s="5">
        <v>32</v>
      </c>
      <c r="M132" s="5">
        <v>61</v>
      </c>
      <c r="N132" s="7">
        <v>179</v>
      </c>
      <c r="O132" s="4">
        <v>252</v>
      </c>
      <c r="P132" s="4">
        <f t="shared" si="20"/>
        <v>1.26</v>
      </c>
      <c r="Q132" s="4">
        <v>100</v>
      </c>
      <c r="R132" s="4">
        <f t="shared" si="21"/>
        <v>0.5</v>
      </c>
      <c r="S132" s="15" t="s">
        <v>388</v>
      </c>
      <c r="T132">
        <v>70</v>
      </c>
    </row>
    <row r="133" s="1" customFormat="1" outlineLevel="1" spans="1:20">
      <c r="A133" s="9" t="s">
        <v>401</v>
      </c>
      <c r="B133" s="10"/>
      <c r="C133" s="10"/>
      <c r="D133" s="10"/>
      <c r="E133" s="11"/>
      <c r="F133" s="11"/>
      <c r="G133" s="12"/>
      <c r="H133" s="12"/>
      <c r="I133" s="12"/>
      <c r="J133" s="12"/>
      <c r="K133" s="13"/>
      <c r="L133" s="12"/>
      <c r="M133" s="12"/>
      <c r="N133" s="13"/>
      <c r="O133" s="11">
        <f>SUBTOTAL(9,O122:O132)</f>
        <v>2789</v>
      </c>
      <c r="P133" s="11">
        <f>SUBTOTAL(9,P122:P132)</f>
        <v>16.89</v>
      </c>
      <c r="Q133" s="11">
        <f>SUBTOTAL(9,Q122:Q132)</f>
        <v>1505</v>
      </c>
      <c r="R133" s="11">
        <f>SUBTOTAL(9,R122:R132)</f>
        <v>10.37</v>
      </c>
      <c r="S133" s="15" t="s">
        <v>388</v>
      </c>
      <c r="T133" s="1" t="s">
        <v>398</v>
      </c>
    </row>
    <row r="134" outlineLevel="2" spans="1:20">
      <c r="A134" s="3" t="s">
        <v>88</v>
      </c>
      <c r="B134" s="3" t="s">
        <v>59</v>
      </c>
      <c r="C134" s="3" t="s">
        <v>17</v>
      </c>
      <c r="D134" s="3" t="s">
        <v>20</v>
      </c>
      <c r="E134" s="4">
        <v>2.5</v>
      </c>
      <c r="F134" s="4">
        <v>1</v>
      </c>
      <c r="G134" s="5">
        <v>0</v>
      </c>
      <c r="H134" s="5">
        <v>0</v>
      </c>
      <c r="I134" s="6">
        <v>1</v>
      </c>
      <c r="J134" s="5">
        <v>1</v>
      </c>
      <c r="K134" s="7">
        <v>0</v>
      </c>
      <c r="L134" s="5">
        <v>35</v>
      </c>
      <c r="M134" s="5">
        <v>83</v>
      </c>
      <c r="N134" s="7">
        <v>84</v>
      </c>
      <c r="O134" s="4">
        <v>11</v>
      </c>
      <c r="P134" s="4">
        <f t="shared" ref="P134:P144" si="22">E134*O134/1000</f>
        <v>0.0275</v>
      </c>
      <c r="Q134" s="4">
        <v>11</v>
      </c>
      <c r="R134" s="4">
        <f t="shared" ref="R134:R144" si="23">E134*Q134/1000</f>
        <v>0.0275</v>
      </c>
      <c r="S134" s="15" t="s">
        <v>388</v>
      </c>
      <c r="T134">
        <v>41</v>
      </c>
    </row>
    <row r="135" outlineLevel="2" spans="1:20">
      <c r="A135" s="8" t="s">
        <v>88</v>
      </c>
      <c r="B135" s="3" t="s">
        <v>60</v>
      </c>
      <c r="C135" s="3" t="s">
        <v>17</v>
      </c>
      <c r="D135" s="3" t="s">
        <v>20</v>
      </c>
      <c r="E135" s="4">
        <v>10</v>
      </c>
      <c r="F135" s="4">
        <v>1</v>
      </c>
      <c r="G135" s="5">
        <v>0</v>
      </c>
      <c r="H135" s="5">
        <v>0</v>
      </c>
      <c r="I135" s="6">
        <v>65</v>
      </c>
      <c r="J135" s="5">
        <v>68</v>
      </c>
      <c r="K135" s="7">
        <v>2</v>
      </c>
      <c r="L135" s="5">
        <v>39</v>
      </c>
      <c r="M135" s="5">
        <v>63</v>
      </c>
      <c r="N135" s="7">
        <v>104</v>
      </c>
      <c r="O135" s="4">
        <v>55</v>
      </c>
      <c r="P135" s="4">
        <f t="shared" si="22"/>
        <v>0.55</v>
      </c>
      <c r="Q135" s="4">
        <v>55</v>
      </c>
      <c r="R135" s="4">
        <f t="shared" si="23"/>
        <v>0.55</v>
      </c>
      <c r="S135" s="15" t="s">
        <v>388</v>
      </c>
      <c r="T135">
        <v>0</v>
      </c>
    </row>
    <row r="136" outlineLevel="2" spans="1:20">
      <c r="A136" s="8" t="s">
        <v>88</v>
      </c>
      <c r="B136" s="3" t="s">
        <v>16</v>
      </c>
      <c r="C136" s="3" t="s">
        <v>17</v>
      </c>
      <c r="D136" s="3" t="s">
        <v>20</v>
      </c>
      <c r="E136" s="4">
        <v>5</v>
      </c>
      <c r="F136" s="4">
        <v>1</v>
      </c>
      <c r="G136" s="5">
        <v>0</v>
      </c>
      <c r="H136" s="5">
        <v>0</v>
      </c>
      <c r="I136" s="6">
        <v>61</v>
      </c>
      <c r="J136" s="5">
        <v>61</v>
      </c>
      <c r="K136" s="7">
        <v>0</v>
      </c>
      <c r="L136" s="5">
        <v>36</v>
      </c>
      <c r="M136" s="5">
        <v>54</v>
      </c>
      <c r="N136" s="7">
        <v>98</v>
      </c>
      <c r="O136" s="4">
        <v>29</v>
      </c>
      <c r="P136" s="4">
        <f t="shared" si="22"/>
        <v>0.145</v>
      </c>
      <c r="Q136" s="4">
        <v>29</v>
      </c>
      <c r="R136" s="4">
        <f t="shared" si="23"/>
        <v>0.145</v>
      </c>
      <c r="S136" s="15" t="s">
        <v>388</v>
      </c>
      <c r="T136">
        <v>0</v>
      </c>
    </row>
    <row r="137" outlineLevel="2" spans="1:20">
      <c r="A137" s="8" t="s">
        <v>88</v>
      </c>
      <c r="B137" s="3" t="s">
        <v>61</v>
      </c>
      <c r="C137" s="3" t="s">
        <v>17</v>
      </c>
      <c r="D137" s="3" t="s">
        <v>20</v>
      </c>
      <c r="E137" s="4">
        <v>10</v>
      </c>
      <c r="F137" s="4">
        <v>1</v>
      </c>
      <c r="G137" s="5">
        <v>0</v>
      </c>
      <c r="H137" s="5">
        <v>0</v>
      </c>
      <c r="I137" s="6">
        <v>119</v>
      </c>
      <c r="J137" s="5">
        <v>119</v>
      </c>
      <c r="K137" s="7">
        <v>7</v>
      </c>
      <c r="L137" s="5">
        <v>62</v>
      </c>
      <c r="M137" s="5">
        <v>117</v>
      </c>
      <c r="N137" s="7">
        <v>237</v>
      </c>
      <c r="O137" s="4">
        <v>194</v>
      </c>
      <c r="P137" s="4">
        <f t="shared" si="22"/>
        <v>1.94</v>
      </c>
      <c r="Q137" s="4">
        <v>194</v>
      </c>
      <c r="R137" s="4">
        <f t="shared" si="23"/>
        <v>1.94</v>
      </c>
      <c r="S137" s="15" t="s">
        <v>388</v>
      </c>
      <c r="T137">
        <v>0</v>
      </c>
    </row>
    <row r="138" outlineLevel="2" spans="1:20">
      <c r="A138" s="8" t="s">
        <v>88</v>
      </c>
      <c r="B138" s="3" t="s">
        <v>62</v>
      </c>
      <c r="C138" s="3" t="s">
        <v>17</v>
      </c>
      <c r="D138" s="3" t="s">
        <v>20</v>
      </c>
      <c r="E138" s="4">
        <v>10</v>
      </c>
      <c r="F138" s="4">
        <v>1</v>
      </c>
      <c r="G138" s="5">
        <v>0</v>
      </c>
      <c r="H138" s="5">
        <v>0</v>
      </c>
      <c r="I138" s="6">
        <v>87</v>
      </c>
      <c r="J138" s="5">
        <v>87</v>
      </c>
      <c r="K138" s="7">
        <v>0</v>
      </c>
      <c r="L138" s="5">
        <v>25</v>
      </c>
      <c r="M138" s="5">
        <v>57</v>
      </c>
      <c r="N138" s="7">
        <v>129</v>
      </c>
      <c r="O138" s="4">
        <v>26</v>
      </c>
      <c r="P138" s="4">
        <f t="shared" si="22"/>
        <v>0.26</v>
      </c>
      <c r="Q138" s="4">
        <v>26</v>
      </c>
      <c r="R138" s="4">
        <f t="shared" si="23"/>
        <v>0.26</v>
      </c>
      <c r="S138" s="15" t="s">
        <v>388</v>
      </c>
      <c r="T138">
        <v>50</v>
      </c>
    </row>
    <row r="139" outlineLevel="2" spans="1:20">
      <c r="A139" s="8" t="s">
        <v>88</v>
      </c>
      <c r="B139" s="3" t="s">
        <v>19</v>
      </c>
      <c r="C139" s="3" t="s">
        <v>17</v>
      </c>
      <c r="D139" s="3" t="s">
        <v>20</v>
      </c>
      <c r="E139" s="4">
        <v>5</v>
      </c>
      <c r="F139" s="4">
        <v>1</v>
      </c>
      <c r="G139" s="5">
        <v>0</v>
      </c>
      <c r="H139" s="5">
        <v>0</v>
      </c>
      <c r="I139" s="6">
        <v>0</v>
      </c>
      <c r="J139" s="5">
        <v>0</v>
      </c>
      <c r="K139" s="7">
        <v>44</v>
      </c>
      <c r="L139" s="5">
        <v>362</v>
      </c>
      <c r="M139" s="5">
        <v>569</v>
      </c>
      <c r="N139" s="7">
        <v>967</v>
      </c>
      <c r="O139" s="4">
        <v>832</v>
      </c>
      <c r="P139" s="4">
        <f t="shared" si="22"/>
        <v>4.16</v>
      </c>
      <c r="Q139" s="4">
        <v>832</v>
      </c>
      <c r="R139" s="4">
        <f t="shared" si="23"/>
        <v>4.16</v>
      </c>
      <c r="S139" s="15" t="s">
        <v>388</v>
      </c>
      <c r="T139">
        <v>300</v>
      </c>
    </row>
    <row r="140" outlineLevel="2" spans="1:20">
      <c r="A140" s="8" t="s">
        <v>88</v>
      </c>
      <c r="B140" s="3" t="s">
        <v>63</v>
      </c>
      <c r="C140" s="3" t="s">
        <v>17</v>
      </c>
      <c r="D140" s="3" t="s">
        <v>20</v>
      </c>
      <c r="E140" s="4">
        <v>25</v>
      </c>
      <c r="F140" s="4">
        <v>1</v>
      </c>
      <c r="G140" s="5">
        <v>0</v>
      </c>
      <c r="H140" s="5">
        <v>0</v>
      </c>
      <c r="I140" s="6">
        <v>54</v>
      </c>
      <c r="J140" s="5">
        <v>55</v>
      </c>
      <c r="K140" s="7">
        <v>2</v>
      </c>
      <c r="L140" s="5">
        <v>28</v>
      </c>
      <c r="M140" s="5">
        <v>53</v>
      </c>
      <c r="N140" s="7">
        <v>62</v>
      </c>
      <c r="O140" s="4">
        <v>32</v>
      </c>
      <c r="P140" s="4">
        <f t="shared" si="22"/>
        <v>0.8</v>
      </c>
      <c r="Q140" s="4">
        <v>32</v>
      </c>
      <c r="R140" s="4">
        <f t="shared" si="23"/>
        <v>0.8</v>
      </c>
      <c r="S140" s="15" t="s">
        <v>388</v>
      </c>
      <c r="T140">
        <v>37</v>
      </c>
    </row>
    <row r="141" outlineLevel="2" spans="1:20">
      <c r="A141" s="8" t="s">
        <v>88</v>
      </c>
      <c r="B141" s="3" t="s">
        <v>64</v>
      </c>
      <c r="C141" s="3" t="s">
        <v>17</v>
      </c>
      <c r="D141" s="3" t="s">
        <v>20</v>
      </c>
      <c r="E141" s="4">
        <v>10</v>
      </c>
      <c r="F141" s="4">
        <v>1</v>
      </c>
      <c r="G141" s="5">
        <v>0</v>
      </c>
      <c r="H141" s="5">
        <v>0</v>
      </c>
      <c r="I141" s="6">
        <v>95</v>
      </c>
      <c r="J141" s="5">
        <v>95</v>
      </c>
      <c r="K141" s="7">
        <v>4</v>
      </c>
      <c r="L141" s="5">
        <v>23</v>
      </c>
      <c r="M141" s="5">
        <v>40</v>
      </c>
      <c r="N141" s="7">
        <v>67</v>
      </c>
      <c r="O141" s="4">
        <v>0</v>
      </c>
      <c r="P141" s="4">
        <f t="shared" si="22"/>
        <v>0</v>
      </c>
      <c r="Q141" s="4">
        <v>0</v>
      </c>
      <c r="R141" s="4">
        <f t="shared" si="23"/>
        <v>0</v>
      </c>
      <c r="S141" s="15" t="s">
        <v>388</v>
      </c>
      <c r="T141">
        <v>0</v>
      </c>
    </row>
    <row r="142" outlineLevel="2" spans="1:20">
      <c r="A142" s="8" t="s">
        <v>88</v>
      </c>
      <c r="B142" s="3" t="s">
        <v>23</v>
      </c>
      <c r="C142" s="3" t="s">
        <v>17</v>
      </c>
      <c r="D142" s="3" t="s">
        <v>20</v>
      </c>
      <c r="E142" s="4">
        <v>5</v>
      </c>
      <c r="F142" s="4">
        <v>5</v>
      </c>
      <c r="G142" s="5">
        <v>0</v>
      </c>
      <c r="H142" s="5">
        <v>0</v>
      </c>
      <c r="I142" s="6">
        <v>52</v>
      </c>
      <c r="J142" s="5">
        <v>55</v>
      </c>
      <c r="K142" s="7">
        <v>2</v>
      </c>
      <c r="L142" s="5">
        <v>5</v>
      </c>
      <c r="M142" s="5">
        <v>13</v>
      </c>
      <c r="N142" s="7">
        <v>42</v>
      </c>
      <c r="O142" s="4">
        <v>15</v>
      </c>
      <c r="P142" s="4">
        <f t="shared" si="22"/>
        <v>0.075</v>
      </c>
      <c r="Q142" s="4">
        <v>15</v>
      </c>
      <c r="R142" s="4">
        <f t="shared" si="23"/>
        <v>0.075</v>
      </c>
      <c r="S142" s="15" t="s">
        <v>388</v>
      </c>
      <c r="T142">
        <v>0</v>
      </c>
    </row>
    <row r="143" outlineLevel="2" spans="1:20">
      <c r="A143" s="8" t="s">
        <v>88</v>
      </c>
      <c r="B143" s="3" t="s">
        <v>65</v>
      </c>
      <c r="C143" s="3" t="s">
        <v>17</v>
      </c>
      <c r="D143" s="3" t="s">
        <v>20</v>
      </c>
      <c r="E143" s="4">
        <v>2.5</v>
      </c>
      <c r="F143" s="4">
        <v>1</v>
      </c>
      <c r="G143" s="5">
        <v>0</v>
      </c>
      <c r="H143" s="5">
        <v>0</v>
      </c>
      <c r="I143" s="6">
        <v>30</v>
      </c>
      <c r="J143" s="5">
        <v>30</v>
      </c>
      <c r="K143" s="7">
        <v>0</v>
      </c>
      <c r="L143" s="5">
        <v>10</v>
      </c>
      <c r="M143" s="5">
        <v>48</v>
      </c>
      <c r="N143" s="7">
        <v>60</v>
      </c>
      <c r="O143" s="4">
        <v>0</v>
      </c>
      <c r="P143" s="4">
        <f t="shared" si="22"/>
        <v>0</v>
      </c>
      <c r="Q143" s="4">
        <v>0</v>
      </c>
      <c r="R143" s="4">
        <f t="shared" si="23"/>
        <v>0</v>
      </c>
      <c r="S143" s="15" t="s">
        <v>388</v>
      </c>
      <c r="T143">
        <v>120</v>
      </c>
    </row>
    <row r="144" outlineLevel="2" spans="1:20">
      <c r="A144" s="8" t="s">
        <v>88</v>
      </c>
      <c r="B144" s="3" t="s">
        <v>21</v>
      </c>
      <c r="C144" s="3" t="s">
        <v>17</v>
      </c>
      <c r="D144" s="3" t="s">
        <v>20</v>
      </c>
      <c r="E144" s="4">
        <v>5</v>
      </c>
      <c r="F144" s="4">
        <v>1</v>
      </c>
      <c r="G144" s="5">
        <v>0</v>
      </c>
      <c r="H144" s="5">
        <v>0</v>
      </c>
      <c r="I144" s="6">
        <v>1</v>
      </c>
      <c r="J144" s="5">
        <v>1</v>
      </c>
      <c r="K144" s="7">
        <v>6</v>
      </c>
      <c r="L144" s="5">
        <v>68</v>
      </c>
      <c r="M144" s="5">
        <v>127</v>
      </c>
      <c r="N144" s="7">
        <v>247</v>
      </c>
      <c r="O144" s="4">
        <v>121</v>
      </c>
      <c r="P144" s="4">
        <f t="shared" si="22"/>
        <v>0.605</v>
      </c>
      <c r="Q144" s="4">
        <v>30</v>
      </c>
      <c r="R144" s="4">
        <f t="shared" si="23"/>
        <v>0.15</v>
      </c>
      <c r="S144" s="15" t="s">
        <v>388</v>
      </c>
      <c r="T144">
        <v>250</v>
      </c>
    </row>
    <row r="145" s="1" customFormat="1" outlineLevel="1" spans="1:19">
      <c r="A145" s="9" t="s">
        <v>402</v>
      </c>
      <c r="B145" s="10"/>
      <c r="C145" s="10"/>
      <c r="D145" s="10"/>
      <c r="E145" s="11"/>
      <c r="F145" s="11"/>
      <c r="G145" s="12"/>
      <c r="H145" s="12"/>
      <c r="I145" s="12"/>
      <c r="J145" s="12"/>
      <c r="K145" s="13"/>
      <c r="L145" s="12"/>
      <c r="M145" s="12"/>
      <c r="N145" s="13"/>
      <c r="O145" s="11">
        <f>SUBTOTAL(9,O134:O144)</f>
        <v>1315</v>
      </c>
      <c r="P145" s="11">
        <f>SUBTOTAL(9,P134:P144)</f>
        <v>8.5625</v>
      </c>
      <c r="Q145" s="11">
        <f>SUBTOTAL(9,Q134:Q144)</f>
        <v>1224</v>
      </c>
      <c r="R145" s="11">
        <f>SUBTOTAL(9,R134:R144)</f>
        <v>8.1075</v>
      </c>
      <c r="S145" s="15" t="s">
        <v>391</v>
      </c>
    </row>
    <row r="146" outlineLevel="2" spans="1:19">
      <c r="A146" s="3" t="s">
        <v>91</v>
      </c>
      <c r="B146" s="3" t="s">
        <v>59</v>
      </c>
      <c r="C146" s="3" t="s">
        <v>17</v>
      </c>
      <c r="D146" s="3" t="s">
        <v>20</v>
      </c>
      <c r="E146" s="4">
        <v>2.5</v>
      </c>
      <c r="F146" s="4">
        <v>1</v>
      </c>
      <c r="G146" s="5">
        <v>0</v>
      </c>
      <c r="H146" s="5">
        <v>0</v>
      </c>
      <c r="I146" s="6">
        <v>23</v>
      </c>
      <c r="J146" s="5">
        <v>23</v>
      </c>
      <c r="K146" s="7">
        <v>0</v>
      </c>
      <c r="L146" s="5">
        <v>3</v>
      </c>
      <c r="M146" s="5">
        <v>15</v>
      </c>
      <c r="N146" s="7">
        <v>24</v>
      </c>
      <c r="O146" s="4">
        <v>119</v>
      </c>
      <c r="P146" s="4">
        <f t="shared" ref="P146:P156" si="24">E146*O146/1000</f>
        <v>0.2975</v>
      </c>
      <c r="Q146" s="4">
        <v>100</v>
      </c>
      <c r="R146" s="4">
        <f t="shared" ref="R146:R156" si="25">E146*Q146/1000</f>
        <v>0.25</v>
      </c>
      <c r="S146" s="15" t="s">
        <v>391</v>
      </c>
    </row>
    <row r="147" outlineLevel="2" spans="1:19">
      <c r="A147" s="8" t="s">
        <v>91</v>
      </c>
      <c r="B147" s="3" t="s">
        <v>60</v>
      </c>
      <c r="C147" s="3" t="s">
        <v>17</v>
      </c>
      <c r="D147" s="3" t="s">
        <v>20</v>
      </c>
      <c r="E147" s="4">
        <v>10</v>
      </c>
      <c r="F147" s="4">
        <v>1</v>
      </c>
      <c r="G147" s="5">
        <v>0</v>
      </c>
      <c r="H147" s="5">
        <v>0</v>
      </c>
      <c r="I147" s="6">
        <v>18</v>
      </c>
      <c r="J147" s="5">
        <v>18</v>
      </c>
      <c r="K147" s="7">
        <v>1</v>
      </c>
      <c r="L147" s="5">
        <v>13</v>
      </c>
      <c r="M147" s="5">
        <v>24</v>
      </c>
      <c r="N147" s="7">
        <v>41</v>
      </c>
      <c r="O147" s="4">
        <v>45</v>
      </c>
      <c r="P147" s="4">
        <f t="shared" si="24"/>
        <v>0.45</v>
      </c>
      <c r="Q147" s="4">
        <v>45</v>
      </c>
      <c r="R147" s="4">
        <f t="shared" si="25"/>
        <v>0.45</v>
      </c>
      <c r="S147" s="15" t="s">
        <v>391</v>
      </c>
    </row>
    <row r="148" outlineLevel="2" spans="1:19">
      <c r="A148" s="8" t="s">
        <v>91</v>
      </c>
      <c r="B148" s="3" t="s">
        <v>16</v>
      </c>
      <c r="C148" s="3" t="s">
        <v>17</v>
      </c>
      <c r="D148" s="3" t="s">
        <v>20</v>
      </c>
      <c r="E148" s="4">
        <v>5</v>
      </c>
      <c r="F148" s="4">
        <v>1</v>
      </c>
      <c r="G148" s="5">
        <v>0</v>
      </c>
      <c r="H148" s="5">
        <v>0</v>
      </c>
      <c r="I148" s="6">
        <v>69</v>
      </c>
      <c r="J148" s="5">
        <v>69</v>
      </c>
      <c r="K148" s="7">
        <v>2</v>
      </c>
      <c r="L148" s="5">
        <v>12</v>
      </c>
      <c r="M148" s="5">
        <v>34</v>
      </c>
      <c r="N148" s="7">
        <v>54</v>
      </c>
      <c r="O148" s="4">
        <v>73</v>
      </c>
      <c r="P148" s="4">
        <f t="shared" si="24"/>
        <v>0.365</v>
      </c>
      <c r="Q148" s="4">
        <v>20</v>
      </c>
      <c r="R148" s="4">
        <f t="shared" si="25"/>
        <v>0.1</v>
      </c>
      <c r="S148" s="15" t="s">
        <v>391</v>
      </c>
    </row>
    <row r="149" outlineLevel="2" spans="1:19">
      <c r="A149" s="8" t="s">
        <v>91</v>
      </c>
      <c r="B149" s="3" t="s">
        <v>61</v>
      </c>
      <c r="C149" s="3" t="s">
        <v>17</v>
      </c>
      <c r="D149" s="3" t="s">
        <v>20</v>
      </c>
      <c r="E149" s="4">
        <v>10</v>
      </c>
      <c r="F149" s="4">
        <v>1</v>
      </c>
      <c r="G149" s="5">
        <v>0</v>
      </c>
      <c r="H149" s="5">
        <v>0</v>
      </c>
      <c r="I149" s="6">
        <v>59</v>
      </c>
      <c r="J149" s="5">
        <v>59</v>
      </c>
      <c r="K149" s="7">
        <v>2</v>
      </c>
      <c r="L149" s="5">
        <v>12</v>
      </c>
      <c r="M149" s="5">
        <v>16</v>
      </c>
      <c r="N149" s="7">
        <v>43</v>
      </c>
      <c r="O149" s="4">
        <v>39</v>
      </c>
      <c r="P149" s="4">
        <f t="shared" si="24"/>
        <v>0.39</v>
      </c>
      <c r="Q149" s="16">
        <v>0</v>
      </c>
      <c r="R149" s="4">
        <f t="shared" si="25"/>
        <v>0</v>
      </c>
      <c r="S149" s="15" t="s">
        <v>391</v>
      </c>
    </row>
    <row r="150" outlineLevel="2" spans="1:19">
      <c r="A150" s="8" t="s">
        <v>91</v>
      </c>
      <c r="B150" s="3" t="s">
        <v>62</v>
      </c>
      <c r="C150" s="3" t="s">
        <v>17</v>
      </c>
      <c r="D150" s="3" t="s">
        <v>20</v>
      </c>
      <c r="E150" s="4">
        <v>10</v>
      </c>
      <c r="F150" s="4">
        <v>1</v>
      </c>
      <c r="G150" s="5">
        <v>0</v>
      </c>
      <c r="H150" s="5">
        <v>0</v>
      </c>
      <c r="I150" s="6">
        <v>33</v>
      </c>
      <c r="J150" s="5">
        <v>33</v>
      </c>
      <c r="K150" s="7">
        <v>2</v>
      </c>
      <c r="L150" s="5">
        <v>7</v>
      </c>
      <c r="M150" s="5">
        <v>13</v>
      </c>
      <c r="N150" s="7">
        <v>29</v>
      </c>
      <c r="O150" s="4">
        <v>17</v>
      </c>
      <c r="P150" s="4">
        <f t="shared" si="24"/>
        <v>0.17</v>
      </c>
      <c r="Q150" s="4">
        <v>17</v>
      </c>
      <c r="R150" s="4">
        <f t="shared" si="25"/>
        <v>0.17</v>
      </c>
      <c r="S150" s="15" t="s">
        <v>391</v>
      </c>
    </row>
    <row r="151" outlineLevel="2" spans="1:19">
      <c r="A151" s="8" t="s">
        <v>91</v>
      </c>
      <c r="B151" s="3" t="s">
        <v>19</v>
      </c>
      <c r="C151" s="3" t="s">
        <v>17</v>
      </c>
      <c r="D151" s="3" t="s">
        <v>20</v>
      </c>
      <c r="E151" s="4">
        <v>5</v>
      </c>
      <c r="F151" s="4">
        <v>1</v>
      </c>
      <c r="G151" s="5">
        <v>0</v>
      </c>
      <c r="H151" s="5">
        <v>0</v>
      </c>
      <c r="I151" s="6">
        <v>99</v>
      </c>
      <c r="J151" s="5">
        <v>114</v>
      </c>
      <c r="K151" s="7">
        <v>17</v>
      </c>
      <c r="L151" s="5">
        <v>173</v>
      </c>
      <c r="M151" s="5">
        <v>246</v>
      </c>
      <c r="N151" s="7">
        <v>384</v>
      </c>
      <c r="O151" s="4">
        <v>516</v>
      </c>
      <c r="P151" s="4">
        <f t="shared" si="24"/>
        <v>2.58</v>
      </c>
      <c r="Q151" s="4">
        <v>516</v>
      </c>
      <c r="R151" s="4">
        <f t="shared" si="25"/>
        <v>2.58</v>
      </c>
      <c r="S151" s="15" t="s">
        <v>391</v>
      </c>
    </row>
    <row r="152" outlineLevel="2" spans="1:19">
      <c r="A152" s="8" t="s">
        <v>91</v>
      </c>
      <c r="B152" s="3" t="s">
        <v>63</v>
      </c>
      <c r="C152" s="3" t="s">
        <v>17</v>
      </c>
      <c r="D152" s="3" t="s">
        <v>20</v>
      </c>
      <c r="E152" s="4">
        <v>25</v>
      </c>
      <c r="F152" s="4">
        <v>1</v>
      </c>
      <c r="G152" s="5">
        <v>0</v>
      </c>
      <c r="H152" s="5">
        <v>0</v>
      </c>
      <c r="I152" s="6">
        <v>58</v>
      </c>
      <c r="J152" s="5">
        <v>58</v>
      </c>
      <c r="K152" s="7">
        <v>0</v>
      </c>
      <c r="L152" s="5">
        <v>5</v>
      </c>
      <c r="M152" s="5">
        <v>7</v>
      </c>
      <c r="N152" s="7">
        <v>7</v>
      </c>
      <c r="O152" s="4">
        <v>0</v>
      </c>
      <c r="P152" s="4">
        <f t="shared" si="24"/>
        <v>0</v>
      </c>
      <c r="Q152" s="4">
        <v>0</v>
      </c>
      <c r="R152" s="4">
        <f t="shared" si="25"/>
        <v>0</v>
      </c>
      <c r="S152" s="15" t="s">
        <v>391</v>
      </c>
    </row>
    <row r="153" outlineLevel="2" spans="1:19">
      <c r="A153" s="8" t="s">
        <v>91</v>
      </c>
      <c r="B153" s="3" t="s">
        <v>64</v>
      </c>
      <c r="C153" s="3" t="s">
        <v>17</v>
      </c>
      <c r="D153" s="3" t="s">
        <v>20</v>
      </c>
      <c r="E153" s="4">
        <v>10</v>
      </c>
      <c r="F153" s="4">
        <v>1</v>
      </c>
      <c r="G153" s="5">
        <v>0</v>
      </c>
      <c r="H153" s="5">
        <v>0</v>
      </c>
      <c r="I153" s="6">
        <v>64</v>
      </c>
      <c r="J153" s="5">
        <v>64</v>
      </c>
      <c r="K153" s="7">
        <v>1</v>
      </c>
      <c r="L153" s="5">
        <v>12</v>
      </c>
      <c r="M153" s="5">
        <v>27</v>
      </c>
      <c r="N153" s="7">
        <v>44</v>
      </c>
      <c r="O153" s="4">
        <v>4</v>
      </c>
      <c r="P153" s="4">
        <f t="shared" si="24"/>
        <v>0.04</v>
      </c>
      <c r="Q153" s="4">
        <v>0</v>
      </c>
      <c r="R153" s="4">
        <f t="shared" si="25"/>
        <v>0</v>
      </c>
      <c r="S153" s="15" t="s">
        <v>391</v>
      </c>
    </row>
    <row r="154" outlineLevel="2" spans="1:19">
      <c r="A154" s="8" t="s">
        <v>91</v>
      </c>
      <c r="B154" s="3" t="s">
        <v>23</v>
      </c>
      <c r="C154" s="3" t="s">
        <v>17</v>
      </c>
      <c r="D154" s="3" t="s">
        <v>20</v>
      </c>
      <c r="E154" s="4">
        <v>5</v>
      </c>
      <c r="F154" s="4">
        <v>5</v>
      </c>
      <c r="G154" s="5">
        <v>0</v>
      </c>
      <c r="H154" s="5">
        <v>0</v>
      </c>
      <c r="I154" s="6">
        <v>20</v>
      </c>
      <c r="J154" s="5">
        <v>20</v>
      </c>
      <c r="K154" s="7">
        <v>0</v>
      </c>
      <c r="L154" s="5">
        <v>2</v>
      </c>
      <c r="M154" s="5">
        <v>13</v>
      </c>
      <c r="N154" s="7">
        <v>27</v>
      </c>
      <c r="O154" s="4">
        <v>25</v>
      </c>
      <c r="P154" s="4">
        <f t="shared" si="24"/>
        <v>0.125</v>
      </c>
      <c r="Q154" s="4">
        <v>25</v>
      </c>
      <c r="R154" s="4">
        <f t="shared" si="25"/>
        <v>0.125</v>
      </c>
      <c r="S154" s="15" t="s">
        <v>391</v>
      </c>
    </row>
    <row r="155" outlineLevel="2" spans="1:19">
      <c r="A155" s="8" t="s">
        <v>91</v>
      </c>
      <c r="B155" s="3" t="s">
        <v>65</v>
      </c>
      <c r="C155" s="3" t="s">
        <v>17</v>
      </c>
      <c r="D155" s="3" t="s">
        <v>20</v>
      </c>
      <c r="E155" s="4">
        <v>2.5</v>
      </c>
      <c r="F155" s="4">
        <v>1</v>
      </c>
      <c r="G155" s="5">
        <v>0</v>
      </c>
      <c r="H155" s="5">
        <v>0</v>
      </c>
      <c r="I155" s="6">
        <v>11</v>
      </c>
      <c r="J155" s="5">
        <v>11</v>
      </c>
      <c r="K155" s="7">
        <v>3</v>
      </c>
      <c r="L155" s="5">
        <v>7</v>
      </c>
      <c r="M155" s="5">
        <v>30</v>
      </c>
      <c r="N155" s="7">
        <v>37</v>
      </c>
      <c r="O155" s="4">
        <v>139</v>
      </c>
      <c r="P155" s="4">
        <f t="shared" si="24"/>
        <v>0.3475</v>
      </c>
      <c r="Q155" s="4">
        <v>100</v>
      </c>
      <c r="R155" s="4">
        <f t="shared" si="25"/>
        <v>0.25</v>
      </c>
      <c r="S155" s="15" t="s">
        <v>391</v>
      </c>
    </row>
    <row r="156" outlineLevel="2" spans="1:19">
      <c r="A156" s="8" t="s">
        <v>91</v>
      </c>
      <c r="B156" s="3" t="s">
        <v>21</v>
      </c>
      <c r="C156" s="3" t="s">
        <v>17</v>
      </c>
      <c r="D156" s="3" t="s">
        <v>20</v>
      </c>
      <c r="E156" s="4">
        <v>5</v>
      </c>
      <c r="F156" s="4">
        <v>1</v>
      </c>
      <c r="G156" s="5">
        <v>0</v>
      </c>
      <c r="H156" s="5">
        <v>0</v>
      </c>
      <c r="I156" s="6">
        <v>17</v>
      </c>
      <c r="J156" s="5">
        <v>27</v>
      </c>
      <c r="K156" s="7">
        <v>8</v>
      </c>
      <c r="L156" s="5">
        <v>45</v>
      </c>
      <c r="M156" s="5">
        <v>91</v>
      </c>
      <c r="N156" s="7">
        <v>164</v>
      </c>
      <c r="O156" s="4">
        <v>323</v>
      </c>
      <c r="P156" s="4">
        <f t="shared" si="24"/>
        <v>1.615</v>
      </c>
      <c r="Q156" s="4">
        <v>230</v>
      </c>
      <c r="R156" s="4">
        <f t="shared" si="25"/>
        <v>1.15</v>
      </c>
      <c r="S156" s="15" t="s">
        <v>391</v>
      </c>
    </row>
    <row r="157" s="1" customFormat="1" outlineLevel="1" spans="1:19">
      <c r="A157" s="9" t="s">
        <v>403</v>
      </c>
      <c r="B157" s="10"/>
      <c r="C157" s="10"/>
      <c r="D157" s="10"/>
      <c r="E157" s="11"/>
      <c r="F157" s="11"/>
      <c r="G157" s="12"/>
      <c r="H157" s="12"/>
      <c r="I157" s="12"/>
      <c r="J157" s="12"/>
      <c r="K157" s="13"/>
      <c r="L157" s="12"/>
      <c r="M157" s="12"/>
      <c r="N157" s="13"/>
      <c r="O157" s="11">
        <f>SUBTOTAL(9,O146:O156)</f>
        <v>1300</v>
      </c>
      <c r="P157" s="11">
        <f>SUBTOTAL(9,P146:P156)</f>
        <v>6.38</v>
      </c>
      <c r="Q157" s="11">
        <f>SUBTOTAL(9,Q146:Q156)</f>
        <v>1053</v>
      </c>
      <c r="R157" s="11">
        <f>SUBTOTAL(9,R146:R156)</f>
        <v>5.075</v>
      </c>
      <c r="S157" s="15" t="s">
        <v>391</v>
      </c>
    </row>
    <row r="158" outlineLevel="2" spans="1:19">
      <c r="A158" s="3" t="s">
        <v>94</v>
      </c>
      <c r="B158" s="3" t="s">
        <v>59</v>
      </c>
      <c r="C158" s="3" t="s">
        <v>17</v>
      </c>
      <c r="D158" s="3" t="s">
        <v>20</v>
      </c>
      <c r="E158" s="4">
        <v>2.5</v>
      </c>
      <c r="F158" s="4">
        <v>1</v>
      </c>
      <c r="G158" s="5">
        <v>0</v>
      </c>
      <c r="H158" s="5">
        <v>0</v>
      </c>
      <c r="I158" s="6">
        <v>161</v>
      </c>
      <c r="J158" s="5">
        <v>162</v>
      </c>
      <c r="K158" s="7">
        <v>2</v>
      </c>
      <c r="L158" s="5">
        <v>6</v>
      </c>
      <c r="M158" s="5">
        <v>16</v>
      </c>
      <c r="N158" s="7">
        <v>47</v>
      </c>
      <c r="O158" s="4">
        <v>26</v>
      </c>
      <c r="P158" s="4">
        <f t="shared" ref="P158:P174" si="26">E158*O158/1000</f>
        <v>0.065</v>
      </c>
      <c r="Q158" s="4">
        <v>0</v>
      </c>
      <c r="R158" s="4">
        <f t="shared" ref="R158:R174" si="27">E158*Q158/1000</f>
        <v>0</v>
      </c>
      <c r="S158" s="15" t="s">
        <v>391</v>
      </c>
    </row>
    <row r="159" outlineLevel="2" spans="1:19">
      <c r="A159" s="8" t="s">
        <v>94</v>
      </c>
      <c r="B159" s="3" t="s">
        <v>60</v>
      </c>
      <c r="C159" s="3" t="s">
        <v>17</v>
      </c>
      <c r="D159" s="3" t="s">
        <v>20</v>
      </c>
      <c r="E159" s="4">
        <v>10</v>
      </c>
      <c r="F159" s="4">
        <v>1</v>
      </c>
      <c r="G159" s="5">
        <v>0</v>
      </c>
      <c r="H159" s="5">
        <v>0</v>
      </c>
      <c r="I159" s="6">
        <v>50</v>
      </c>
      <c r="J159" s="5">
        <v>51</v>
      </c>
      <c r="K159" s="7">
        <v>2</v>
      </c>
      <c r="L159" s="5">
        <v>25</v>
      </c>
      <c r="M159" s="5">
        <v>51</v>
      </c>
      <c r="N159" s="7">
        <v>72</v>
      </c>
      <c r="O159" s="4">
        <v>31</v>
      </c>
      <c r="P159" s="4">
        <f t="shared" si="26"/>
        <v>0.31</v>
      </c>
      <c r="Q159" s="4">
        <v>31</v>
      </c>
      <c r="R159" s="4">
        <f t="shared" si="27"/>
        <v>0.31</v>
      </c>
      <c r="S159" s="15" t="s">
        <v>391</v>
      </c>
    </row>
    <row r="160" outlineLevel="2" spans="1:19">
      <c r="A160" s="8" t="s">
        <v>94</v>
      </c>
      <c r="B160" s="3" t="s">
        <v>16</v>
      </c>
      <c r="C160" s="3" t="s">
        <v>17</v>
      </c>
      <c r="D160" s="3" t="s">
        <v>20</v>
      </c>
      <c r="E160" s="4">
        <v>5</v>
      </c>
      <c r="F160" s="4">
        <v>1</v>
      </c>
      <c r="G160" s="5">
        <v>0</v>
      </c>
      <c r="H160" s="5">
        <v>0</v>
      </c>
      <c r="I160" s="6">
        <v>93</v>
      </c>
      <c r="J160" s="5">
        <v>93</v>
      </c>
      <c r="K160" s="7">
        <v>2</v>
      </c>
      <c r="L160" s="5">
        <v>11</v>
      </c>
      <c r="M160" s="5">
        <v>30</v>
      </c>
      <c r="N160" s="7">
        <v>58</v>
      </c>
      <c r="O160" s="4">
        <v>56</v>
      </c>
      <c r="P160" s="4">
        <f t="shared" si="26"/>
        <v>0.28</v>
      </c>
      <c r="Q160" s="4">
        <v>0</v>
      </c>
      <c r="R160" s="4">
        <f t="shared" si="27"/>
        <v>0</v>
      </c>
      <c r="S160" s="15" t="s">
        <v>391</v>
      </c>
    </row>
    <row r="161" outlineLevel="2" spans="1:19">
      <c r="A161" s="8" t="s">
        <v>94</v>
      </c>
      <c r="B161" s="3" t="s">
        <v>61</v>
      </c>
      <c r="C161" s="3" t="s">
        <v>17</v>
      </c>
      <c r="D161" s="3" t="s">
        <v>20</v>
      </c>
      <c r="E161" s="4">
        <v>10</v>
      </c>
      <c r="F161" s="4">
        <v>1</v>
      </c>
      <c r="G161" s="5">
        <v>0</v>
      </c>
      <c r="H161" s="5">
        <v>0</v>
      </c>
      <c r="I161" s="6">
        <v>32</v>
      </c>
      <c r="J161" s="5">
        <v>32</v>
      </c>
      <c r="K161" s="7">
        <v>2</v>
      </c>
      <c r="L161" s="5">
        <v>11</v>
      </c>
      <c r="M161" s="5">
        <v>27</v>
      </c>
      <c r="N161" s="7">
        <v>47</v>
      </c>
      <c r="O161" s="4">
        <v>81</v>
      </c>
      <c r="P161" s="4">
        <f t="shared" si="26"/>
        <v>0.81</v>
      </c>
      <c r="Q161" s="4">
        <v>15</v>
      </c>
      <c r="R161" s="4">
        <f t="shared" si="27"/>
        <v>0.15</v>
      </c>
      <c r="S161" s="15" t="s">
        <v>391</v>
      </c>
    </row>
    <row r="162" outlineLevel="2" spans="1:19">
      <c r="A162" s="8" t="s">
        <v>94</v>
      </c>
      <c r="B162" s="3" t="s">
        <v>62</v>
      </c>
      <c r="C162" s="3" t="s">
        <v>17</v>
      </c>
      <c r="D162" s="3" t="s">
        <v>20</v>
      </c>
      <c r="E162" s="4">
        <v>10</v>
      </c>
      <c r="F162" s="4">
        <v>1</v>
      </c>
      <c r="G162" s="5">
        <v>0</v>
      </c>
      <c r="H162" s="5">
        <v>0</v>
      </c>
      <c r="I162" s="6">
        <v>60</v>
      </c>
      <c r="J162" s="5">
        <v>60</v>
      </c>
      <c r="K162" s="7">
        <v>3</v>
      </c>
      <c r="L162" s="5">
        <v>13</v>
      </c>
      <c r="M162" s="5">
        <v>35</v>
      </c>
      <c r="N162" s="7">
        <v>64</v>
      </c>
      <c r="O162" s="4">
        <v>52</v>
      </c>
      <c r="P162" s="4">
        <f t="shared" si="26"/>
        <v>0.52</v>
      </c>
      <c r="Q162" s="4">
        <v>52</v>
      </c>
      <c r="R162" s="4">
        <f t="shared" si="27"/>
        <v>0.52</v>
      </c>
      <c r="S162" s="15" t="s">
        <v>391</v>
      </c>
    </row>
    <row r="163" outlineLevel="2" spans="1:19">
      <c r="A163" s="8" t="s">
        <v>94</v>
      </c>
      <c r="B163" s="3" t="s">
        <v>19</v>
      </c>
      <c r="C163" s="3" t="s">
        <v>17</v>
      </c>
      <c r="D163" s="3" t="s">
        <v>20</v>
      </c>
      <c r="E163" s="4">
        <v>5</v>
      </c>
      <c r="F163" s="4">
        <v>1</v>
      </c>
      <c r="G163" s="5">
        <v>0</v>
      </c>
      <c r="H163" s="5">
        <v>0</v>
      </c>
      <c r="I163" s="6">
        <v>250</v>
      </c>
      <c r="J163" s="5">
        <v>273</v>
      </c>
      <c r="K163" s="7">
        <v>25</v>
      </c>
      <c r="L163" s="5">
        <v>314</v>
      </c>
      <c r="M163" s="5">
        <v>466</v>
      </c>
      <c r="N163" s="7">
        <v>777</v>
      </c>
      <c r="O163" s="4">
        <v>703</v>
      </c>
      <c r="P163" s="4">
        <f t="shared" si="26"/>
        <v>3.515</v>
      </c>
      <c r="Q163" s="4">
        <v>703</v>
      </c>
      <c r="R163" s="4">
        <f t="shared" si="27"/>
        <v>3.515</v>
      </c>
      <c r="S163" s="15" t="s">
        <v>391</v>
      </c>
    </row>
    <row r="164" outlineLevel="2" spans="1:19">
      <c r="A164" s="8" t="s">
        <v>94</v>
      </c>
      <c r="B164" s="3" t="s">
        <v>63</v>
      </c>
      <c r="C164" s="3" t="s">
        <v>17</v>
      </c>
      <c r="D164" s="3" t="s">
        <v>20</v>
      </c>
      <c r="E164" s="4">
        <v>25</v>
      </c>
      <c r="F164" s="4">
        <v>1</v>
      </c>
      <c r="G164" s="5">
        <v>0</v>
      </c>
      <c r="H164" s="5">
        <v>0</v>
      </c>
      <c r="I164" s="6">
        <v>74</v>
      </c>
      <c r="J164" s="5">
        <v>75</v>
      </c>
      <c r="K164" s="7">
        <v>4</v>
      </c>
      <c r="L164" s="5">
        <v>35</v>
      </c>
      <c r="M164" s="5">
        <v>55</v>
      </c>
      <c r="N164" s="7">
        <v>84</v>
      </c>
      <c r="O164" s="4">
        <v>219</v>
      </c>
      <c r="P164" s="4">
        <f t="shared" si="26"/>
        <v>5.475</v>
      </c>
      <c r="Q164" s="4">
        <v>70</v>
      </c>
      <c r="R164" s="4">
        <f t="shared" si="27"/>
        <v>1.75</v>
      </c>
      <c r="S164" s="15" t="s">
        <v>391</v>
      </c>
    </row>
    <row r="165" outlineLevel="2" spans="1:19">
      <c r="A165" s="8" t="s">
        <v>94</v>
      </c>
      <c r="B165" s="3" t="s">
        <v>64</v>
      </c>
      <c r="C165" s="3" t="s">
        <v>17</v>
      </c>
      <c r="D165" s="3" t="s">
        <v>20</v>
      </c>
      <c r="E165" s="4">
        <v>10</v>
      </c>
      <c r="F165" s="4">
        <v>1</v>
      </c>
      <c r="G165" s="5">
        <v>0</v>
      </c>
      <c r="H165" s="5">
        <v>0</v>
      </c>
      <c r="I165" s="6">
        <v>66</v>
      </c>
      <c r="J165" s="5">
        <v>66</v>
      </c>
      <c r="K165" s="7">
        <v>4</v>
      </c>
      <c r="L165" s="5">
        <v>29</v>
      </c>
      <c r="M165" s="5">
        <v>45</v>
      </c>
      <c r="N165" s="7">
        <v>95</v>
      </c>
      <c r="O165" s="4">
        <v>88</v>
      </c>
      <c r="P165" s="4">
        <f t="shared" si="26"/>
        <v>0.88</v>
      </c>
      <c r="Q165" s="4">
        <v>88</v>
      </c>
      <c r="R165" s="4">
        <f t="shared" si="27"/>
        <v>0.88</v>
      </c>
      <c r="S165" s="15" t="s">
        <v>391</v>
      </c>
    </row>
    <row r="166" outlineLevel="2" spans="1:19">
      <c r="A166" s="8" t="s">
        <v>94</v>
      </c>
      <c r="B166" s="3" t="s">
        <v>23</v>
      </c>
      <c r="C166" s="3" t="s">
        <v>17</v>
      </c>
      <c r="D166" s="3" t="s">
        <v>20</v>
      </c>
      <c r="E166" s="4">
        <v>5</v>
      </c>
      <c r="F166" s="4">
        <v>5</v>
      </c>
      <c r="G166" s="5">
        <v>6</v>
      </c>
      <c r="H166" s="5">
        <v>21.12</v>
      </c>
      <c r="I166" s="6">
        <v>51</v>
      </c>
      <c r="J166" s="5">
        <v>51</v>
      </c>
      <c r="K166" s="7">
        <v>0</v>
      </c>
      <c r="L166" s="5">
        <v>0</v>
      </c>
      <c r="M166" s="5">
        <v>5</v>
      </c>
      <c r="N166" s="7">
        <v>15</v>
      </c>
      <c r="O166" s="4">
        <v>0</v>
      </c>
      <c r="P166" s="4">
        <f t="shared" si="26"/>
        <v>0</v>
      </c>
      <c r="Q166" s="4">
        <v>0</v>
      </c>
      <c r="R166" s="4">
        <f t="shared" si="27"/>
        <v>0</v>
      </c>
      <c r="S166" s="15" t="s">
        <v>391</v>
      </c>
    </row>
    <row r="167" outlineLevel="2" spans="1:19">
      <c r="A167" s="8" t="s">
        <v>94</v>
      </c>
      <c r="B167" s="3" t="s">
        <v>65</v>
      </c>
      <c r="C167" s="3" t="s">
        <v>17</v>
      </c>
      <c r="D167" s="3" t="s">
        <v>20</v>
      </c>
      <c r="E167" s="4">
        <v>2.5</v>
      </c>
      <c r="F167" s="4">
        <v>1</v>
      </c>
      <c r="G167" s="5">
        <v>0</v>
      </c>
      <c r="H167" s="5">
        <v>0</v>
      </c>
      <c r="I167" s="6">
        <v>61</v>
      </c>
      <c r="J167" s="5">
        <v>61</v>
      </c>
      <c r="K167" s="7">
        <v>0</v>
      </c>
      <c r="L167" s="5">
        <v>2</v>
      </c>
      <c r="M167" s="5">
        <v>11</v>
      </c>
      <c r="N167" s="7">
        <v>32</v>
      </c>
      <c r="O167" s="4">
        <v>0</v>
      </c>
      <c r="P167" s="4">
        <f t="shared" si="26"/>
        <v>0</v>
      </c>
      <c r="Q167" s="4">
        <v>0</v>
      </c>
      <c r="R167" s="4">
        <f t="shared" si="27"/>
        <v>0</v>
      </c>
      <c r="S167" s="15" t="s">
        <v>391</v>
      </c>
    </row>
    <row r="168" outlineLevel="2" spans="1:19">
      <c r="A168" s="8" t="s">
        <v>94</v>
      </c>
      <c r="B168" s="3" t="s">
        <v>21</v>
      </c>
      <c r="C168" s="3" t="s">
        <v>17</v>
      </c>
      <c r="D168" s="3" t="s">
        <v>20</v>
      </c>
      <c r="E168" s="4">
        <v>5</v>
      </c>
      <c r="F168" s="4">
        <v>1</v>
      </c>
      <c r="G168" s="5">
        <v>0</v>
      </c>
      <c r="H168" s="5">
        <v>0</v>
      </c>
      <c r="I168" s="6">
        <v>110</v>
      </c>
      <c r="J168" s="5">
        <v>112</v>
      </c>
      <c r="K168" s="7">
        <v>3</v>
      </c>
      <c r="L168" s="5">
        <v>16</v>
      </c>
      <c r="M168" s="5">
        <v>35</v>
      </c>
      <c r="N168" s="7">
        <v>70</v>
      </c>
      <c r="O168" s="4">
        <v>13</v>
      </c>
      <c r="P168" s="4">
        <f t="shared" si="26"/>
        <v>0.065</v>
      </c>
      <c r="Q168" s="4">
        <v>13</v>
      </c>
      <c r="R168" s="4">
        <f t="shared" si="27"/>
        <v>0.065</v>
      </c>
      <c r="S168" s="15" t="s">
        <v>391</v>
      </c>
    </row>
    <row r="169" s="1" customFormat="1" outlineLevel="1" spans="1:19">
      <c r="A169" s="9" t="s">
        <v>404</v>
      </c>
      <c r="B169" s="10"/>
      <c r="C169" s="10"/>
      <c r="D169" s="10"/>
      <c r="E169" s="11"/>
      <c r="F169" s="11"/>
      <c r="G169" s="12"/>
      <c r="H169" s="12"/>
      <c r="I169" s="12"/>
      <c r="J169" s="12"/>
      <c r="K169" s="13"/>
      <c r="L169" s="12"/>
      <c r="M169" s="12"/>
      <c r="N169" s="13"/>
      <c r="O169" s="11">
        <f>SUBTOTAL(9,O158:O168)</f>
        <v>1269</v>
      </c>
      <c r="P169" s="11">
        <f>SUBTOTAL(9,P158:P168)</f>
        <v>11.92</v>
      </c>
      <c r="Q169" s="11">
        <f>SUBTOTAL(9,Q158:Q168)</f>
        <v>972</v>
      </c>
      <c r="R169" s="11">
        <f>SUBTOTAL(9,R158:R168)</f>
        <v>7.19</v>
      </c>
      <c r="S169" s="15" t="s">
        <v>391</v>
      </c>
    </row>
    <row r="170" outlineLevel="2" spans="1:19">
      <c r="A170" s="3" t="s">
        <v>97</v>
      </c>
      <c r="B170" s="3" t="s">
        <v>59</v>
      </c>
      <c r="C170" s="3" t="s">
        <v>17</v>
      </c>
      <c r="D170" s="3" t="s">
        <v>20</v>
      </c>
      <c r="E170" s="4">
        <v>2.5</v>
      </c>
      <c r="F170" s="4">
        <v>1</v>
      </c>
      <c r="G170" s="5">
        <v>0</v>
      </c>
      <c r="H170" s="5">
        <v>0</v>
      </c>
      <c r="I170" s="6">
        <v>241</v>
      </c>
      <c r="J170" s="5">
        <v>241</v>
      </c>
      <c r="K170" s="7">
        <v>1</v>
      </c>
      <c r="L170" s="5">
        <v>2</v>
      </c>
      <c r="M170" s="5">
        <v>38</v>
      </c>
      <c r="N170" s="7">
        <v>51</v>
      </c>
      <c r="O170" s="4">
        <v>0</v>
      </c>
      <c r="P170" s="4">
        <f t="shared" ref="P170:P180" si="28">E170*O170/1000</f>
        <v>0</v>
      </c>
      <c r="Q170" s="4">
        <v>0</v>
      </c>
      <c r="R170" s="4">
        <f t="shared" ref="R170:R180" si="29">E170*Q170/1000</f>
        <v>0</v>
      </c>
      <c r="S170" s="15" t="s">
        <v>391</v>
      </c>
    </row>
    <row r="171" outlineLevel="2" spans="1:19">
      <c r="A171" s="8" t="s">
        <v>97</v>
      </c>
      <c r="B171" s="3" t="s">
        <v>60</v>
      </c>
      <c r="C171" s="3" t="s">
        <v>17</v>
      </c>
      <c r="D171" s="3" t="s">
        <v>20</v>
      </c>
      <c r="E171" s="4">
        <v>10</v>
      </c>
      <c r="F171" s="4">
        <v>1</v>
      </c>
      <c r="G171" s="5">
        <v>0</v>
      </c>
      <c r="H171" s="5">
        <v>0</v>
      </c>
      <c r="I171" s="6">
        <v>5</v>
      </c>
      <c r="J171" s="5">
        <v>6</v>
      </c>
      <c r="K171" s="7">
        <v>5</v>
      </c>
      <c r="L171" s="5">
        <v>48</v>
      </c>
      <c r="M171" s="5">
        <v>64</v>
      </c>
      <c r="N171" s="7">
        <v>94</v>
      </c>
      <c r="O171" s="4">
        <v>80</v>
      </c>
      <c r="P171" s="4">
        <f t="shared" si="28"/>
        <v>0.8</v>
      </c>
      <c r="Q171" s="4">
        <v>80</v>
      </c>
      <c r="R171" s="4">
        <f t="shared" si="29"/>
        <v>0.8</v>
      </c>
      <c r="S171" s="15" t="s">
        <v>391</v>
      </c>
    </row>
    <row r="172" outlineLevel="2" spans="1:19">
      <c r="A172" s="8" t="s">
        <v>97</v>
      </c>
      <c r="B172" s="3" t="s">
        <v>16</v>
      </c>
      <c r="C172" s="3" t="s">
        <v>17</v>
      </c>
      <c r="D172" s="3" t="s">
        <v>20</v>
      </c>
      <c r="E172" s="4">
        <v>5</v>
      </c>
      <c r="F172" s="4">
        <v>1</v>
      </c>
      <c r="G172" s="5">
        <v>0</v>
      </c>
      <c r="H172" s="5">
        <v>0</v>
      </c>
      <c r="I172" s="6">
        <v>34</v>
      </c>
      <c r="J172" s="5">
        <v>34</v>
      </c>
      <c r="K172" s="7">
        <v>6</v>
      </c>
      <c r="L172" s="5">
        <v>26</v>
      </c>
      <c r="M172" s="5">
        <v>45</v>
      </c>
      <c r="N172" s="7">
        <v>74</v>
      </c>
      <c r="O172" s="4">
        <v>60</v>
      </c>
      <c r="P172" s="4">
        <f t="shared" si="28"/>
        <v>0.3</v>
      </c>
      <c r="Q172" s="4">
        <v>60</v>
      </c>
      <c r="R172" s="4">
        <f t="shared" si="29"/>
        <v>0.3</v>
      </c>
      <c r="S172" s="15" t="s">
        <v>391</v>
      </c>
    </row>
    <row r="173" outlineLevel="2" spans="1:19">
      <c r="A173" s="8" t="s">
        <v>97</v>
      </c>
      <c r="B173" s="3" t="s">
        <v>61</v>
      </c>
      <c r="C173" s="3" t="s">
        <v>17</v>
      </c>
      <c r="D173" s="3" t="s">
        <v>20</v>
      </c>
      <c r="E173" s="4">
        <v>10</v>
      </c>
      <c r="F173" s="4">
        <v>1</v>
      </c>
      <c r="G173" s="5">
        <v>0</v>
      </c>
      <c r="H173" s="5">
        <v>0</v>
      </c>
      <c r="I173" s="6">
        <v>56</v>
      </c>
      <c r="J173" s="5">
        <v>56</v>
      </c>
      <c r="K173" s="7">
        <v>0</v>
      </c>
      <c r="L173" s="5">
        <v>18</v>
      </c>
      <c r="M173" s="5">
        <v>25</v>
      </c>
      <c r="N173" s="7">
        <v>65</v>
      </c>
      <c r="O173" s="4">
        <v>33</v>
      </c>
      <c r="P173" s="4">
        <f t="shared" si="28"/>
        <v>0.33</v>
      </c>
      <c r="Q173" s="4">
        <v>0</v>
      </c>
      <c r="R173" s="4">
        <f t="shared" si="29"/>
        <v>0</v>
      </c>
      <c r="S173" s="15" t="s">
        <v>391</v>
      </c>
    </row>
    <row r="174" outlineLevel="2" spans="1:19">
      <c r="A174" s="8" t="s">
        <v>97</v>
      </c>
      <c r="B174" s="3" t="s">
        <v>62</v>
      </c>
      <c r="C174" s="3" t="s">
        <v>17</v>
      </c>
      <c r="D174" s="3" t="s">
        <v>20</v>
      </c>
      <c r="E174" s="4">
        <v>10</v>
      </c>
      <c r="F174" s="4">
        <v>1</v>
      </c>
      <c r="G174" s="5">
        <v>0</v>
      </c>
      <c r="H174" s="5">
        <v>0</v>
      </c>
      <c r="I174" s="6">
        <v>71</v>
      </c>
      <c r="J174" s="5">
        <v>73</v>
      </c>
      <c r="K174" s="7">
        <v>8</v>
      </c>
      <c r="L174" s="5">
        <v>35</v>
      </c>
      <c r="M174" s="5">
        <v>64</v>
      </c>
      <c r="N174" s="7">
        <v>116</v>
      </c>
      <c r="O174" s="4">
        <v>29</v>
      </c>
      <c r="P174" s="4">
        <f t="shared" si="28"/>
        <v>0.29</v>
      </c>
      <c r="Q174" s="4">
        <v>29</v>
      </c>
      <c r="R174" s="4">
        <f t="shared" si="29"/>
        <v>0.29</v>
      </c>
      <c r="S174" s="15" t="s">
        <v>391</v>
      </c>
    </row>
    <row r="175" outlineLevel="2" spans="1:19">
      <c r="A175" s="8" t="s">
        <v>97</v>
      </c>
      <c r="B175" s="3" t="s">
        <v>19</v>
      </c>
      <c r="C175" s="3" t="s">
        <v>17</v>
      </c>
      <c r="D175" s="3" t="s">
        <v>20</v>
      </c>
      <c r="E175" s="4">
        <v>5</v>
      </c>
      <c r="F175" s="4">
        <v>1</v>
      </c>
      <c r="G175" s="5">
        <v>0</v>
      </c>
      <c r="H175" s="5">
        <v>0</v>
      </c>
      <c r="I175" s="6">
        <v>147</v>
      </c>
      <c r="J175" s="5">
        <v>164</v>
      </c>
      <c r="K175" s="7">
        <v>58</v>
      </c>
      <c r="L175" s="5">
        <v>522</v>
      </c>
      <c r="M175" s="5">
        <v>705</v>
      </c>
      <c r="N175" s="7">
        <v>1242</v>
      </c>
      <c r="O175" s="4">
        <v>1432</v>
      </c>
      <c r="P175" s="4">
        <f t="shared" si="28"/>
        <v>7.16</v>
      </c>
      <c r="Q175" s="4">
        <v>1432</v>
      </c>
      <c r="R175" s="4">
        <f t="shared" si="29"/>
        <v>7.16</v>
      </c>
      <c r="S175" s="15" t="s">
        <v>391</v>
      </c>
    </row>
    <row r="176" outlineLevel="2" spans="1:19">
      <c r="A176" s="8" t="s">
        <v>97</v>
      </c>
      <c r="B176" s="3" t="s">
        <v>63</v>
      </c>
      <c r="C176" s="3" t="s">
        <v>17</v>
      </c>
      <c r="D176" s="3" t="s">
        <v>20</v>
      </c>
      <c r="E176" s="4">
        <v>25</v>
      </c>
      <c r="F176" s="4">
        <v>1</v>
      </c>
      <c r="G176" s="5">
        <v>0</v>
      </c>
      <c r="H176" s="5">
        <v>0</v>
      </c>
      <c r="I176" s="6">
        <v>77</v>
      </c>
      <c r="J176" s="5">
        <v>80</v>
      </c>
      <c r="K176" s="7">
        <v>4</v>
      </c>
      <c r="L176" s="5">
        <v>35</v>
      </c>
      <c r="M176" s="5">
        <v>44</v>
      </c>
      <c r="N176" s="7">
        <v>74</v>
      </c>
      <c r="O176" s="4">
        <v>128</v>
      </c>
      <c r="P176" s="4">
        <f t="shared" si="28"/>
        <v>3.2</v>
      </c>
      <c r="Q176" s="4">
        <v>56</v>
      </c>
      <c r="R176" s="4">
        <f t="shared" si="29"/>
        <v>1.4</v>
      </c>
      <c r="S176" s="15" t="s">
        <v>391</v>
      </c>
    </row>
    <row r="177" outlineLevel="2" spans="1:19">
      <c r="A177" s="8" t="s">
        <v>97</v>
      </c>
      <c r="B177" s="3" t="s">
        <v>64</v>
      </c>
      <c r="C177" s="3" t="s">
        <v>17</v>
      </c>
      <c r="D177" s="3" t="s">
        <v>20</v>
      </c>
      <c r="E177" s="4">
        <v>10</v>
      </c>
      <c r="F177" s="4">
        <v>1</v>
      </c>
      <c r="G177" s="5">
        <v>0</v>
      </c>
      <c r="H177" s="5">
        <v>0</v>
      </c>
      <c r="I177" s="6">
        <v>122</v>
      </c>
      <c r="J177" s="5">
        <v>123</v>
      </c>
      <c r="K177" s="7">
        <v>5</v>
      </c>
      <c r="L177" s="5">
        <v>35</v>
      </c>
      <c r="M177" s="5">
        <v>64</v>
      </c>
      <c r="N177" s="7">
        <v>130</v>
      </c>
      <c r="O177" s="4">
        <v>23</v>
      </c>
      <c r="P177" s="4">
        <f t="shared" si="28"/>
        <v>0.23</v>
      </c>
      <c r="Q177" s="4">
        <v>0</v>
      </c>
      <c r="R177" s="4">
        <f t="shared" si="29"/>
        <v>0</v>
      </c>
      <c r="S177" s="15" t="s">
        <v>391</v>
      </c>
    </row>
    <row r="178" outlineLevel="2" spans="1:19">
      <c r="A178" s="8" t="s">
        <v>97</v>
      </c>
      <c r="B178" s="3" t="s">
        <v>23</v>
      </c>
      <c r="C178" s="3" t="s">
        <v>17</v>
      </c>
      <c r="D178" s="3" t="s">
        <v>20</v>
      </c>
      <c r="E178" s="4">
        <v>5</v>
      </c>
      <c r="F178" s="4">
        <v>5</v>
      </c>
      <c r="G178" s="5">
        <v>0</v>
      </c>
      <c r="H178" s="5">
        <v>0</v>
      </c>
      <c r="I178" s="6">
        <v>39</v>
      </c>
      <c r="J178" s="5">
        <v>39</v>
      </c>
      <c r="K178" s="7">
        <v>2</v>
      </c>
      <c r="L178" s="5">
        <v>9</v>
      </c>
      <c r="M178" s="5">
        <v>18</v>
      </c>
      <c r="N178" s="7">
        <v>42</v>
      </c>
      <c r="O178" s="4">
        <v>35</v>
      </c>
      <c r="P178" s="4">
        <f t="shared" si="28"/>
        <v>0.175</v>
      </c>
      <c r="Q178" s="4">
        <v>0</v>
      </c>
      <c r="R178" s="4">
        <f t="shared" si="29"/>
        <v>0</v>
      </c>
      <c r="S178" s="15" t="s">
        <v>391</v>
      </c>
    </row>
    <row r="179" outlineLevel="2" spans="1:19">
      <c r="A179" s="8" t="s">
        <v>97</v>
      </c>
      <c r="B179" s="3" t="s">
        <v>65</v>
      </c>
      <c r="C179" s="3" t="s">
        <v>17</v>
      </c>
      <c r="D179" s="3" t="s">
        <v>20</v>
      </c>
      <c r="E179" s="4">
        <v>2.5</v>
      </c>
      <c r="F179" s="4">
        <v>1</v>
      </c>
      <c r="G179" s="5">
        <v>0</v>
      </c>
      <c r="H179" s="5">
        <v>0</v>
      </c>
      <c r="I179" s="6">
        <v>175</v>
      </c>
      <c r="J179" s="5">
        <v>175</v>
      </c>
      <c r="K179" s="7">
        <v>1</v>
      </c>
      <c r="L179" s="5">
        <v>3</v>
      </c>
      <c r="M179" s="5">
        <v>12</v>
      </c>
      <c r="N179" s="7">
        <v>23</v>
      </c>
      <c r="O179" s="4">
        <v>0</v>
      </c>
      <c r="P179" s="4">
        <f t="shared" si="28"/>
        <v>0</v>
      </c>
      <c r="Q179" s="4">
        <v>0</v>
      </c>
      <c r="R179" s="4">
        <f t="shared" si="29"/>
        <v>0</v>
      </c>
      <c r="S179" s="15" t="s">
        <v>391</v>
      </c>
    </row>
    <row r="180" outlineLevel="2" spans="1:19">
      <c r="A180" s="8" t="s">
        <v>97</v>
      </c>
      <c r="B180" s="3" t="s">
        <v>21</v>
      </c>
      <c r="C180" s="3" t="s">
        <v>17</v>
      </c>
      <c r="D180" s="3" t="s">
        <v>20</v>
      </c>
      <c r="E180" s="4">
        <v>5</v>
      </c>
      <c r="F180" s="4">
        <v>1</v>
      </c>
      <c r="G180" s="5">
        <v>0</v>
      </c>
      <c r="H180" s="5">
        <v>0</v>
      </c>
      <c r="I180" s="6">
        <v>75</v>
      </c>
      <c r="J180" s="5">
        <v>75</v>
      </c>
      <c r="K180" s="7">
        <v>9</v>
      </c>
      <c r="L180" s="5">
        <v>28</v>
      </c>
      <c r="M180" s="5">
        <v>46</v>
      </c>
      <c r="N180" s="7">
        <v>108</v>
      </c>
      <c r="O180" s="4">
        <v>12</v>
      </c>
      <c r="P180" s="4">
        <f t="shared" si="28"/>
        <v>0.06</v>
      </c>
      <c r="Q180" s="4">
        <v>12</v>
      </c>
      <c r="R180" s="4">
        <f t="shared" si="29"/>
        <v>0.06</v>
      </c>
      <c r="S180" s="15" t="s">
        <v>391</v>
      </c>
    </row>
    <row r="181" s="1" customFormat="1" outlineLevel="1" spans="1:19">
      <c r="A181" s="9" t="s">
        <v>405</v>
      </c>
      <c r="B181" s="10"/>
      <c r="C181" s="10"/>
      <c r="D181" s="10"/>
      <c r="E181" s="11"/>
      <c r="F181" s="11"/>
      <c r="G181" s="12"/>
      <c r="H181" s="12"/>
      <c r="I181" s="12"/>
      <c r="J181" s="12"/>
      <c r="K181" s="13"/>
      <c r="L181" s="12"/>
      <c r="M181" s="12"/>
      <c r="N181" s="13"/>
      <c r="O181" s="11">
        <f>SUBTOTAL(9,O170:O180)</f>
        <v>1832</v>
      </c>
      <c r="P181" s="11">
        <f>SUBTOTAL(9,P170:P180)</f>
        <v>12.545</v>
      </c>
      <c r="Q181" s="11">
        <f>SUBTOTAL(9,Q170:Q180)</f>
        <v>1669</v>
      </c>
      <c r="R181" s="11">
        <f>SUBTOTAL(9,R170:R180)</f>
        <v>10.01</v>
      </c>
      <c r="S181" s="15" t="s">
        <v>391</v>
      </c>
    </row>
    <row r="182" outlineLevel="2" spans="1:19">
      <c r="A182" s="3" t="s">
        <v>98</v>
      </c>
      <c r="B182" s="3" t="s">
        <v>59</v>
      </c>
      <c r="C182" s="3" t="s">
        <v>17</v>
      </c>
      <c r="D182" s="3" t="s">
        <v>20</v>
      </c>
      <c r="E182" s="4">
        <v>2.5</v>
      </c>
      <c r="F182" s="4">
        <v>1</v>
      </c>
      <c r="G182" s="5">
        <v>0</v>
      </c>
      <c r="H182" s="5">
        <v>0</v>
      </c>
      <c r="I182" s="6">
        <v>110</v>
      </c>
      <c r="J182" s="5">
        <v>110</v>
      </c>
      <c r="K182" s="7">
        <v>7</v>
      </c>
      <c r="L182" s="5">
        <v>34</v>
      </c>
      <c r="M182" s="5">
        <v>42</v>
      </c>
      <c r="N182" s="7">
        <v>84</v>
      </c>
      <c r="O182" s="4">
        <v>60</v>
      </c>
      <c r="P182" s="4">
        <f t="shared" ref="P182:P192" si="30">E182*O182/1000</f>
        <v>0.15</v>
      </c>
      <c r="Q182" s="4">
        <v>0</v>
      </c>
      <c r="R182" s="4">
        <f t="shared" ref="R182:R192" si="31">E182*Q182/1000</f>
        <v>0</v>
      </c>
      <c r="S182" s="15" t="s">
        <v>391</v>
      </c>
    </row>
    <row r="183" outlineLevel="2" spans="1:19">
      <c r="A183" s="8" t="s">
        <v>98</v>
      </c>
      <c r="B183" s="3" t="s">
        <v>60</v>
      </c>
      <c r="C183" s="3" t="s">
        <v>17</v>
      </c>
      <c r="D183" s="3" t="s">
        <v>20</v>
      </c>
      <c r="E183" s="4">
        <v>10</v>
      </c>
      <c r="F183" s="4">
        <v>1</v>
      </c>
      <c r="G183" s="5">
        <v>0</v>
      </c>
      <c r="H183" s="5">
        <v>0</v>
      </c>
      <c r="I183" s="6">
        <v>14</v>
      </c>
      <c r="J183" s="5">
        <v>15</v>
      </c>
      <c r="K183" s="7">
        <v>4</v>
      </c>
      <c r="L183" s="5">
        <v>40</v>
      </c>
      <c r="M183" s="5">
        <v>57</v>
      </c>
      <c r="N183" s="7">
        <v>97</v>
      </c>
      <c r="O183" s="4">
        <v>93</v>
      </c>
      <c r="P183" s="4">
        <f t="shared" si="30"/>
        <v>0.93</v>
      </c>
      <c r="Q183" s="4">
        <v>80</v>
      </c>
      <c r="R183" s="4">
        <f t="shared" si="31"/>
        <v>0.8</v>
      </c>
      <c r="S183" s="15" t="s">
        <v>391</v>
      </c>
    </row>
    <row r="184" outlineLevel="2" spans="1:19">
      <c r="A184" s="8" t="s">
        <v>98</v>
      </c>
      <c r="B184" s="3" t="s">
        <v>16</v>
      </c>
      <c r="C184" s="3" t="s">
        <v>17</v>
      </c>
      <c r="D184" s="3" t="s">
        <v>20</v>
      </c>
      <c r="E184" s="4">
        <v>5</v>
      </c>
      <c r="F184" s="4">
        <v>1</v>
      </c>
      <c r="G184" s="5">
        <v>0</v>
      </c>
      <c r="H184" s="5">
        <v>0</v>
      </c>
      <c r="I184" s="6">
        <v>36</v>
      </c>
      <c r="J184" s="5">
        <v>37</v>
      </c>
      <c r="K184" s="7">
        <v>3</v>
      </c>
      <c r="L184" s="5">
        <v>34</v>
      </c>
      <c r="M184" s="5">
        <v>60</v>
      </c>
      <c r="N184" s="7">
        <v>107</v>
      </c>
      <c r="O184" s="4">
        <v>189</v>
      </c>
      <c r="P184" s="4">
        <f t="shared" si="30"/>
        <v>0.945</v>
      </c>
      <c r="Q184" s="4">
        <v>70</v>
      </c>
      <c r="R184" s="4">
        <f t="shared" si="31"/>
        <v>0.35</v>
      </c>
      <c r="S184" s="15" t="s">
        <v>391</v>
      </c>
    </row>
    <row r="185" outlineLevel="2" spans="1:19">
      <c r="A185" s="8" t="s">
        <v>98</v>
      </c>
      <c r="B185" s="3" t="s">
        <v>61</v>
      </c>
      <c r="C185" s="3" t="s">
        <v>17</v>
      </c>
      <c r="D185" s="3" t="s">
        <v>20</v>
      </c>
      <c r="E185" s="4">
        <v>10</v>
      </c>
      <c r="F185" s="4">
        <v>1</v>
      </c>
      <c r="G185" s="5">
        <v>0</v>
      </c>
      <c r="H185" s="5">
        <v>0</v>
      </c>
      <c r="I185" s="6">
        <v>46</v>
      </c>
      <c r="J185" s="5">
        <v>46</v>
      </c>
      <c r="K185" s="7">
        <v>0</v>
      </c>
      <c r="L185" s="5">
        <v>5</v>
      </c>
      <c r="M185" s="5">
        <v>8</v>
      </c>
      <c r="N185" s="7">
        <v>34</v>
      </c>
      <c r="O185" s="4">
        <v>35</v>
      </c>
      <c r="P185" s="4">
        <f t="shared" si="30"/>
        <v>0.35</v>
      </c>
      <c r="Q185" s="4">
        <v>0</v>
      </c>
      <c r="R185" s="4">
        <f t="shared" si="31"/>
        <v>0</v>
      </c>
      <c r="S185" s="15" t="s">
        <v>391</v>
      </c>
    </row>
    <row r="186" outlineLevel="2" spans="1:19">
      <c r="A186" s="8" t="s">
        <v>98</v>
      </c>
      <c r="B186" s="3" t="s">
        <v>62</v>
      </c>
      <c r="C186" s="3" t="s">
        <v>17</v>
      </c>
      <c r="D186" s="3" t="s">
        <v>20</v>
      </c>
      <c r="E186" s="4">
        <v>10</v>
      </c>
      <c r="F186" s="4">
        <v>1</v>
      </c>
      <c r="G186" s="5">
        <v>0</v>
      </c>
      <c r="H186" s="5">
        <v>0</v>
      </c>
      <c r="I186" s="6">
        <v>79</v>
      </c>
      <c r="J186" s="5">
        <v>79</v>
      </c>
      <c r="K186" s="7">
        <v>1</v>
      </c>
      <c r="L186" s="5">
        <v>17</v>
      </c>
      <c r="M186" s="5">
        <v>34</v>
      </c>
      <c r="N186" s="7">
        <v>82</v>
      </c>
      <c r="O186" s="4">
        <v>75</v>
      </c>
      <c r="P186" s="4">
        <f t="shared" si="30"/>
        <v>0.75</v>
      </c>
      <c r="Q186" s="4">
        <v>0</v>
      </c>
      <c r="R186" s="4">
        <f t="shared" si="31"/>
        <v>0</v>
      </c>
      <c r="S186" s="15" t="s">
        <v>391</v>
      </c>
    </row>
    <row r="187" outlineLevel="2" spans="1:19">
      <c r="A187" s="8" t="s">
        <v>98</v>
      </c>
      <c r="B187" s="3" t="s">
        <v>19</v>
      </c>
      <c r="C187" s="3" t="s">
        <v>17</v>
      </c>
      <c r="D187" s="3" t="s">
        <v>20</v>
      </c>
      <c r="E187" s="4">
        <v>5</v>
      </c>
      <c r="F187" s="4">
        <v>1</v>
      </c>
      <c r="G187" s="5">
        <v>0</v>
      </c>
      <c r="H187" s="5">
        <v>0</v>
      </c>
      <c r="I187" s="6">
        <v>175</v>
      </c>
      <c r="J187" s="5">
        <v>221</v>
      </c>
      <c r="K187" s="7">
        <v>41</v>
      </c>
      <c r="L187" s="5">
        <v>465</v>
      </c>
      <c r="M187" s="5">
        <v>623</v>
      </c>
      <c r="N187" s="7">
        <v>980</v>
      </c>
      <c r="O187" s="4">
        <v>1349</v>
      </c>
      <c r="P187" s="4">
        <f t="shared" si="30"/>
        <v>6.745</v>
      </c>
      <c r="Q187" s="4">
        <v>1000</v>
      </c>
      <c r="R187" s="4">
        <f t="shared" si="31"/>
        <v>5</v>
      </c>
      <c r="S187" s="15" t="s">
        <v>391</v>
      </c>
    </row>
    <row r="188" outlineLevel="2" spans="1:19">
      <c r="A188" s="8" t="s">
        <v>98</v>
      </c>
      <c r="B188" s="3" t="s">
        <v>63</v>
      </c>
      <c r="C188" s="3" t="s">
        <v>17</v>
      </c>
      <c r="D188" s="3" t="s">
        <v>20</v>
      </c>
      <c r="E188" s="4">
        <v>25</v>
      </c>
      <c r="F188" s="4">
        <v>1</v>
      </c>
      <c r="G188" s="5">
        <v>0</v>
      </c>
      <c r="H188" s="5">
        <v>0</v>
      </c>
      <c r="I188" s="6">
        <v>132</v>
      </c>
      <c r="J188" s="5">
        <v>133</v>
      </c>
      <c r="K188" s="7">
        <v>12</v>
      </c>
      <c r="L188" s="5">
        <v>32</v>
      </c>
      <c r="M188" s="5">
        <v>59</v>
      </c>
      <c r="N188" s="7">
        <v>94</v>
      </c>
      <c r="O188" s="4">
        <v>199</v>
      </c>
      <c r="P188" s="4">
        <f t="shared" si="30"/>
        <v>4.975</v>
      </c>
      <c r="Q188" s="4">
        <v>130</v>
      </c>
      <c r="R188" s="4">
        <f t="shared" si="31"/>
        <v>3.25</v>
      </c>
      <c r="S188" s="15" t="s">
        <v>391</v>
      </c>
    </row>
    <row r="189" outlineLevel="2" spans="1:19">
      <c r="A189" s="8" t="s">
        <v>98</v>
      </c>
      <c r="B189" s="3" t="s">
        <v>64</v>
      </c>
      <c r="C189" s="3" t="s">
        <v>17</v>
      </c>
      <c r="D189" s="3" t="s">
        <v>20</v>
      </c>
      <c r="E189" s="4">
        <v>10</v>
      </c>
      <c r="F189" s="4">
        <v>1</v>
      </c>
      <c r="G189" s="5">
        <v>0</v>
      </c>
      <c r="H189" s="5">
        <v>0</v>
      </c>
      <c r="I189" s="6">
        <v>72</v>
      </c>
      <c r="J189" s="5">
        <v>72</v>
      </c>
      <c r="K189" s="7">
        <v>3</v>
      </c>
      <c r="L189" s="5">
        <v>30</v>
      </c>
      <c r="M189" s="5">
        <v>46</v>
      </c>
      <c r="N189" s="7">
        <v>103</v>
      </c>
      <c r="O189" s="4">
        <v>80</v>
      </c>
      <c r="P189" s="4">
        <f t="shared" si="30"/>
        <v>0.8</v>
      </c>
      <c r="Q189" s="4">
        <v>30</v>
      </c>
      <c r="R189" s="4">
        <f t="shared" si="31"/>
        <v>0.3</v>
      </c>
      <c r="S189" s="15" t="s">
        <v>391</v>
      </c>
    </row>
    <row r="190" outlineLevel="2" spans="1:19">
      <c r="A190" s="8" t="s">
        <v>98</v>
      </c>
      <c r="B190" s="3" t="s">
        <v>23</v>
      </c>
      <c r="C190" s="3" t="s">
        <v>17</v>
      </c>
      <c r="D190" s="3" t="s">
        <v>20</v>
      </c>
      <c r="E190" s="4">
        <v>5</v>
      </c>
      <c r="F190" s="4">
        <v>5</v>
      </c>
      <c r="G190" s="5">
        <v>0</v>
      </c>
      <c r="H190" s="5">
        <v>0</v>
      </c>
      <c r="I190" s="6">
        <v>30</v>
      </c>
      <c r="J190" s="5">
        <v>30</v>
      </c>
      <c r="K190" s="7">
        <v>1</v>
      </c>
      <c r="L190" s="5">
        <v>11</v>
      </c>
      <c r="M190" s="5">
        <v>24</v>
      </c>
      <c r="N190" s="7">
        <v>49</v>
      </c>
      <c r="O190" s="4">
        <v>75</v>
      </c>
      <c r="P190" s="4">
        <f t="shared" si="30"/>
        <v>0.375</v>
      </c>
      <c r="Q190" s="4">
        <v>0</v>
      </c>
      <c r="R190" s="4">
        <f t="shared" si="31"/>
        <v>0</v>
      </c>
      <c r="S190" s="15" t="s">
        <v>391</v>
      </c>
    </row>
    <row r="191" outlineLevel="2" spans="1:19">
      <c r="A191" s="8" t="s">
        <v>98</v>
      </c>
      <c r="B191" s="3" t="s">
        <v>65</v>
      </c>
      <c r="C191" s="3" t="s">
        <v>17</v>
      </c>
      <c r="D191" s="3" t="s">
        <v>20</v>
      </c>
      <c r="E191" s="4">
        <v>2.5</v>
      </c>
      <c r="F191" s="4">
        <v>1</v>
      </c>
      <c r="G191" s="5">
        <v>0</v>
      </c>
      <c r="H191" s="5">
        <v>0</v>
      </c>
      <c r="I191" s="6">
        <v>45</v>
      </c>
      <c r="J191" s="5">
        <v>45</v>
      </c>
      <c r="K191" s="7">
        <v>0</v>
      </c>
      <c r="L191" s="5">
        <v>3</v>
      </c>
      <c r="M191" s="5">
        <v>36</v>
      </c>
      <c r="N191" s="7">
        <v>48</v>
      </c>
      <c r="O191" s="4">
        <v>133</v>
      </c>
      <c r="P191" s="4">
        <f t="shared" si="30"/>
        <v>0.3325</v>
      </c>
      <c r="Q191" s="4">
        <v>50</v>
      </c>
      <c r="R191" s="4">
        <f t="shared" si="31"/>
        <v>0.125</v>
      </c>
      <c r="S191" s="15" t="s">
        <v>391</v>
      </c>
    </row>
    <row r="192" outlineLevel="2" spans="1:19">
      <c r="A192" s="8" t="s">
        <v>98</v>
      </c>
      <c r="B192" s="3" t="s">
        <v>21</v>
      </c>
      <c r="C192" s="3" t="s">
        <v>17</v>
      </c>
      <c r="D192" s="3" t="s">
        <v>20</v>
      </c>
      <c r="E192" s="4">
        <v>5</v>
      </c>
      <c r="F192" s="4">
        <v>1</v>
      </c>
      <c r="G192" s="5">
        <v>0</v>
      </c>
      <c r="H192" s="5">
        <v>0</v>
      </c>
      <c r="I192" s="6">
        <v>59</v>
      </c>
      <c r="J192" s="5">
        <v>59</v>
      </c>
      <c r="K192" s="7">
        <v>2</v>
      </c>
      <c r="L192" s="5">
        <v>17</v>
      </c>
      <c r="M192" s="5">
        <v>36</v>
      </c>
      <c r="N192" s="7">
        <v>65</v>
      </c>
      <c r="O192" s="4">
        <v>44</v>
      </c>
      <c r="P192" s="4">
        <f t="shared" si="30"/>
        <v>0.22</v>
      </c>
      <c r="Q192" s="4">
        <v>44</v>
      </c>
      <c r="R192" s="4">
        <f t="shared" si="31"/>
        <v>0.22</v>
      </c>
      <c r="S192" s="15" t="s">
        <v>391</v>
      </c>
    </row>
    <row r="193" s="1" customFormat="1" outlineLevel="1" spans="1:19">
      <c r="A193" s="9" t="s">
        <v>406</v>
      </c>
      <c r="B193" s="10"/>
      <c r="C193" s="10"/>
      <c r="D193" s="10"/>
      <c r="E193" s="11"/>
      <c r="F193" s="11"/>
      <c r="G193" s="12"/>
      <c r="H193" s="12"/>
      <c r="I193" s="12"/>
      <c r="J193" s="12"/>
      <c r="K193" s="13"/>
      <c r="L193" s="12"/>
      <c r="M193" s="12"/>
      <c r="N193" s="13"/>
      <c r="O193" s="11">
        <f>SUBTOTAL(9,O182:O192)</f>
        <v>2332</v>
      </c>
      <c r="P193" s="11">
        <f>SUBTOTAL(9,P182:P192)</f>
        <v>16.5725</v>
      </c>
      <c r="Q193" s="11">
        <f>SUBTOTAL(9,Q182:Q192)</f>
        <v>1404</v>
      </c>
      <c r="R193" s="11">
        <f>SUBTOTAL(9,R182:R192)</f>
        <v>10.045</v>
      </c>
      <c r="S193" s="15" t="s">
        <v>391</v>
      </c>
    </row>
  </sheetData>
  <autoFilter xmlns:etc="http://www.wps.cn/officeDocument/2017/etCustomData" ref="A1:R19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data</vt:lpstr>
      <vt:lpstr>稻花翁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乔伊~</cp:lastModifiedBy>
  <dcterms:created xsi:type="dcterms:W3CDTF">2026-09-23T01:24:00Z</dcterms:created>
  <dcterms:modified xsi:type="dcterms:W3CDTF">2026-09-23T03:46:17Z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5D2DD1D5CFA54399B1CC9482E58918DA_13</vt:lpwstr>
  </property>
  <property fmtid="{D5CDD505-2E9C-101B-9397-08002B2CF9AE}" pid="3" name="KSOProductBuildVer">
    <vt:lpwstr>2052-12.1.0.28792</vt:lpwstr>
  </property>
  <property fmtid="{D5CDD505-2E9C-101B-9397-08002B2CF9AE}" pid="4" name="CalculationRule">
    <vt:i4>0</vt:i4>
  </property>
</Properties>
</file>