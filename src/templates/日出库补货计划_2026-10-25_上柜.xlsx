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出库补货计划" state="visible" r:id="rId4"/>
  </sheets>
  <definedNames>
    <definedName name="_xlnm.Print_Area" localSheetId="0">'日出库补货计划'!$A1:$BR42</definedName>
    <definedName name="_xlnm.Print_Titles" localSheetId="0">'日出库补货计划'!$A:$C,'日出库补货计划'!$1:$1</definedName>
  </definedNames>
  <calcPr calcId="171027" fullCalcOnLoad="1"/>
</workbook>
</file>

<file path=xl/sharedStrings.xml><?xml version="1.0" encoding="utf-8"?>
<sst xmlns="http://schemas.openxmlformats.org/spreadsheetml/2006/main" count="151" uniqueCount="151">
  <si>
    <t>商品名称</t>
  </si>
  <si>
    <t>规格（kg）</t>
  </si>
  <si>
    <t>SKU</t>
  </si>
  <si>
    <t>全国近7日出库商品件数</t>
  </si>
  <si>
    <t>全国现货库存</t>
  </si>
  <si>
    <t>上海近7日出库商品件数</t>
  </si>
  <si>
    <t>上海现货库存</t>
  </si>
  <si>
    <t>上海建议补货</t>
  </si>
  <si>
    <t>上海补货数量</t>
  </si>
  <si>
    <t>上海重量（吨）</t>
  </si>
  <si>
    <t>成都近7日出库商品件数</t>
  </si>
  <si>
    <t>成都现货库存</t>
  </si>
  <si>
    <t>成都建议补货</t>
  </si>
  <si>
    <t>成都补货数量</t>
  </si>
  <si>
    <t>成都重量（吨）</t>
  </si>
  <si>
    <t>武汉近7日出库商品件数</t>
  </si>
  <si>
    <t>武汉现货库存</t>
  </si>
  <si>
    <t>武汉建议补货</t>
  </si>
  <si>
    <t>武汉补货数量</t>
  </si>
  <si>
    <t>武汉重量（吨）</t>
  </si>
  <si>
    <t>北京近7日出库商品件数</t>
  </si>
  <si>
    <t>北京现货库存</t>
  </si>
  <si>
    <t>北京建议补货</t>
  </si>
  <si>
    <t>北京补货数量</t>
  </si>
  <si>
    <t>北京重量（吨）</t>
  </si>
  <si>
    <t>南京近7日出库商品件数</t>
  </si>
  <si>
    <t>南京现货库存</t>
  </si>
  <si>
    <t>南京建议补货</t>
  </si>
  <si>
    <t>南京补货数量</t>
  </si>
  <si>
    <t>南京重量（吨）</t>
  </si>
  <si>
    <t>广州近7日出库商品件数</t>
  </si>
  <si>
    <t>广州现货库存</t>
  </si>
  <si>
    <t>广州建议补货</t>
  </si>
  <si>
    <t>广州补货数量</t>
  </si>
  <si>
    <t>广州重量（吨）</t>
  </si>
  <si>
    <t>西安近7日出库商品件数</t>
  </si>
  <si>
    <t>西安现货库存</t>
  </si>
  <si>
    <t>西安建议补货</t>
  </si>
  <si>
    <t>西安补货数量</t>
  </si>
  <si>
    <t>西安重量（吨）</t>
  </si>
  <si>
    <t>杭州近7日出库商品件数</t>
  </si>
  <si>
    <t>杭州现货库存</t>
  </si>
  <si>
    <t>杭州建议补货</t>
  </si>
  <si>
    <t>杭州补货数量</t>
  </si>
  <si>
    <t>杭州重量（吨）</t>
  </si>
  <si>
    <t>深圳近7日出库商品件数</t>
  </si>
  <si>
    <t>深圳现货库存</t>
  </si>
  <si>
    <t>深圳建议补货</t>
  </si>
  <si>
    <t>深圳补货数量</t>
  </si>
  <si>
    <t>深圳重量（吨）</t>
  </si>
  <si>
    <t>长沙近7日出库商品件数</t>
  </si>
  <si>
    <t>长沙现货库存</t>
  </si>
  <si>
    <t>长沙建议补货</t>
  </si>
  <si>
    <t>长沙补货数量</t>
  </si>
  <si>
    <t>长沙重量（吨）</t>
  </si>
  <si>
    <t>南昌近7日出库商品件数</t>
  </si>
  <si>
    <t>南昌现货库存</t>
  </si>
  <si>
    <t>南昌建议补货</t>
  </si>
  <si>
    <t>南昌补货数量</t>
  </si>
  <si>
    <t>南昌重量（吨）</t>
  </si>
  <si>
    <t>荆州近7日出库商品件数</t>
  </si>
  <si>
    <t>荆州现货库存</t>
  </si>
  <si>
    <t>荆州建议补货</t>
  </si>
  <si>
    <t>荆州补货数量</t>
  </si>
  <si>
    <t>荆州重量（吨）</t>
  </si>
  <si>
    <t>广州城市近7日出库商品件数</t>
  </si>
  <si>
    <t>广州城市现货库存</t>
  </si>
  <si>
    <t>广州城市建议补货</t>
  </si>
  <si>
    <t>广州城市补货数量</t>
  </si>
  <si>
    <t>广州城市重量（吨）</t>
  </si>
  <si>
    <t>稻花翁东北大米20斤圆粒米一年一季 煮粥软糯香甜北方粳米当季新米大米</t>
  </si>
  <si>
    <t>100290837399</t>
  </si>
  <si>
    <t>稻花翁东北珍珠米20斤一年一季 软糯香甜北方粳米当季新米大米</t>
  </si>
  <si>
    <t>100290836407</t>
  </si>
  <si>
    <t>稻花翁京泰香米20斤南方优质大米籼米湖北特色长粒大米当季新米</t>
  </si>
  <si>
    <t>100290551241</t>
  </si>
  <si>
    <t>稻花翁秋田小町10斤东北一年一季软糯香甜北方粳米当季新米大米</t>
  </si>
  <si>
    <t>100379261312</t>
  </si>
  <si>
    <t>稻花翁丝苗米10斤南方优质大米好吃籼米湖北特色长粒大米当季新米</t>
  </si>
  <si>
    <t>100289716337</t>
  </si>
  <si>
    <t>稻花翁丝苗米20斤南方优质大米好吃籼米湖北特色长粒大米当季新米</t>
  </si>
  <si>
    <t>100289715511</t>
  </si>
  <si>
    <t>稻花翁泰玉京香20斤南方优质大米好吃大米籼米湖北特色长粒大米当季新米</t>
  </si>
  <si>
    <t>100290520201</t>
  </si>
  <si>
    <t>稻花翁田园香米20斤南方优质大米好吃籼米湖北特色长粒大米新米</t>
  </si>
  <si>
    <t>100378935094</t>
  </si>
  <si>
    <t>稻花翁虾稻香软米20斤南方优质大米籼米湖北特色长粒大米当季新米</t>
  </si>
  <si>
    <t>100378967756</t>
  </si>
  <si>
    <t>稻花翁虾稻油粘米20斤南方优质好吃籼米湖北特色长粒大米当季新米</t>
  </si>
  <si>
    <t>100378966926</t>
  </si>
  <si>
    <t>稻花翁香飘米20斤南方优质大米好吃籼米湖北特色长粒大米当季新米</t>
  </si>
  <si>
    <t>100378969104</t>
  </si>
  <si>
    <t>稻花翁御贡香米50斤南方优质好吃籼米湖北特色长粒大米当季新米</t>
  </si>
  <si>
    <t>100378134276</t>
  </si>
  <si>
    <t>国宝桥米家香米10斤 当季新米 湖北长粒大米 南方籼米香软优质大米</t>
  </si>
  <si>
    <t>100268551377</t>
  </si>
  <si>
    <t>国宝桥米嘉靖贡米10斤真空装 当季新米南方籼米 长粒大米 湖北京山特产</t>
  </si>
  <si>
    <t>3396754</t>
  </si>
  <si>
    <t>国宝桥米江汉大米京山桥米10斤单层真空装湖北地标大米长粒大米新米籼米</t>
  </si>
  <si>
    <t>100314288492</t>
  </si>
  <si>
    <t>国宝桥米江汉大米京山桥米10斤双层真空装 湖北地标大米长粒新米籼米</t>
  </si>
  <si>
    <t>100160527042</t>
  </si>
  <si>
    <t>国宝桥米江汉大米京山桥米20斤 真空装湖北优质大米地标大米京山桥米</t>
  </si>
  <si>
    <t>100205639525</t>
  </si>
  <si>
    <t>国宝桥米京山大米10斤真空装 当季新米 湖北特色大米南方长粒籼米</t>
  </si>
  <si>
    <t>100010040669</t>
  </si>
  <si>
    <t>国宝桥米京山大米20斤 当季新米 煲仔饭大米南方籼米 熊猫米 长粒米</t>
  </si>
  <si>
    <t>100017482750</t>
  </si>
  <si>
    <t>国宝桥米京山桥米10斤真空绿色装 核心产区桥米10斤</t>
  </si>
  <si>
    <t>100429918864</t>
  </si>
  <si>
    <t>国宝桥米京山桥米10斤真空装 绿色食品地标大米南方长粒籼米当季新米</t>
  </si>
  <si>
    <t>3045231</t>
  </si>
  <si>
    <t>国宝桥米京山桥米20斤真空 绿色食品 湖北地标大米 当季新米 长粒籼米</t>
  </si>
  <si>
    <t>100017482746</t>
  </si>
  <si>
    <t>国宝桥米京山桥米20斤真空绿色装 核心产区桥米20斤</t>
  </si>
  <si>
    <t>100429921288</t>
  </si>
  <si>
    <t>国宝桥米京山桥米50斤大规格装 家庭版经典熊猫米绿色食品地标大米</t>
  </si>
  <si>
    <t>100019896911</t>
  </si>
  <si>
    <t>国宝桥米京山桥米国宝桥米5斤装壶口锁鲜大米新米优质南方籼米一年</t>
  </si>
  <si>
    <t>100385552302</t>
  </si>
  <si>
    <t>国宝桥米京山清泉稻米10斤 真空装长粒新米 南方籼米 湖北特色大米</t>
  </si>
  <si>
    <t>100016216960</t>
  </si>
  <si>
    <t>国宝桥米清香米10斤真空装 湖北特色大米当季新米 长粒南方籼米</t>
  </si>
  <si>
    <t>3045249</t>
  </si>
  <si>
    <t>国宝桥米软香米20斤 当季新米 南方籼米 软香长粒大米湖北特色米</t>
  </si>
  <si>
    <t>100101940862</t>
  </si>
  <si>
    <t>国宝桥米山泉稻5斤湖北京山特产 天然山泉水灌溉南方长粒籼米当季新米</t>
  </si>
  <si>
    <t>100233229094</t>
  </si>
  <si>
    <t>国宝桥米山泉稻10斤湖北京山特产 天然山泉水灌溉南方长粒籼米当季新米</t>
  </si>
  <si>
    <t>100233229068</t>
  </si>
  <si>
    <t>国宝桥米严选京山桥米10斤真空装 湖北地标大米 当季新米特色长粒籼米</t>
  </si>
  <si>
    <t>100010435395</t>
  </si>
  <si>
    <t>国宝桥米油粘米10斤长粒大米 湖北鱼米之乡煲仔饭用米好吃南方籼米新米</t>
  </si>
  <si>
    <t>100268552721</t>
  </si>
  <si>
    <t>国宝桥米有机桥米10斤真空装 湖北地标大米南方长粒籼米当季新米</t>
  </si>
  <si>
    <t>3751447</t>
  </si>
  <si>
    <t>国宝桥米有机香米10斤真空装当季新米湖北特色大米厂里南方籼米</t>
  </si>
  <si>
    <t>4198934</t>
  </si>
  <si>
    <t>国宝桥米臻靓油粘米20斤 广东名米岭南风味南方籼米 软香长粒大米新米</t>
  </si>
  <si>
    <t>100022327029</t>
  </si>
  <si>
    <t>京山桥米稻自香10斤京山桥米湖北地标大米优质长粒籼米新米</t>
  </si>
  <si>
    <t>100286224075</t>
  </si>
  <si>
    <t>京山桥米国宝桥米2斤真空装优质地标大米南方籼米当季新米</t>
  </si>
  <si>
    <t>100280161233</t>
  </si>
  <si>
    <t>京山桥米国宝桥米20斤 湖北地标大米 长粒籼米 当季新米 经典熊猫米</t>
  </si>
  <si>
    <t>100280260287</t>
  </si>
  <si>
    <t>京山桥米国宝桥米免淘桥米300g优质长粒米湖北地标大米新米</t>
  </si>
  <si>
    <t>100280162897</t>
  </si>
  <si>
    <t>京山桥米国宝桥米有机桥米5斤优质大米地标大米真空装新米</t>
  </si>
  <si>
    <t>100368684540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</si>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</sst>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##"/>
  </numFmts>
  <fonts count="3" x14ac:knownFonts="1">
    <font>
      <color theme="1"/>
      <family val="2"/>
      <scheme val="minor"/>
      <sz val="11"/>
      <name val="Calibri"/>
    </font>
    <font>
      <charset val="134"/>
      <color indexed="8"/>
      <scheme val="minor"/>
      <sz val="11"/>
      <name val="宋体"/>
    </font>
    <font>
      <b/>
      <charset val="134"/>
      <color indexed="8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vertical="center"/>
    </xf>
    <xf numFmtId="164" fontId="1" fillId="0" borderId="1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5" customWidth="1"/>
    <col min="2" max="2" width="18" customWidth="1"/>
    <col min="3" max="3" width="24" customWidth="1"/>
    <col min="4" max="5" width="18" customWidth="1"/>
    <col min="6" max="70" width="17" customWidth="1"/>
  </cols>
  <sheetData>
    <row r="1" ht="48" customHeight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2" t="s">
        <v>68</v>
      </c>
      <c r="BR1" s="1" t="s">
        <v>69</v>
      </c>
    </row>
    <row r="2" ht="24" customHeight="1" spans="1:70" x14ac:dyDescent="0.25">
      <c r="A2" s="3" t="s">
        <v>70</v>
      </c>
      <c r="B2" s="4">
        <v>10</v>
      </c>
      <c r="C2" s="5" t="s">
        <v>71</v>
      </c>
      <c r="D2" s="6">
        <v>3</v>
      </c>
      <c r="E2" s="6">
        <v>145</v>
      </c>
      <c r="F2" s="6">
        <v>0</v>
      </c>
      <c r="G2" s="6">
        <v>0</v>
      </c>
      <c r="H2" s="6">
        <f>F2*4-G2</f>
        <v>0</v>
      </c>
      <c r="I2" s="7">
        <v>0</v>
      </c>
      <c r="J2" s="8">
        <f>$B2*I2/1000</f>
        <v>0</v>
      </c>
      <c r="K2" s="6">
        <v>0</v>
      </c>
      <c r="L2" s="6">
        <v>0</v>
      </c>
      <c r="M2" s="6">
        <f>K2*4-L2</f>
        <v>0</v>
      </c>
      <c r="N2" s="7">
        <v>0</v>
      </c>
      <c r="O2" s="8">
        <f>$B2*N2/1000</f>
        <v>0</v>
      </c>
      <c r="P2" s="6">
        <v>2</v>
      </c>
      <c r="Q2" s="6">
        <v>48</v>
      </c>
      <c r="R2" s="6">
        <f>P2*4-Q2</f>
        <v>-40</v>
      </c>
      <c r="S2" s="7">
        <v>0</v>
      </c>
      <c r="T2" s="8">
        <f>$B2*S2/1000</f>
        <v>0</v>
      </c>
      <c r="U2" s="6">
        <v>0</v>
      </c>
      <c r="V2" s="6">
        <v>0</v>
      </c>
      <c r="W2" s="6">
        <f>U2*4-V2</f>
        <v>0</v>
      </c>
      <c r="X2" s="7">
        <v>0</v>
      </c>
      <c r="Y2" s="8">
        <f>$B2*X2/1000</f>
        <v>0</v>
      </c>
      <c r="Z2" s="6">
        <v>0</v>
      </c>
      <c r="AA2" s="6">
        <v>0</v>
      </c>
      <c r="AB2" s="6">
        <f>Z2*4-AA2</f>
        <v>0</v>
      </c>
      <c r="AC2" s="7">
        <v>0</v>
      </c>
      <c r="AD2" s="8">
        <f>$B2*AC2/1000</f>
        <v>0</v>
      </c>
      <c r="AE2" s="6">
        <v>1</v>
      </c>
      <c r="AF2" s="6">
        <v>97</v>
      </c>
      <c r="AG2" s="6">
        <f>AE2*4-AF2</f>
        <v>-93</v>
      </c>
      <c r="AH2" s="7">
        <v>0</v>
      </c>
      <c r="AI2" s="8">
        <f>$B2*AH2/1000</f>
        <v>0</v>
      </c>
      <c r="AJ2" s="6">
        <v>0</v>
      </c>
      <c r="AK2" s="6">
        <v>0</v>
      </c>
      <c r="AL2" s="6">
        <f>AJ2*4-AK2</f>
        <v>0</v>
      </c>
      <c r="AM2" s="7">
        <v>0</v>
      </c>
      <c r="AN2" s="8">
        <f>$B2*AM2/1000</f>
        <v>0</v>
      </c>
      <c r="AO2" s="6">
        <v>0</v>
      </c>
      <c r="AP2" s="6">
        <v>0</v>
      </c>
      <c r="AQ2" s="6">
        <f>AO2*4-AP2</f>
        <v>0</v>
      </c>
      <c r="AR2" s="7">
        <v>0</v>
      </c>
      <c r="AS2" s="8">
        <f>$B2*AR2/1000</f>
        <v>0</v>
      </c>
      <c r="AT2" s="6">
        <v>0</v>
      </c>
      <c r="AU2" s="6">
        <v>0</v>
      </c>
      <c r="AV2" s="6">
        <f>AT2*4-AU2</f>
        <v>0</v>
      </c>
      <c r="AW2" s="7">
        <v>0</v>
      </c>
      <c r="AX2" s="8">
        <f>$B2*AW2/1000</f>
        <v>0</v>
      </c>
      <c r="AY2" s="6">
        <v>0</v>
      </c>
      <c r="AZ2" s="6">
        <v>0</v>
      </c>
      <c r="BA2" s="6">
        <f>AY2*4-AZ2</f>
        <v>0</v>
      </c>
      <c r="BB2" s="7">
        <v>0</v>
      </c>
      <c r="BC2" s="8">
        <f>$B2*BB2/1000</f>
        <v>0</v>
      </c>
      <c r="BD2" s="6">
        <v>0</v>
      </c>
      <c r="BE2" s="6">
        <v>0</v>
      </c>
      <c r="BF2" s="6">
        <f>BD2*4-BE2</f>
        <v>0</v>
      </c>
      <c r="BG2" s="7">
        <v>0</v>
      </c>
      <c r="BH2" s="8">
        <f>$B2*BG2/1000</f>
        <v>0</v>
      </c>
      <c r="BI2" s="6">
        <v>0</v>
      </c>
      <c r="BJ2" s="6">
        <v>0</v>
      </c>
      <c r="BK2" s="6">
        <f>BI2*4-BJ2</f>
        <v>0</v>
      </c>
      <c r="BL2" s="7">
        <v>0</v>
      </c>
      <c r="BM2" s="8">
        <f>$B2*BL2/1000</f>
        <v>0</v>
      </c>
      <c r="BN2" s="6">
        <v>0</v>
      </c>
      <c r="BO2" s="6">
        <v>0</v>
      </c>
      <c r="BP2" s="6">
        <f>BN2*4-BO2</f>
        <v>0</v>
      </c>
      <c r="BQ2" s="7">
        <v>0</v>
      </c>
      <c r="BR2" s="8">
        <f>$B2*BQ2/1000</f>
        <v>0</v>
      </c>
    </row>
    <row r="3" ht="24" customHeight="1" spans="1:70" x14ac:dyDescent="0.25">
      <c r="A3" s="3" t="s">
        <v>72</v>
      </c>
      <c r="B3" s="4">
        <v>10</v>
      </c>
      <c r="C3" s="5" t="s">
        <v>73</v>
      </c>
      <c r="D3" s="6">
        <v>14</v>
      </c>
      <c r="E3" s="6">
        <v>141</v>
      </c>
      <c r="F3" s="6">
        <v>0</v>
      </c>
      <c r="G3" s="6">
        <v>0</v>
      </c>
      <c r="H3" s="6">
        <f>F3*4-G3</f>
        <v>0</v>
      </c>
      <c r="I3" s="7">
        <v>0</v>
      </c>
      <c r="J3" s="8">
        <f>$B3*I3/1000</f>
        <v>0</v>
      </c>
      <c r="K3" s="6">
        <v>0</v>
      </c>
      <c r="L3" s="6">
        <v>0</v>
      </c>
      <c r="M3" s="6">
        <f>K3*4-L3</f>
        <v>0</v>
      </c>
      <c r="N3" s="7">
        <v>0</v>
      </c>
      <c r="O3" s="8">
        <f>$B3*N3/1000</f>
        <v>0</v>
      </c>
      <c r="P3" s="6">
        <v>2</v>
      </c>
      <c r="Q3" s="6">
        <v>50</v>
      </c>
      <c r="R3" s="6">
        <f>P3*4-Q3</f>
        <v>-42</v>
      </c>
      <c r="S3" s="7">
        <v>0</v>
      </c>
      <c r="T3" s="8">
        <f>$B3*S3/1000</f>
        <v>0</v>
      </c>
      <c r="U3" s="6">
        <v>0</v>
      </c>
      <c r="V3" s="6">
        <v>0</v>
      </c>
      <c r="W3" s="6">
        <f>U3*4-V3</f>
        <v>0</v>
      </c>
      <c r="X3" s="7">
        <v>0</v>
      </c>
      <c r="Y3" s="8">
        <f>$B3*X3/1000</f>
        <v>0</v>
      </c>
      <c r="Z3" s="6">
        <v>0</v>
      </c>
      <c r="AA3" s="6">
        <v>0</v>
      </c>
      <c r="AB3" s="6">
        <f>Z3*4-AA3</f>
        <v>0</v>
      </c>
      <c r="AC3" s="7">
        <v>0</v>
      </c>
      <c r="AD3" s="8">
        <f>$B3*AC3/1000</f>
        <v>0</v>
      </c>
      <c r="AE3" s="6">
        <v>7</v>
      </c>
      <c r="AF3" s="6">
        <v>15</v>
      </c>
      <c r="AG3" s="6">
        <f>AE3*4-AF3</f>
        <v>13</v>
      </c>
      <c r="AH3" s="7">
        <v>0</v>
      </c>
      <c r="AI3" s="8">
        <f>$B3*AH3/1000</f>
        <v>0</v>
      </c>
      <c r="AJ3" s="6">
        <v>1</v>
      </c>
      <c r="AK3" s="6">
        <v>13</v>
      </c>
      <c r="AL3" s="6">
        <f>AJ3*4-AK3</f>
        <v>-9</v>
      </c>
      <c r="AM3" s="7">
        <v>0</v>
      </c>
      <c r="AN3" s="8">
        <f>$B3*AM3/1000</f>
        <v>0</v>
      </c>
      <c r="AO3" s="6">
        <v>0</v>
      </c>
      <c r="AP3" s="6">
        <v>0</v>
      </c>
      <c r="AQ3" s="6">
        <f>AO3*4-AP3</f>
        <v>0</v>
      </c>
      <c r="AR3" s="7">
        <v>0</v>
      </c>
      <c r="AS3" s="8">
        <f>$B3*AR3/1000</f>
        <v>0</v>
      </c>
      <c r="AT3" s="6">
        <v>0</v>
      </c>
      <c r="AU3" s="6">
        <v>0</v>
      </c>
      <c r="AV3" s="6">
        <f>AT3*4-AU3</f>
        <v>0</v>
      </c>
      <c r="AW3" s="7">
        <v>0</v>
      </c>
      <c r="AX3" s="8">
        <f>$B3*AW3/1000</f>
        <v>0</v>
      </c>
      <c r="AY3" s="6">
        <v>0</v>
      </c>
      <c r="AZ3" s="6">
        <v>34</v>
      </c>
      <c r="BA3" s="6">
        <f>AY3*4-AZ3</f>
        <v>-34</v>
      </c>
      <c r="BB3" s="7">
        <v>0</v>
      </c>
      <c r="BC3" s="8">
        <f>$B3*BB3/1000</f>
        <v>0</v>
      </c>
      <c r="BD3" s="6">
        <v>0</v>
      </c>
      <c r="BE3" s="6">
        <v>0</v>
      </c>
      <c r="BF3" s="6">
        <f>BD3*4-BE3</f>
        <v>0</v>
      </c>
      <c r="BG3" s="7">
        <v>0</v>
      </c>
      <c r="BH3" s="8">
        <f>$B3*BG3/1000</f>
        <v>0</v>
      </c>
      <c r="BI3" s="6">
        <v>1</v>
      </c>
      <c r="BJ3" s="6">
        <v>19</v>
      </c>
      <c r="BK3" s="6">
        <f>BI3*4-BJ3</f>
        <v>-15</v>
      </c>
      <c r="BL3" s="7">
        <v>0</v>
      </c>
      <c r="BM3" s="8">
        <f>$B3*BL3/1000</f>
        <v>0</v>
      </c>
      <c r="BN3" s="6">
        <v>3</v>
      </c>
      <c r="BO3" s="6">
        <v>10</v>
      </c>
      <c r="BP3" s="6">
        <f>BN3*4-BO3</f>
        <v>2</v>
      </c>
      <c r="BQ3" s="7">
        <v>0</v>
      </c>
      <c r="BR3" s="8">
        <f>$B3*BQ3/1000</f>
        <v>0</v>
      </c>
    </row>
    <row r="4" ht="24" customHeight="1" spans="1:70" x14ac:dyDescent="0.25">
      <c r="A4" s="3" t="s">
        <v>74</v>
      </c>
      <c r="B4" s="4">
        <v>10</v>
      </c>
      <c r="C4" s="5" t="s">
        <v>75</v>
      </c>
      <c r="D4" s="6">
        <v>48</v>
      </c>
      <c r="E4" s="6">
        <v>726</v>
      </c>
      <c r="F4" s="6">
        <v>7</v>
      </c>
      <c r="G4" s="6">
        <v>39</v>
      </c>
      <c r="H4" s="6">
        <f>F4*4-G4</f>
        <v>-11</v>
      </c>
      <c r="I4" s="7">
        <v>0</v>
      </c>
      <c r="J4" s="8">
        <f>$B4*I4/1000</f>
        <v>0</v>
      </c>
      <c r="K4" s="6">
        <v>5</v>
      </c>
      <c r="L4" s="6">
        <v>5</v>
      </c>
      <c r="M4" s="6">
        <f>K4*4-L4</f>
        <v>15</v>
      </c>
      <c r="N4" s="7">
        <v>0</v>
      </c>
      <c r="O4" s="8">
        <f>$B4*N4/1000</f>
        <v>0</v>
      </c>
      <c r="P4" s="6">
        <v>3</v>
      </c>
      <c r="Q4" s="6">
        <v>101</v>
      </c>
      <c r="R4" s="6">
        <f>P4*4-Q4</f>
        <v>-89</v>
      </c>
      <c r="S4" s="7">
        <v>0</v>
      </c>
      <c r="T4" s="8">
        <f>$B4*S4/1000</f>
        <v>0</v>
      </c>
      <c r="U4" s="6">
        <v>0</v>
      </c>
      <c r="V4" s="6">
        <v>0</v>
      </c>
      <c r="W4" s="6">
        <f>U4*4-V4</f>
        <v>0</v>
      </c>
      <c r="X4" s="7">
        <v>0</v>
      </c>
      <c r="Y4" s="8">
        <f>$B4*X4/1000</f>
        <v>0</v>
      </c>
      <c r="Z4" s="6">
        <v>1</v>
      </c>
      <c r="AA4" s="6">
        <v>114</v>
      </c>
      <c r="AB4" s="6">
        <f>Z4*4-AA4</f>
        <v>-110</v>
      </c>
      <c r="AC4" s="7">
        <v>0</v>
      </c>
      <c r="AD4" s="8">
        <f>$B4*AC4/1000</f>
        <v>0</v>
      </c>
      <c r="AE4" s="6">
        <v>12</v>
      </c>
      <c r="AF4" s="6">
        <v>234</v>
      </c>
      <c r="AG4" s="6">
        <f>AE4*4-AF4</f>
        <v>-186</v>
      </c>
      <c r="AH4" s="7">
        <v>0</v>
      </c>
      <c r="AI4" s="8">
        <f>$B4*AH4/1000</f>
        <v>0</v>
      </c>
      <c r="AJ4" s="6">
        <v>0</v>
      </c>
      <c r="AK4" s="6">
        <v>32</v>
      </c>
      <c r="AL4" s="6">
        <f>AJ4*4-AK4</f>
        <v>-32</v>
      </c>
      <c r="AM4" s="7">
        <v>0</v>
      </c>
      <c r="AN4" s="8">
        <f>$B4*AM4/1000</f>
        <v>0</v>
      </c>
      <c r="AO4" s="6">
        <v>3</v>
      </c>
      <c r="AP4" s="6">
        <v>41</v>
      </c>
      <c r="AQ4" s="6">
        <f>AO4*4-AP4</f>
        <v>-29</v>
      </c>
      <c r="AR4" s="7">
        <v>0</v>
      </c>
      <c r="AS4" s="8">
        <f>$B4*AR4/1000</f>
        <v>0</v>
      </c>
      <c r="AT4" s="6">
        <v>0</v>
      </c>
      <c r="AU4" s="6">
        <v>0</v>
      </c>
      <c r="AV4" s="6">
        <f>AT4*4-AU4</f>
        <v>0</v>
      </c>
      <c r="AW4" s="7">
        <v>0</v>
      </c>
      <c r="AX4" s="8">
        <f>$B4*AW4/1000</f>
        <v>0</v>
      </c>
      <c r="AY4" s="6">
        <v>7</v>
      </c>
      <c r="AZ4" s="6">
        <v>35</v>
      </c>
      <c r="BA4" s="6">
        <f>AY4*4-AZ4</f>
        <v>-7</v>
      </c>
      <c r="BB4" s="7">
        <v>0</v>
      </c>
      <c r="BC4" s="8">
        <f>$B4*BB4/1000</f>
        <v>0</v>
      </c>
      <c r="BD4" s="6">
        <v>2</v>
      </c>
      <c r="BE4" s="6">
        <v>69</v>
      </c>
      <c r="BF4" s="6">
        <f>BD4*4-BE4</f>
        <v>-61</v>
      </c>
      <c r="BG4" s="7">
        <v>0</v>
      </c>
      <c r="BH4" s="8">
        <f>$B4*BG4/1000</f>
        <v>0</v>
      </c>
      <c r="BI4" s="6">
        <v>0</v>
      </c>
      <c r="BJ4" s="6">
        <v>18</v>
      </c>
      <c r="BK4" s="6">
        <f>BI4*4-BJ4</f>
        <v>-18</v>
      </c>
      <c r="BL4" s="7">
        <v>0</v>
      </c>
      <c r="BM4" s="8">
        <f>$B4*BL4/1000</f>
        <v>0</v>
      </c>
      <c r="BN4" s="6">
        <v>8</v>
      </c>
      <c r="BO4" s="6">
        <v>38</v>
      </c>
      <c r="BP4" s="6">
        <f>BN4*4-BO4</f>
        <v>-6</v>
      </c>
      <c r="BQ4" s="7">
        <v>0</v>
      </c>
      <c r="BR4" s="8">
        <f>$B4*BQ4/1000</f>
        <v>0</v>
      </c>
    </row>
    <row r="5" ht="24" customHeight="1" spans="1:70" x14ac:dyDescent="0.25">
      <c r="A5" s="3" t="s">
        <v>76</v>
      </c>
      <c r="B5" s="4">
        <v>5</v>
      </c>
      <c r="C5" s="5" t="s">
        <v>77</v>
      </c>
      <c r="D5" s="6">
        <v>7</v>
      </c>
      <c r="E5" s="6">
        <v>100</v>
      </c>
      <c r="F5" s="6">
        <v>0</v>
      </c>
      <c r="G5" s="6">
        <v>0</v>
      </c>
      <c r="H5" s="6">
        <f>F5*4-G5</f>
        <v>0</v>
      </c>
      <c r="I5" s="7">
        <v>0</v>
      </c>
      <c r="J5" s="8">
        <f>$B5*I5/1000</f>
        <v>0</v>
      </c>
      <c r="K5" s="6">
        <v>0</v>
      </c>
      <c r="L5" s="6">
        <v>0</v>
      </c>
      <c r="M5" s="6">
        <f>K5*4-L5</f>
        <v>0</v>
      </c>
      <c r="N5" s="7">
        <v>0</v>
      </c>
      <c r="O5" s="8">
        <f>$B5*N5/1000</f>
        <v>0</v>
      </c>
      <c r="P5" s="6">
        <v>2</v>
      </c>
      <c r="Q5" s="6">
        <v>74</v>
      </c>
      <c r="R5" s="6">
        <f>P5*4-Q5</f>
        <v>-66</v>
      </c>
      <c r="S5" s="7">
        <v>0</v>
      </c>
      <c r="T5" s="8">
        <f>$B5*S5/1000</f>
        <v>0</v>
      </c>
      <c r="U5" s="6">
        <v>0</v>
      </c>
      <c r="V5" s="6">
        <v>0</v>
      </c>
      <c r="W5" s="6">
        <f>U5*4-V5</f>
        <v>0</v>
      </c>
      <c r="X5" s="7">
        <v>0</v>
      </c>
      <c r="Y5" s="8">
        <f>$B5*X5/1000</f>
        <v>0</v>
      </c>
      <c r="Z5" s="6">
        <v>0</v>
      </c>
      <c r="AA5" s="6">
        <v>0</v>
      </c>
      <c r="AB5" s="6">
        <f>Z5*4-AA5</f>
        <v>0</v>
      </c>
      <c r="AC5" s="7">
        <v>0</v>
      </c>
      <c r="AD5" s="8">
        <f>$B5*AC5/1000</f>
        <v>0</v>
      </c>
      <c r="AE5" s="6">
        <v>0</v>
      </c>
      <c r="AF5" s="6">
        <v>0</v>
      </c>
      <c r="AG5" s="6">
        <f>AE5*4-AF5</f>
        <v>0</v>
      </c>
      <c r="AH5" s="7">
        <v>0</v>
      </c>
      <c r="AI5" s="8">
        <f>$B5*AH5/1000</f>
        <v>0</v>
      </c>
      <c r="AJ5" s="6">
        <v>0</v>
      </c>
      <c r="AK5" s="6">
        <v>7</v>
      </c>
      <c r="AL5" s="6">
        <f>AJ5*4-AK5</f>
        <v>-7</v>
      </c>
      <c r="AM5" s="7">
        <v>0</v>
      </c>
      <c r="AN5" s="8">
        <f>$B5*AM5/1000</f>
        <v>0</v>
      </c>
      <c r="AO5" s="6">
        <v>0</v>
      </c>
      <c r="AP5" s="6">
        <v>0</v>
      </c>
      <c r="AQ5" s="6">
        <f>AO5*4-AP5</f>
        <v>0</v>
      </c>
      <c r="AR5" s="7">
        <v>0</v>
      </c>
      <c r="AS5" s="8">
        <f>$B5*AR5/1000</f>
        <v>0</v>
      </c>
      <c r="AT5" s="6">
        <v>0</v>
      </c>
      <c r="AU5" s="6">
        <v>0</v>
      </c>
      <c r="AV5" s="6">
        <f>AT5*4-AU5</f>
        <v>0</v>
      </c>
      <c r="AW5" s="7">
        <v>0</v>
      </c>
      <c r="AX5" s="8">
        <f>$B5*AW5/1000</f>
        <v>0</v>
      </c>
      <c r="AY5" s="6">
        <v>0</v>
      </c>
      <c r="AZ5" s="6">
        <v>0</v>
      </c>
      <c r="BA5" s="6">
        <f>AY5*4-AZ5</f>
        <v>0</v>
      </c>
      <c r="BB5" s="7">
        <v>0</v>
      </c>
      <c r="BC5" s="8">
        <f>$B5*BB5/1000</f>
        <v>0</v>
      </c>
      <c r="BD5" s="6">
        <v>0</v>
      </c>
      <c r="BE5" s="6">
        <v>0</v>
      </c>
      <c r="BF5" s="6">
        <f>BD5*4-BE5</f>
        <v>0</v>
      </c>
      <c r="BG5" s="7">
        <v>0</v>
      </c>
      <c r="BH5" s="8">
        <f>$B5*BG5/1000</f>
        <v>0</v>
      </c>
      <c r="BI5" s="6">
        <v>0</v>
      </c>
      <c r="BJ5" s="6">
        <v>0</v>
      </c>
      <c r="BK5" s="6">
        <f>BI5*4-BJ5</f>
        <v>0</v>
      </c>
      <c r="BL5" s="7">
        <v>0</v>
      </c>
      <c r="BM5" s="8">
        <f>$B5*BL5/1000</f>
        <v>0</v>
      </c>
      <c r="BN5" s="6">
        <v>5</v>
      </c>
      <c r="BO5" s="6">
        <v>19</v>
      </c>
      <c r="BP5" s="6">
        <f>BN5*4-BO5</f>
        <v>1</v>
      </c>
      <c r="BQ5" s="7">
        <v>0</v>
      </c>
      <c r="BR5" s="8">
        <f>$B5*BQ5/1000</f>
        <v>0</v>
      </c>
    </row>
    <row r="6" ht="24" customHeight="1" spans="1:70" x14ac:dyDescent="0.25">
      <c r="A6" s="3" t="s">
        <v>78</v>
      </c>
      <c r="B6" s="4">
        <v>5</v>
      </c>
      <c r="C6" s="5" t="s">
        <v>79</v>
      </c>
      <c r="D6" s="6">
        <v>35</v>
      </c>
      <c r="E6" s="6">
        <v>415</v>
      </c>
      <c r="F6" s="6">
        <v>9</v>
      </c>
      <c r="G6" s="6">
        <v>28</v>
      </c>
      <c r="H6" s="6">
        <f>F6*4-G6</f>
        <v>8</v>
      </c>
      <c r="I6" s="7">
        <v>0</v>
      </c>
      <c r="J6" s="8">
        <f>$B6*I6/1000</f>
        <v>0</v>
      </c>
      <c r="K6" s="6">
        <v>0</v>
      </c>
      <c r="L6" s="6">
        <v>0</v>
      </c>
      <c r="M6" s="6">
        <f>K6*4-L6</f>
        <v>0</v>
      </c>
      <c r="N6" s="7">
        <v>0</v>
      </c>
      <c r="O6" s="8">
        <f>$B6*N6/1000</f>
        <v>0</v>
      </c>
      <c r="P6" s="6">
        <v>4</v>
      </c>
      <c r="Q6" s="6">
        <v>84</v>
      </c>
      <c r="R6" s="6">
        <f>P6*4-Q6</f>
        <v>-68</v>
      </c>
      <c r="S6" s="7">
        <v>0</v>
      </c>
      <c r="T6" s="8">
        <f>$B6*S6/1000</f>
        <v>0</v>
      </c>
      <c r="U6" s="6">
        <v>0</v>
      </c>
      <c r="V6" s="6">
        <v>0</v>
      </c>
      <c r="W6" s="6">
        <f>U6*4-V6</f>
        <v>0</v>
      </c>
      <c r="X6" s="7">
        <v>0</v>
      </c>
      <c r="Y6" s="8">
        <f>$B6*X6/1000</f>
        <v>0</v>
      </c>
      <c r="Z6" s="6">
        <v>0</v>
      </c>
      <c r="AA6" s="6">
        <v>0</v>
      </c>
      <c r="AB6" s="6">
        <f>Z6*4-AA6</f>
        <v>0</v>
      </c>
      <c r="AC6" s="7">
        <v>0</v>
      </c>
      <c r="AD6" s="8">
        <f>$B6*AC6/1000</f>
        <v>0</v>
      </c>
      <c r="AE6" s="6">
        <v>10</v>
      </c>
      <c r="AF6" s="6">
        <v>34</v>
      </c>
      <c r="AG6" s="6">
        <f>AE6*4-AF6</f>
        <v>6</v>
      </c>
      <c r="AH6" s="7">
        <v>0</v>
      </c>
      <c r="AI6" s="8">
        <f>$B6*AH6/1000</f>
        <v>0</v>
      </c>
      <c r="AJ6" s="6">
        <v>0</v>
      </c>
      <c r="AK6" s="6">
        <v>11</v>
      </c>
      <c r="AL6" s="6">
        <f>AJ6*4-AK6</f>
        <v>-11</v>
      </c>
      <c r="AM6" s="7">
        <v>0</v>
      </c>
      <c r="AN6" s="8">
        <f>$B6*AM6/1000</f>
        <v>0</v>
      </c>
      <c r="AO6" s="6">
        <v>3</v>
      </c>
      <c r="AP6" s="6">
        <v>31</v>
      </c>
      <c r="AQ6" s="6">
        <f>AO6*4-AP6</f>
        <v>-19</v>
      </c>
      <c r="AR6" s="7">
        <v>0</v>
      </c>
      <c r="AS6" s="8">
        <f>$B6*AR6/1000</f>
        <v>0</v>
      </c>
      <c r="AT6" s="6">
        <v>0</v>
      </c>
      <c r="AU6" s="6">
        <v>0</v>
      </c>
      <c r="AV6" s="6">
        <f>AT6*4-AU6</f>
        <v>0</v>
      </c>
      <c r="AW6" s="7">
        <v>0</v>
      </c>
      <c r="AX6" s="8">
        <f>$B6*AW6/1000</f>
        <v>0</v>
      </c>
      <c r="AY6" s="6">
        <v>2</v>
      </c>
      <c r="AZ6" s="6">
        <v>24</v>
      </c>
      <c r="BA6" s="6">
        <f>AY6*4-AZ6</f>
        <v>-16</v>
      </c>
      <c r="BB6" s="7">
        <v>0</v>
      </c>
      <c r="BC6" s="8">
        <f>$B6*BB6/1000</f>
        <v>0</v>
      </c>
      <c r="BD6" s="6">
        <v>0</v>
      </c>
      <c r="BE6" s="6">
        <v>36</v>
      </c>
      <c r="BF6" s="6">
        <f>BD6*4-BE6</f>
        <v>-36</v>
      </c>
      <c r="BG6" s="7">
        <v>0</v>
      </c>
      <c r="BH6" s="8">
        <f>$B6*BG6/1000</f>
        <v>0</v>
      </c>
      <c r="BI6" s="6">
        <v>0</v>
      </c>
      <c r="BJ6" s="6">
        <v>0</v>
      </c>
      <c r="BK6" s="6">
        <f>BI6*4-BJ6</f>
        <v>0</v>
      </c>
      <c r="BL6" s="7">
        <v>0</v>
      </c>
      <c r="BM6" s="8">
        <f>$B6*BL6/1000</f>
        <v>0</v>
      </c>
      <c r="BN6" s="6">
        <v>7</v>
      </c>
      <c r="BO6" s="6">
        <v>167</v>
      </c>
      <c r="BP6" s="6">
        <f>BN6*4-BO6</f>
        <v>-139</v>
      </c>
      <c r="BQ6" s="7">
        <v>0</v>
      </c>
      <c r="BR6" s="8">
        <f>$B6*BQ6/1000</f>
        <v>0</v>
      </c>
    </row>
    <row r="7" ht="24" customHeight="1" spans="1:70" x14ac:dyDescent="0.25">
      <c r="A7" s="3" t="s">
        <v>80</v>
      </c>
      <c r="B7" s="4">
        <v>10</v>
      </c>
      <c r="C7" s="5" t="s">
        <v>81</v>
      </c>
      <c r="D7" s="6">
        <v>1557</v>
      </c>
      <c r="E7" s="6">
        <v>5084</v>
      </c>
      <c r="F7" s="6">
        <v>196</v>
      </c>
      <c r="G7" s="6">
        <v>33</v>
      </c>
      <c r="H7" s="6">
        <f>F7*4-G7</f>
        <v>751</v>
      </c>
      <c r="I7" s="7">
        <v>0</v>
      </c>
      <c r="J7" s="8">
        <f>$B7*I7/1000</f>
        <v>0</v>
      </c>
      <c r="K7" s="6">
        <v>126</v>
      </c>
      <c r="L7" s="6">
        <v>0</v>
      </c>
      <c r="M7" s="6">
        <f>K7*4-L7</f>
        <v>504</v>
      </c>
      <c r="N7" s="7">
        <v>0</v>
      </c>
      <c r="O7" s="8">
        <f>$B7*N7/1000</f>
        <v>0</v>
      </c>
      <c r="P7" s="6">
        <v>150</v>
      </c>
      <c r="Q7" s="6">
        <v>577</v>
      </c>
      <c r="R7" s="6">
        <f>P7*4-Q7</f>
        <v>23</v>
      </c>
      <c r="S7" s="7">
        <v>0</v>
      </c>
      <c r="T7" s="8">
        <f>$B7*S7/1000</f>
        <v>0</v>
      </c>
      <c r="U7" s="6">
        <v>0</v>
      </c>
      <c r="V7" s="6">
        <v>0</v>
      </c>
      <c r="W7" s="6">
        <f>U7*4-V7</f>
        <v>0</v>
      </c>
      <c r="X7" s="7">
        <v>0</v>
      </c>
      <c r="Y7" s="8">
        <f>$B7*X7/1000</f>
        <v>0</v>
      </c>
      <c r="Z7" s="6">
        <v>129</v>
      </c>
      <c r="AA7" s="6">
        <v>278</v>
      </c>
      <c r="AB7" s="6">
        <f>Z7*4-AA7</f>
        <v>238</v>
      </c>
      <c r="AC7" s="7">
        <v>0</v>
      </c>
      <c r="AD7" s="8">
        <f>$B7*AC7/1000</f>
        <v>0</v>
      </c>
      <c r="AE7" s="6">
        <v>506</v>
      </c>
      <c r="AF7" s="6">
        <v>3947</v>
      </c>
      <c r="AG7" s="6">
        <f>AE7*4-AF7</f>
        <v>-1923</v>
      </c>
      <c r="AH7" s="7">
        <v>0</v>
      </c>
      <c r="AI7" s="8">
        <f>$B7*AH7/1000</f>
        <v>0</v>
      </c>
      <c r="AJ7" s="6">
        <v>45</v>
      </c>
      <c r="AK7" s="6">
        <v>144</v>
      </c>
      <c r="AL7" s="6">
        <f>AJ7*4-AK7</f>
        <v>36</v>
      </c>
      <c r="AM7" s="7">
        <v>0</v>
      </c>
      <c r="AN7" s="8">
        <f>$B7*AM7/1000</f>
        <v>0</v>
      </c>
      <c r="AO7" s="6">
        <v>0</v>
      </c>
      <c r="AP7" s="6">
        <v>0</v>
      </c>
      <c r="AQ7" s="6">
        <f>AO7*4-AP7</f>
        <v>0</v>
      </c>
      <c r="AR7" s="7">
        <v>0</v>
      </c>
      <c r="AS7" s="8">
        <f>$B7*AR7/1000</f>
        <v>0</v>
      </c>
      <c r="AT7" s="6">
        <v>0</v>
      </c>
      <c r="AU7" s="6">
        <v>0</v>
      </c>
      <c r="AV7" s="6">
        <f>AT7*4-AU7</f>
        <v>0</v>
      </c>
      <c r="AW7" s="7">
        <v>0</v>
      </c>
      <c r="AX7" s="8">
        <f>$B7*AW7/1000</f>
        <v>0</v>
      </c>
      <c r="AY7" s="6">
        <v>68</v>
      </c>
      <c r="AZ7" s="6">
        <v>0</v>
      </c>
      <c r="BA7" s="6">
        <f>AY7*4-AZ7</f>
        <v>272</v>
      </c>
      <c r="BB7" s="7">
        <v>0</v>
      </c>
      <c r="BC7" s="8">
        <f>$B7*BB7/1000</f>
        <v>0</v>
      </c>
      <c r="BD7" s="6">
        <v>121</v>
      </c>
      <c r="BE7" s="6">
        <v>77</v>
      </c>
      <c r="BF7" s="6">
        <f>BD7*4-BE7</f>
        <v>407</v>
      </c>
      <c r="BG7" s="7">
        <v>0</v>
      </c>
      <c r="BH7" s="8">
        <f>$B7*BG7/1000</f>
        <v>0</v>
      </c>
      <c r="BI7" s="6">
        <v>16</v>
      </c>
      <c r="BJ7" s="6">
        <v>7</v>
      </c>
      <c r="BK7" s="6">
        <f>BI7*4-BJ7</f>
        <v>57</v>
      </c>
      <c r="BL7" s="7">
        <v>0</v>
      </c>
      <c r="BM7" s="8">
        <f>$B7*BL7/1000</f>
        <v>0</v>
      </c>
      <c r="BN7" s="6">
        <v>167</v>
      </c>
      <c r="BO7" s="6">
        <v>14</v>
      </c>
      <c r="BP7" s="6">
        <f>BN7*4-BO7</f>
        <v>654</v>
      </c>
      <c r="BQ7" s="7">
        <v>0</v>
      </c>
      <c r="BR7" s="8">
        <f>$B7*BQ7/1000</f>
        <v>0</v>
      </c>
    </row>
    <row r="8" ht="24" customHeight="1" spans="1:70" x14ac:dyDescent="0.25">
      <c r="A8" s="3" t="s">
        <v>82</v>
      </c>
      <c r="B8" s="4">
        <v>10</v>
      </c>
      <c r="C8" s="5" t="s">
        <v>83</v>
      </c>
      <c r="D8" s="6">
        <v>1063</v>
      </c>
      <c r="E8" s="6">
        <v>10504</v>
      </c>
      <c r="F8" s="6">
        <v>99</v>
      </c>
      <c r="G8" s="6">
        <v>3656</v>
      </c>
      <c r="H8" s="6">
        <f>F8*4-G8</f>
        <v>-3260</v>
      </c>
      <c r="I8" s="7">
        <v>0</v>
      </c>
      <c r="J8" s="8">
        <f>$B8*I8/1000</f>
        <v>0</v>
      </c>
      <c r="K8" s="6">
        <v>114</v>
      </c>
      <c r="L8" s="6">
        <v>24</v>
      </c>
      <c r="M8" s="6">
        <f>K8*4-L8</f>
        <v>432</v>
      </c>
      <c r="N8" s="7">
        <v>0</v>
      </c>
      <c r="O8" s="8">
        <f>$B8*N8/1000</f>
        <v>0</v>
      </c>
      <c r="P8" s="6">
        <v>133</v>
      </c>
      <c r="Q8" s="6">
        <v>2882</v>
      </c>
      <c r="R8" s="6">
        <f>P8*4-Q8</f>
        <v>-2350</v>
      </c>
      <c r="S8" s="7">
        <v>0</v>
      </c>
      <c r="T8" s="8">
        <f>$B8*S8/1000</f>
        <v>0</v>
      </c>
      <c r="U8" s="6">
        <v>0</v>
      </c>
      <c r="V8" s="6">
        <v>0</v>
      </c>
      <c r="W8" s="6">
        <f>U8*4-V8</f>
        <v>0</v>
      </c>
      <c r="X8" s="7">
        <v>0</v>
      </c>
      <c r="Y8" s="8">
        <f>$B8*X8/1000</f>
        <v>0</v>
      </c>
      <c r="Z8" s="6">
        <v>48</v>
      </c>
      <c r="AA8" s="6">
        <v>1747</v>
      </c>
      <c r="AB8" s="6">
        <f>Z8*4-AA8</f>
        <v>-1555</v>
      </c>
      <c r="AC8" s="7">
        <v>0</v>
      </c>
      <c r="AD8" s="8">
        <f>$B8*AC8/1000</f>
        <v>0</v>
      </c>
      <c r="AE8" s="6">
        <v>183</v>
      </c>
      <c r="AF8" s="6">
        <v>1428</v>
      </c>
      <c r="AG8" s="6">
        <f>AE8*4-AF8</f>
        <v>-696</v>
      </c>
      <c r="AH8" s="7">
        <v>0</v>
      </c>
      <c r="AI8" s="8">
        <f>$B8*AH8/1000</f>
        <v>0</v>
      </c>
      <c r="AJ8" s="6">
        <v>23</v>
      </c>
      <c r="AK8" s="6">
        <v>222</v>
      </c>
      <c r="AL8" s="6">
        <f>AJ8*4-AK8</f>
        <v>-130</v>
      </c>
      <c r="AM8" s="7">
        <v>0</v>
      </c>
      <c r="AN8" s="8">
        <f>$B8*AM8/1000</f>
        <v>0</v>
      </c>
      <c r="AO8" s="6">
        <v>68</v>
      </c>
      <c r="AP8" s="6">
        <v>73</v>
      </c>
      <c r="AQ8" s="6">
        <f>AO8*4-AP8</f>
        <v>199</v>
      </c>
      <c r="AR8" s="7">
        <v>0</v>
      </c>
      <c r="AS8" s="8">
        <f>$B8*AR8/1000</f>
        <v>0</v>
      </c>
      <c r="AT8" s="6">
        <v>0</v>
      </c>
      <c r="AU8" s="6">
        <v>0</v>
      </c>
      <c r="AV8" s="6">
        <f>AT8*4-AU8</f>
        <v>0</v>
      </c>
      <c r="AW8" s="7">
        <v>0</v>
      </c>
      <c r="AX8" s="8">
        <f>$B8*AW8/1000</f>
        <v>0</v>
      </c>
      <c r="AY8" s="6">
        <v>123</v>
      </c>
      <c r="AZ8" s="6">
        <v>35</v>
      </c>
      <c r="BA8" s="6">
        <f>AY8*4-AZ8</f>
        <v>457</v>
      </c>
      <c r="BB8" s="7">
        <v>0</v>
      </c>
      <c r="BC8" s="8">
        <f>$B8*BB8/1000</f>
        <v>0</v>
      </c>
      <c r="BD8" s="6">
        <v>45</v>
      </c>
      <c r="BE8" s="6">
        <v>212</v>
      </c>
      <c r="BF8" s="6">
        <f>BD8*4-BE8</f>
        <v>-32</v>
      </c>
      <c r="BG8" s="7">
        <v>0</v>
      </c>
      <c r="BH8" s="8">
        <f>$B8*BG8/1000</f>
        <v>0</v>
      </c>
      <c r="BI8" s="6">
        <v>15</v>
      </c>
      <c r="BJ8" s="6">
        <v>14</v>
      </c>
      <c r="BK8" s="6">
        <f>BI8*4-BJ8</f>
        <v>46</v>
      </c>
      <c r="BL8" s="7">
        <v>0</v>
      </c>
      <c r="BM8" s="8">
        <f>$B8*BL8/1000</f>
        <v>0</v>
      </c>
      <c r="BN8" s="6">
        <v>174</v>
      </c>
      <c r="BO8" s="6">
        <v>194</v>
      </c>
      <c r="BP8" s="6">
        <f>BN8*4-BO8</f>
        <v>502</v>
      </c>
      <c r="BQ8" s="7">
        <v>0</v>
      </c>
      <c r="BR8" s="8">
        <f>$B8*BQ8/1000</f>
        <v>0</v>
      </c>
    </row>
    <row r="9" ht="24" customHeight="1" spans="1:70" x14ac:dyDescent="0.25">
      <c r="A9" s="3" t="s">
        <v>84</v>
      </c>
      <c r="B9" s="4">
        <v>10</v>
      </c>
      <c r="C9" s="5" t="s">
        <v>85</v>
      </c>
      <c r="D9" s="6">
        <v>4</v>
      </c>
      <c r="E9" s="6">
        <v>109</v>
      </c>
      <c r="F9" s="6">
        <v>0</v>
      </c>
      <c r="G9" s="6">
        <v>0</v>
      </c>
      <c r="H9" s="6">
        <f>F9*4-G9</f>
        <v>0</v>
      </c>
      <c r="I9" s="7">
        <v>0</v>
      </c>
      <c r="J9" s="8">
        <f>$B9*I9/1000</f>
        <v>0</v>
      </c>
      <c r="K9" s="6">
        <v>0</v>
      </c>
      <c r="L9" s="6">
        <v>0</v>
      </c>
      <c r="M9" s="6">
        <f>K9*4-L9</f>
        <v>0</v>
      </c>
      <c r="N9" s="7">
        <v>0</v>
      </c>
      <c r="O9" s="8">
        <f>$B9*N9/1000</f>
        <v>0</v>
      </c>
      <c r="P9" s="6">
        <v>1</v>
      </c>
      <c r="Q9" s="6">
        <v>79</v>
      </c>
      <c r="R9" s="6">
        <f>P9*4-Q9</f>
        <v>-75</v>
      </c>
      <c r="S9" s="7">
        <v>0</v>
      </c>
      <c r="T9" s="8">
        <f>$B9*S9/1000</f>
        <v>0</v>
      </c>
      <c r="U9" s="6">
        <v>0</v>
      </c>
      <c r="V9" s="6">
        <v>0</v>
      </c>
      <c r="W9" s="6">
        <f>U9*4-V9</f>
        <v>0</v>
      </c>
      <c r="X9" s="7">
        <v>0</v>
      </c>
      <c r="Y9" s="8">
        <f>$B9*X9/1000</f>
        <v>0</v>
      </c>
      <c r="Z9" s="6">
        <v>0</v>
      </c>
      <c r="AA9" s="6">
        <v>0</v>
      </c>
      <c r="AB9" s="6">
        <f>Z9*4-AA9</f>
        <v>0</v>
      </c>
      <c r="AC9" s="7">
        <v>0</v>
      </c>
      <c r="AD9" s="8">
        <f>$B9*AC9/1000</f>
        <v>0</v>
      </c>
      <c r="AE9" s="6">
        <v>2</v>
      </c>
      <c r="AF9" s="6">
        <v>20</v>
      </c>
      <c r="AG9" s="6">
        <f>AE9*4-AF9</f>
        <v>-12</v>
      </c>
      <c r="AH9" s="7">
        <v>0</v>
      </c>
      <c r="AI9" s="8">
        <f>$B9*AH9/1000</f>
        <v>0</v>
      </c>
      <c r="AJ9" s="6">
        <v>0</v>
      </c>
      <c r="AK9" s="6">
        <v>1</v>
      </c>
      <c r="AL9" s="6">
        <f>AJ9*4-AK9</f>
        <v>-1</v>
      </c>
      <c r="AM9" s="7">
        <v>0</v>
      </c>
      <c r="AN9" s="8">
        <f>$B9*AM9/1000</f>
        <v>0</v>
      </c>
      <c r="AO9" s="6">
        <v>0</v>
      </c>
      <c r="AP9" s="6">
        <v>0</v>
      </c>
      <c r="AQ9" s="6">
        <f>AO9*4-AP9</f>
        <v>0</v>
      </c>
      <c r="AR9" s="7">
        <v>0</v>
      </c>
      <c r="AS9" s="8">
        <f>$B9*AR9/1000</f>
        <v>0</v>
      </c>
      <c r="AT9" s="6">
        <v>0</v>
      </c>
      <c r="AU9" s="6">
        <v>0</v>
      </c>
      <c r="AV9" s="6">
        <f>AT9*4-AU9</f>
        <v>0</v>
      </c>
      <c r="AW9" s="7">
        <v>0</v>
      </c>
      <c r="AX9" s="8">
        <f>$B9*AW9/1000</f>
        <v>0</v>
      </c>
      <c r="AY9" s="6">
        <v>1</v>
      </c>
      <c r="AZ9" s="6">
        <v>9</v>
      </c>
      <c r="BA9" s="6">
        <f>AY9*4-AZ9</f>
        <v>-5</v>
      </c>
      <c r="BB9" s="7">
        <v>0</v>
      </c>
      <c r="BC9" s="8">
        <f>$B9*BB9/1000</f>
        <v>0</v>
      </c>
      <c r="BD9" s="6">
        <v>0</v>
      </c>
      <c r="BE9" s="6">
        <v>0</v>
      </c>
      <c r="BF9" s="6">
        <f>BD9*4-BE9</f>
        <v>0</v>
      </c>
      <c r="BG9" s="7">
        <v>0</v>
      </c>
      <c r="BH9" s="8">
        <f>$B9*BG9/1000</f>
        <v>0</v>
      </c>
      <c r="BI9" s="6">
        <v>0</v>
      </c>
      <c r="BJ9" s="6">
        <v>0</v>
      </c>
      <c r="BK9" s="6">
        <f>BI9*4-BJ9</f>
        <v>0</v>
      </c>
      <c r="BL9" s="7">
        <v>0</v>
      </c>
      <c r="BM9" s="8">
        <f>$B9*BL9/1000</f>
        <v>0</v>
      </c>
      <c r="BN9" s="6">
        <v>0</v>
      </c>
      <c r="BO9" s="6">
        <v>0</v>
      </c>
      <c r="BP9" s="6">
        <f>BN9*4-BO9</f>
        <v>0</v>
      </c>
      <c r="BQ9" s="7">
        <v>0</v>
      </c>
      <c r="BR9" s="8">
        <f>$B9*BQ9/1000</f>
        <v>0</v>
      </c>
    </row>
    <row r="10" ht="24" customHeight="1" spans="1:70" x14ac:dyDescent="0.25">
      <c r="A10" s="3" t="s">
        <v>86</v>
      </c>
      <c r="B10" s="4">
        <v>10</v>
      </c>
      <c r="C10" s="5" t="s">
        <v>87</v>
      </c>
      <c r="D10" s="6">
        <v>53</v>
      </c>
      <c r="E10" s="6">
        <v>221</v>
      </c>
      <c r="F10" s="6">
        <v>3</v>
      </c>
      <c r="G10" s="6">
        <v>31</v>
      </c>
      <c r="H10" s="6">
        <f>F10*4-G10</f>
        <v>-19</v>
      </c>
      <c r="I10" s="7">
        <v>0</v>
      </c>
      <c r="J10" s="8">
        <f>$B10*I10/1000</f>
        <v>0</v>
      </c>
      <c r="K10" s="6">
        <v>0</v>
      </c>
      <c r="L10" s="6">
        <v>0</v>
      </c>
      <c r="M10" s="6">
        <f>K10*4-L10</f>
        <v>0</v>
      </c>
      <c r="N10" s="7">
        <v>0</v>
      </c>
      <c r="O10" s="8">
        <f>$B10*N10/1000</f>
        <v>0</v>
      </c>
      <c r="P10" s="6">
        <v>6</v>
      </c>
      <c r="Q10" s="6">
        <v>45</v>
      </c>
      <c r="R10" s="6">
        <f>P10*4-Q10</f>
        <v>-21</v>
      </c>
      <c r="S10" s="7">
        <v>0</v>
      </c>
      <c r="T10" s="8">
        <f>$B10*S10/1000</f>
        <v>0</v>
      </c>
      <c r="U10" s="6">
        <v>0</v>
      </c>
      <c r="V10" s="6">
        <v>0</v>
      </c>
      <c r="W10" s="6">
        <f>U10*4-V10</f>
        <v>0</v>
      </c>
      <c r="X10" s="7">
        <v>0</v>
      </c>
      <c r="Y10" s="8">
        <f>$B10*X10/1000</f>
        <v>0</v>
      </c>
      <c r="Z10" s="6">
        <v>10</v>
      </c>
      <c r="AA10" s="6">
        <v>8</v>
      </c>
      <c r="AB10" s="6">
        <f>Z10*4-AA10</f>
        <v>32</v>
      </c>
      <c r="AC10" s="7">
        <v>0</v>
      </c>
      <c r="AD10" s="8">
        <f>$B10*AC10/1000</f>
        <v>0</v>
      </c>
      <c r="AE10" s="6">
        <v>6</v>
      </c>
      <c r="AF10" s="6">
        <v>17</v>
      </c>
      <c r="AG10" s="6">
        <f>AE10*4-AF10</f>
        <v>7</v>
      </c>
      <c r="AH10" s="7">
        <v>0</v>
      </c>
      <c r="AI10" s="8">
        <f>$B10*AH10/1000</f>
        <v>0</v>
      </c>
      <c r="AJ10" s="6">
        <v>0</v>
      </c>
      <c r="AK10" s="6">
        <v>28</v>
      </c>
      <c r="AL10" s="6">
        <f>AJ10*4-AK10</f>
        <v>-28</v>
      </c>
      <c r="AM10" s="7">
        <v>0</v>
      </c>
      <c r="AN10" s="8">
        <f>$B10*AM10/1000</f>
        <v>0</v>
      </c>
      <c r="AO10" s="6">
        <v>5</v>
      </c>
      <c r="AP10" s="6">
        <v>33</v>
      </c>
      <c r="AQ10" s="6">
        <f>AO10*4-AP10</f>
        <v>-13</v>
      </c>
      <c r="AR10" s="7">
        <v>0</v>
      </c>
      <c r="AS10" s="8">
        <f>$B10*AR10/1000</f>
        <v>0</v>
      </c>
      <c r="AT10" s="6">
        <v>0</v>
      </c>
      <c r="AU10" s="6">
        <v>0</v>
      </c>
      <c r="AV10" s="6">
        <f>AT10*4-AU10</f>
        <v>0</v>
      </c>
      <c r="AW10" s="7">
        <v>0</v>
      </c>
      <c r="AX10" s="8">
        <f>$B10*AW10/1000</f>
        <v>0</v>
      </c>
      <c r="AY10" s="6">
        <v>1</v>
      </c>
      <c r="AZ10" s="6">
        <v>0</v>
      </c>
      <c r="BA10" s="6">
        <f>AY10*4-AZ10</f>
        <v>4</v>
      </c>
      <c r="BB10" s="7">
        <v>0</v>
      </c>
      <c r="BC10" s="8">
        <f>$B10*BB10/1000</f>
        <v>0</v>
      </c>
      <c r="BD10" s="6">
        <v>22</v>
      </c>
      <c r="BE10" s="6">
        <v>1</v>
      </c>
      <c r="BF10" s="6">
        <f>BD10*4-BE10</f>
        <v>87</v>
      </c>
      <c r="BG10" s="7">
        <v>0</v>
      </c>
      <c r="BH10" s="8">
        <f>$B10*BG10/1000</f>
        <v>0</v>
      </c>
      <c r="BI10" s="6">
        <v>0</v>
      </c>
      <c r="BJ10" s="6">
        <v>58</v>
      </c>
      <c r="BK10" s="6">
        <f>BI10*4-BJ10</f>
        <v>-58</v>
      </c>
      <c r="BL10" s="7">
        <v>0</v>
      </c>
      <c r="BM10" s="8">
        <f>$B10*BL10/1000</f>
        <v>0</v>
      </c>
      <c r="BN10" s="6">
        <v>0</v>
      </c>
      <c r="BO10" s="6">
        <v>0</v>
      </c>
      <c r="BP10" s="6">
        <f>BN10*4-BO10</f>
        <v>0</v>
      </c>
      <c r="BQ10" s="7">
        <v>0</v>
      </c>
      <c r="BR10" s="8">
        <f>$B10*BQ10/1000</f>
        <v>0</v>
      </c>
    </row>
    <row r="11" ht="24" customHeight="1" spans="1:70" x14ac:dyDescent="0.25">
      <c r="A11" s="3" t="s">
        <v>88</v>
      </c>
      <c r="B11" s="4">
        <v>10</v>
      </c>
      <c r="C11" s="5" t="s">
        <v>89</v>
      </c>
      <c r="D11" s="6">
        <v>20</v>
      </c>
      <c r="E11" s="6">
        <v>277</v>
      </c>
      <c r="F11" s="6">
        <v>0</v>
      </c>
      <c r="G11" s="6">
        <v>0</v>
      </c>
      <c r="H11" s="6">
        <f>F11*4-G11</f>
        <v>0</v>
      </c>
      <c r="I11" s="7">
        <v>0</v>
      </c>
      <c r="J11" s="8">
        <f>$B11*I11/1000</f>
        <v>0</v>
      </c>
      <c r="K11" s="6">
        <v>0</v>
      </c>
      <c r="L11" s="6">
        <v>0</v>
      </c>
      <c r="M11" s="6">
        <f>K11*4-L11</f>
        <v>0</v>
      </c>
      <c r="N11" s="7">
        <v>0</v>
      </c>
      <c r="O11" s="8">
        <f>$B11*N11/1000</f>
        <v>0</v>
      </c>
      <c r="P11" s="6">
        <v>12</v>
      </c>
      <c r="Q11" s="6">
        <v>42</v>
      </c>
      <c r="R11" s="6">
        <f>P11*4-Q11</f>
        <v>6</v>
      </c>
      <c r="S11" s="7">
        <v>0</v>
      </c>
      <c r="T11" s="8">
        <f>$B11*S11/1000</f>
        <v>0</v>
      </c>
      <c r="U11" s="6">
        <v>0</v>
      </c>
      <c r="V11" s="6">
        <v>0</v>
      </c>
      <c r="W11" s="6">
        <f>U11*4-V11</f>
        <v>0</v>
      </c>
      <c r="X11" s="7">
        <v>0</v>
      </c>
      <c r="Y11" s="8">
        <f>$B11*X11/1000</f>
        <v>0</v>
      </c>
      <c r="Z11" s="6">
        <v>2</v>
      </c>
      <c r="AA11" s="6">
        <v>13</v>
      </c>
      <c r="AB11" s="6">
        <f>Z11*4-AA11</f>
        <v>-5</v>
      </c>
      <c r="AC11" s="7">
        <v>0</v>
      </c>
      <c r="AD11" s="8">
        <f>$B11*AC11/1000</f>
        <v>0</v>
      </c>
      <c r="AE11" s="6">
        <v>0</v>
      </c>
      <c r="AF11" s="6">
        <v>0</v>
      </c>
      <c r="AG11" s="6">
        <f>AE11*4-AF11</f>
        <v>0</v>
      </c>
      <c r="AH11" s="7">
        <v>0</v>
      </c>
      <c r="AI11" s="8">
        <f>$B11*AH11/1000</f>
        <v>0</v>
      </c>
      <c r="AJ11" s="6">
        <v>1</v>
      </c>
      <c r="AK11" s="6">
        <v>32</v>
      </c>
      <c r="AL11" s="6">
        <f>AJ11*4-AK11</f>
        <v>-28</v>
      </c>
      <c r="AM11" s="7">
        <v>0</v>
      </c>
      <c r="AN11" s="8">
        <f>$B11*AM11/1000</f>
        <v>0</v>
      </c>
      <c r="AO11" s="6">
        <v>2</v>
      </c>
      <c r="AP11" s="6">
        <v>131</v>
      </c>
      <c r="AQ11" s="6">
        <f>AO11*4-AP11</f>
        <v>-123</v>
      </c>
      <c r="AR11" s="7">
        <v>0</v>
      </c>
      <c r="AS11" s="8">
        <f>$B11*AR11/1000</f>
        <v>0</v>
      </c>
      <c r="AT11" s="6">
        <v>0</v>
      </c>
      <c r="AU11" s="6">
        <v>0</v>
      </c>
      <c r="AV11" s="6">
        <f>AT11*4-AU11</f>
        <v>0</v>
      </c>
      <c r="AW11" s="7">
        <v>0</v>
      </c>
      <c r="AX11" s="8">
        <f>$B11*AW11/1000</f>
        <v>0</v>
      </c>
      <c r="AY11" s="6">
        <v>3</v>
      </c>
      <c r="AZ11" s="6">
        <v>1</v>
      </c>
      <c r="BA11" s="6">
        <f>AY11*4-AZ11</f>
        <v>11</v>
      </c>
      <c r="BB11" s="7">
        <v>0</v>
      </c>
      <c r="BC11" s="8">
        <f>$B11*BB11/1000</f>
        <v>0</v>
      </c>
      <c r="BD11" s="6">
        <v>0</v>
      </c>
      <c r="BE11" s="6">
        <v>2</v>
      </c>
      <c r="BF11" s="6">
        <f>BD11*4-BE11</f>
        <v>-2</v>
      </c>
      <c r="BG11" s="7">
        <v>0</v>
      </c>
      <c r="BH11" s="8">
        <f>$B11*BG11/1000</f>
        <v>0</v>
      </c>
      <c r="BI11" s="6">
        <v>0</v>
      </c>
      <c r="BJ11" s="6">
        <v>56</v>
      </c>
      <c r="BK11" s="6">
        <f>BI11*4-BJ11</f>
        <v>-56</v>
      </c>
      <c r="BL11" s="7">
        <v>0</v>
      </c>
      <c r="BM11" s="8">
        <f>$B11*BL11/1000</f>
        <v>0</v>
      </c>
      <c r="BN11" s="6">
        <v>0</v>
      </c>
      <c r="BO11" s="6">
        <v>0</v>
      </c>
      <c r="BP11" s="6">
        <f>BN11*4-BO11</f>
        <v>0</v>
      </c>
      <c r="BQ11" s="7">
        <v>0</v>
      </c>
      <c r="BR11" s="8">
        <f>$B11*BQ11/1000</f>
        <v>0</v>
      </c>
    </row>
    <row r="12" ht="24" customHeight="1" spans="1:70" x14ac:dyDescent="0.25">
      <c r="A12" s="3" t="s">
        <v>90</v>
      </c>
      <c r="B12" s="4">
        <v>10</v>
      </c>
      <c r="C12" s="5" t="s">
        <v>91</v>
      </c>
      <c r="D12" s="6">
        <v>9</v>
      </c>
      <c r="E12" s="6">
        <v>127</v>
      </c>
      <c r="F12" s="6">
        <v>0</v>
      </c>
      <c r="G12" s="6">
        <v>0</v>
      </c>
      <c r="H12" s="6">
        <f>F12*4-G12</f>
        <v>0</v>
      </c>
      <c r="I12" s="7">
        <v>0</v>
      </c>
      <c r="J12" s="8">
        <f>$B12*I12/1000</f>
        <v>0</v>
      </c>
      <c r="K12" s="6">
        <v>0</v>
      </c>
      <c r="L12" s="6">
        <v>0</v>
      </c>
      <c r="M12" s="6">
        <f>K12*4-L12</f>
        <v>0</v>
      </c>
      <c r="N12" s="7">
        <v>0</v>
      </c>
      <c r="O12" s="8">
        <f>$B12*N12/1000</f>
        <v>0</v>
      </c>
      <c r="P12" s="6">
        <v>2</v>
      </c>
      <c r="Q12" s="6">
        <v>48</v>
      </c>
      <c r="R12" s="6">
        <f>P12*4-Q12</f>
        <v>-40</v>
      </c>
      <c r="S12" s="7">
        <v>0</v>
      </c>
      <c r="T12" s="8">
        <f>$B12*S12/1000</f>
        <v>0</v>
      </c>
      <c r="U12" s="6">
        <v>0</v>
      </c>
      <c r="V12" s="6">
        <v>0</v>
      </c>
      <c r="W12" s="6">
        <f>U12*4-V12</f>
        <v>0</v>
      </c>
      <c r="X12" s="7">
        <v>0</v>
      </c>
      <c r="Y12" s="8">
        <f>$B12*X12/1000</f>
        <v>0</v>
      </c>
      <c r="Z12" s="6">
        <v>1</v>
      </c>
      <c r="AA12" s="6">
        <v>2</v>
      </c>
      <c r="AB12" s="6">
        <f>Z12*4-AA12</f>
        <v>2</v>
      </c>
      <c r="AC12" s="7">
        <v>0</v>
      </c>
      <c r="AD12" s="8">
        <f>$B12*AC12/1000</f>
        <v>0</v>
      </c>
      <c r="AE12" s="6">
        <v>4</v>
      </c>
      <c r="AF12" s="6">
        <v>13</v>
      </c>
      <c r="AG12" s="6">
        <f>AE12*4-AF12</f>
        <v>3</v>
      </c>
      <c r="AH12" s="7">
        <v>0</v>
      </c>
      <c r="AI12" s="8">
        <f>$B12*AH12/1000</f>
        <v>0</v>
      </c>
      <c r="AJ12" s="6">
        <v>0</v>
      </c>
      <c r="AK12" s="6">
        <v>0</v>
      </c>
      <c r="AL12" s="6">
        <f>AJ12*4-AK12</f>
        <v>0</v>
      </c>
      <c r="AM12" s="7">
        <v>0</v>
      </c>
      <c r="AN12" s="8">
        <f>$B12*AM12/1000</f>
        <v>0</v>
      </c>
      <c r="AO12" s="6">
        <v>2</v>
      </c>
      <c r="AP12" s="6">
        <v>22</v>
      </c>
      <c r="AQ12" s="6">
        <f>AO12*4-AP12</f>
        <v>-14</v>
      </c>
      <c r="AR12" s="7">
        <v>0</v>
      </c>
      <c r="AS12" s="8">
        <f>$B12*AR12/1000</f>
        <v>0</v>
      </c>
      <c r="AT12" s="6">
        <v>0</v>
      </c>
      <c r="AU12" s="6">
        <v>0</v>
      </c>
      <c r="AV12" s="6">
        <f>AT12*4-AU12</f>
        <v>0</v>
      </c>
      <c r="AW12" s="7">
        <v>0</v>
      </c>
      <c r="AX12" s="8">
        <f>$B12*AW12/1000</f>
        <v>0</v>
      </c>
      <c r="AY12" s="6">
        <v>0</v>
      </c>
      <c r="AZ12" s="6">
        <v>0</v>
      </c>
      <c r="BA12" s="6">
        <f>AY12*4-AZ12</f>
        <v>0</v>
      </c>
      <c r="BB12" s="7">
        <v>0</v>
      </c>
      <c r="BC12" s="8">
        <f>$B12*BB12/1000</f>
        <v>0</v>
      </c>
      <c r="BD12" s="6">
        <v>0</v>
      </c>
      <c r="BE12" s="6">
        <v>0</v>
      </c>
      <c r="BF12" s="6">
        <f>BD12*4-BE12</f>
        <v>0</v>
      </c>
      <c r="BG12" s="7">
        <v>0</v>
      </c>
      <c r="BH12" s="8">
        <f>$B12*BG12/1000</f>
        <v>0</v>
      </c>
      <c r="BI12" s="6">
        <v>0</v>
      </c>
      <c r="BJ12" s="6">
        <v>42</v>
      </c>
      <c r="BK12" s="6">
        <f>BI12*4-BJ12</f>
        <v>-42</v>
      </c>
      <c r="BL12" s="7">
        <v>0</v>
      </c>
      <c r="BM12" s="8">
        <f>$B12*BL12/1000</f>
        <v>0</v>
      </c>
      <c r="BN12" s="6">
        <v>0</v>
      </c>
      <c r="BO12" s="6">
        <v>0</v>
      </c>
      <c r="BP12" s="6">
        <f>BN12*4-BO12</f>
        <v>0</v>
      </c>
      <c r="BQ12" s="7">
        <v>0</v>
      </c>
      <c r="BR12" s="8">
        <f>$B12*BQ12/1000</f>
        <v>0</v>
      </c>
    </row>
    <row r="13" ht="24" customHeight="1" spans="1:70" x14ac:dyDescent="0.25">
      <c r="A13" s="3" t="s">
        <v>92</v>
      </c>
      <c r="B13" s="4">
        <v>25</v>
      </c>
      <c r="C13" s="5" t="s">
        <v>93</v>
      </c>
      <c r="D13" s="6">
        <v>593</v>
      </c>
      <c r="E13" s="6">
        <v>2833</v>
      </c>
      <c r="F13" s="6">
        <v>76</v>
      </c>
      <c r="G13" s="6">
        <v>407</v>
      </c>
      <c r="H13" s="6">
        <f>F13*4-G13</f>
        <v>-103</v>
      </c>
      <c r="I13" s="7">
        <v>0</v>
      </c>
      <c r="J13" s="8">
        <f>$B13*I13/1000</f>
        <v>0</v>
      </c>
      <c r="K13" s="6">
        <v>65</v>
      </c>
      <c r="L13" s="6">
        <v>473</v>
      </c>
      <c r="M13" s="6">
        <f>K13*4-L13</f>
        <v>-213</v>
      </c>
      <c r="N13" s="7">
        <v>0</v>
      </c>
      <c r="O13" s="8">
        <f>$B13*N13/1000</f>
        <v>0</v>
      </c>
      <c r="P13" s="6">
        <v>34</v>
      </c>
      <c r="Q13" s="6">
        <v>701</v>
      </c>
      <c r="R13" s="6">
        <f>P13*4-Q13</f>
        <v>-565</v>
      </c>
      <c r="S13" s="7">
        <v>0</v>
      </c>
      <c r="T13" s="8">
        <f>$B13*S13/1000</f>
        <v>0</v>
      </c>
      <c r="U13" s="6">
        <v>0</v>
      </c>
      <c r="V13" s="6">
        <v>0</v>
      </c>
      <c r="W13" s="6">
        <f>U13*4-V13</f>
        <v>0</v>
      </c>
      <c r="X13" s="7">
        <v>0</v>
      </c>
      <c r="Y13" s="8">
        <f>$B13*X13/1000</f>
        <v>0</v>
      </c>
      <c r="Z13" s="6">
        <v>53</v>
      </c>
      <c r="AA13" s="6">
        <v>160</v>
      </c>
      <c r="AB13" s="6">
        <f>Z13*4-AA13</f>
        <v>52</v>
      </c>
      <c r="AC13" s="7">
        <v>0</v>
      </c>
      <c r="AD13" s="8">
        <f>$B13*AC13/1000</f>
        <v>0</v>
      </c>
      <c r="AE13" s="6">
        <v>104</v>
      </c>
      <c r="AF13" s="6">
        <v>353</v>
      </c>
      <c r="AG13" s="6">
        <f>AE13*4-AF13</f>
        <v>63</v>
      </c>
      <c r="AH13" s="7">
        <v>0</v>
      </c>
      <c r="AI13" s="8">
        <f>$B13*AH13/1000</f>
        <v>0</v>
      </c>
      <c r="AJ13" s="6">
        <v>15</v>
      </c>
      <c r="AK13" s="6">
        <v>182</v>
      </c>
      <c r="AL13" s="6">
        <f>AJ13*4-AK13</f>
        <v>-122</v>
      </c>
      <c r="AM13" s="7">
        <v>0</v>
      </c>
      <c r="AN13" s="8">
        <f>$B13*AM13/1000</f>
        <v>0</v>
      </c>
      <c r="AO13" s="6">
        <v>21</v>
      </c>
      <c r="AP13" s="6">
        <v>114</v>
      </c>
      <c r="AQ13" s="6">
        <f>AO13*4-AP13</f>
        <v>-30</v>
      </c>
      <c r="AR13" s="7">
        <v>0</v>
      </c>
      <c r="AS13" s="8">
        <f>$B13*AR13/1000</f>
        <v>0</v>
      </c>
      <c r="AT13" s="6">
        <v>0</v>
      </c>
      <c r="AU13" s="6">
        <v>0</v>
      </c>
      <c r="AV13" s="6">
        <f>AT13*4-AU13</f>
        <v>0</v>
      </c>
      <c r="AW13" s="7">
        <v>0</v>
      </c>
      <c r="AX13" s="8">
        <f>$B13*AW13/1000</f>
        <v>0</v>
      </c>
      <c r="AY13" s="6">
        <v>26</v>
      </c>
      <c r="AZ13" s="6">
        <v>93</v>
      </c>
      <c r="BA13" s="6">
        <f>AY13*4-AZ13</f>
        <v>11</v>
      </c>
      <c r="BB13" s="7">
        <v>0</v>
      </c>
      <c r="BC13" s="8">
        <f>$B13*BB13/1000</f>
        <v>0</v>
      </c>
      <c r="BD13" s="6">
        <v>27</v>
      </c>
      <c r="BE13" s="6">
        <v>187</v>
      </c>
      <c r="BF13" s="6">
        <f>BD13*4-BE13</f>
        <v>-79</v>
      </c>
      <c r="BG13" s="7">
        <v>0</v>
      </c>
      <c r="BH13" s="8">
        <f>$B13*BG13/1000</f>
        <v>0</v>
      </c>
      <c r="BI13" s="6">
        <v>6</v>
      </c>
      <c r="BJ13" s="6">
        <v>92</v>
      </c>
      <c r="BK13" s="6">
        <f>BI13*4-BJ13</f>
        <v>-68</v>
      </c>
      <c r="BL13" s="7">
        <v>0</v>
      </c>
      <c r="BM13" s="8">
        <f>$B13*BL13/1000</f>
        <v>0</v>
      </c>
      <c r="BN13" s="6">
        <v>152</v>
      </c>
      <c r="BO13" s="6">
        <v>61</v>
      </c>
      <c r="BP13" s="6">
        <f>BN13*4-BO13</f>
        <v>547</v>
      </c>
      <c r="BQ13" s="7">
        <v>0</v>
      </c>
      <c r="BR13" s="8">
        <f>$B13*BQ13/1000</f>
        <v>0</v>
      </c>
    </row>
    <row r="14" ht="24" customHeight="1" spans="1:70" x14ac:dyDescent="0.25">
      <c r="A14" s="3" t="s">
        <v>94</v>
      </c>
      <c r="B14" s="4">
        <v>5</v>
      </c>
      <c r="C14" s="5" t="s">
        <v>95</v>
      </c>
      <c r="D14" s="6">
        <v>3906</v>
      </c>
      <c r="E14" s="6">
        <v>22633</v>
      </c>
      <c r="F14" s="6">
        <v>202</v>
      </c>
      <c r="G14" s="6">
        <v>3805</v>
      </c>
      <c r="H14" s="6">
        <f>F14*4-G14</f>
        <v>-2997</v>
      </c>
      <c r="I14" s="7">
        <v>0</v>
      </c>
      <c r="J14" s="8">
        <f>$B14*I14/1000</f>
        <v>0</v>
      </c>
      <c r="K14" s="6">
        <v>225</v>
      </c>
      <c r="L14" s="6">
        <v>132</v>
      </c>
      <c r="M14" s="6">
        <f>K14*4-L14</f>
        <v>768</v>
      </c>
      <c r="N14" s="7">
        <v>0</v>
      </c>
      <c r="O14" s="8">
        <f>$B14*N14/1000</f>
        <v>0</v>
      </c>
      <c r="P14" s="6">
        <v>537</v>
      </c>
      <c r="Q14" s="6">
        <v>6397</v>
      </c>
      <c r="R14" s="6">
        <f>P14*4-Q14</f>
        <v>-4249</v>
      </c>
      <c r="S14" s="7">
        <v>0</v>
      </c>
      <c r="T14" s="8">
        <f>$B14*S14/1000</f>
        <v>0</v>
      </c>
      <c r="U14" s="6">
        <v>0</v>
      </c>
      <c r="V14" s="6">
        <v>0</v>
      </c>
      <c r="W14" s="6">
        <f>U14*4-V14</f>
        <v>0</v>
      </c>
      <c r="X14" s="7">
        <v>0</v>
      </c>
      <c r="Y14" s="8">
        <f>$B14*X14/1000</f>
        <v>0</v>
      </c>
      <c r="Z14" s="6">
        <v>439</v>
      </c>
      <c r="AA14" s="6">
        <v>1877</v>
      </c>
      <c r="AB14" s="6">
        <f>Z14*4-AA14</f>
        <v>-121</v>
      </c>
      <c r="AC14" s="7">
        <v>0</v>
      </c>
      <c r="AD14" s="8">
        <f>$B14*AC14/1000</f>
        <v>0</v>
      </c>
      <c r="AE14" s="6">
        <v>919</v>
      </c>
      <c r="AF14" s="6">
        <v>5332</v>
      </c>
      <c r="AG14" s="6">
        <f>AE14*4-AF14</f>
        <v>-1656</v>
      </c>
      <c r="AH14" s="7">
        <v>0</v>
      </c>
      <c r="AI14" s="8">
        <f>$B14*AH14/1000</f>
        <v>0</v>
      </c>
      <c r="AJ14" s="6">
        <v>121</v>
      </c>
      <c r="AK14" s="6">
        <v>1444</v>
      </c>
      <c r="AL14" s="6">
        <f>AJ14*4-AK14</f>
        <v>-960</v>
      </c>
      <c r="AM14" s="7">
        <v>0</v>
      </c>
      <c r="AN14" s="8">
        <f>$B14*AM14/1000</f>
        <v>0</v>
      </c>
      <c r="AO14" s="6">
        <v>223</v>
      </c>
      <c r="AP14" s="6">
        <v>4</v>
      </c>
      <c r="AQ14" s="6">
        <f>AO14*4-AP14</f>
        <v>888</v>
      </c>
      <c r="AR14" s="7">
        <v>0</v>
      </c>
      <c r="AS14" s="8">
        <f>$B14*AR14/1000</f>
        <v>0</v>
      </c>
      <c r="AT14" s="6">
        <v>240</v>
      </c>
      <c r="AU14" s="6">
        <v>494</v>
      </c>
      <c r="AV14" s="6">
        <f>AT14*4-AU14</f>
        <v>466</v>
      </c>
      <c r="AW14" s="7">
        <v>0</v>
      </c>
      <c r="AX14" s="8">
        <f>$B14*AW14/1000</f>
        <v>0</v>
      </c>
      <c r="AY14" s="6">
        <v>345</v>
      </c>
      <c r="AZ14" s="6">
        <v>129</v>
      </c>
      <c r="BA14" s="6">
        <f>AY14*4-AZ14</f>
        <v>1251</v>
      </c>
      <c r="BB14" s="7">
        <v>0</v>
      </c>
      <c r="BC14" s="8">
        <f>$B14*BB14/1000</f>
        <v>0</v>
      </c>
      <c r="BD14" s="6">
        <v>207</v>
      </c>
      <c r="BE14" s="6">
        <v>1</v>
      </c>
      <c r="BF14" s="6">
        <f>BD14*4-BE14</f>
        <v>827</v>
      </c>
      <c r="BG14" s="7">
        <v>0</v>
      </c>
      <c r="BH14" s="8">
        <f>$B14*BG14/1000</f>
        <v>0</v>
      </c>
      <c r="BI14" s="6">
        <v>51</v>
      </c>
      <c r="BJ14" s="6">
        <v>486</v>
      </c>
      <c r="BK14" s="6">
        <f>BI14*4-BJ14</f>
        <v>-282</v>
      </c>
      <c r="BL14" s="7">
        <v>0</v>
      </c>
      <c r="BM14" s="8">
        <f>$B14*BL14/1000</f>
        <v>0</v>
      </c>
      <c r="BN14" s="6">
        <v>314</v>
      </c>
      <c r="BO14" s="6">
        <v>2513</v>
      </c>
      <c r="BP14" s="6">
        <f>BN14*4-BO14</f>
        <v>-1257</v>
      </c>
      <c r="BQ14" s="7">
        <v>0</v>
      </c>
      <c r="BR14" s="8">
        <f>$B14*BQ14/1000</f>
        <v>0</v>
      </c>
    </row>
    <row r="15" ht="24" customHeight="1" spans="1:70" x14ac:dyDescent="0.25">
      <c r="A15" s="3" t="s">
        <v>96</v>
      </c>
      <c r="B15" s="4">
        <v>5</v>
      </c>
      <c r="C15" s="5" t="s">
        <v>97</v>
      </c>
      <c r="D15" s="6">
        <v>16</v>
      </c>
      <c r="E15" s="6">
        <v>171</v>
      </c>
      <c r="F15" s="6">
        <v>1</v>
      </c>
      <c r="G15" s="6">
        <v>37</v>
      </c>
      <c r="H15" s="6">
        <f>F15*4-G15</f>
        <v>-33</v>
      </c>
      <c r="I15" s="7">
        <v>0</v>
      </c>
      <c r="J15" s="8">
        <f>$B15*I15/1000</f>
        <v>0</v>
      </c>
      <c r="K15" s="6">
        <v>0</v>
      </c>
      <c r="L15" s="6">
        <v>0</v>
      </c>
      <c r="M15" s="6">
        <f>K15*4-L15</f>
        <v>0</v>
      </c>
      <c r="N15" s="7">
        <v>0</v>
      </c>
      <c r="O15" s="8">
        <f>$B15*N15/1000</f>
        <v>0</v>
      </c>
      <c r="P15" s="6">
        <v>7</v>
      </c>
      <c r="Q15" s="6">
        <v>105</v>
      </c>
      <c r="R15" s="6">
        <f>P15*4-Q15</f>
        <v>-77</v>
      </c>
      <c r="S15" s="7">
        <v>0</v>
      </c>
      <c r="T15" s="8">
        <f>$B15*S15/1000</f>
        <v>0</v>
      </c>
      <c r="U15" s="6">
        <v>1</v>
      </c>
      <c r="V15" s="6">
        <v>6</v>
      </c>
      <c r="W15" s="6">
        <f>U15*4-V15</f>
        <v>-2</v>
      </c>
      <c r="X15" s="7">
        <v>0</v>
      </c>
      <c r="Y15" s="8">
        <f>$B15*X15/1000</f>
        <v>0</v>
      </c>
      <c r="Z15" s="6">
        <v>0</v>
      </c>
      <c r="AA15" s="6">
        <v>0</v>
      </c>
      <c r="AB15" s="6">
        <f>Z15*4-AA15</f>
        <v>0</v>
      </c>
      <c r="AC15" s="7">
        <v>0</v>
      </c>
      <c r="AD15" s="8">
        <f>$B15*AC15/1000</f>
        <v>0</v>
      </c>
      <c r="AE15" s="6">
        <v>5</v>
      </c>
      <c r="AF15" s="6">
        <v>10</v>
      </c>
      <c r="AG15" s="6">
        <f>AE15*4-AF15</f>
        <v>10</v>
      </c>
      <c r="AH15" s="7">
        <v>0</v>
      </c>
      <c r="AI15" s="8">
        <f>$B15*AH15/1000</f>
        <v>0</v>
      </c>
      <c r="AJ15" s="6">
        <v>0</v>
      </c>
      <c r="AK15" s="6">
        <v>0</v>
      </c>
      <c r="AL15" s="6">
        <f>AJ15*4-AK15</f>
        <v>0</v>
      </c>
      <c r="AM15" s="7">
        <v>0</v>
      </c>
      <c r="AN15" s="8">
        <f>$B15*AM15/1000</f>
        <v>0</v>
      </c>
      <c r="AO15" s="6">
        <v>0</v>
      </c>
      <c r="AP15" s="6">
        <v>0</v>
      </c>
      <c r="AQ15" s="6">
        <f>AO15*4-AP15</f>
        <v>0</v>
      </c>
      <c r="AR15" s="7">
        <v>0</v>
      </c>
      <c r="AS15" s="8">
        <f>$B15*AR15/1000</f>
        <v>0</v>
      </c>
      <c r="AT15" s="6">
        <v>0</v>
      </c>
      <c r="AU15" s="6">
        <v>0</v>
      </c>
      <c r="AV15" s="6">
        <f>AT15*4-AU15</f>
        <v>0</v>
      </c>
      <c r="AW15" s="7">
        <v>0</v>
      </c>
      <c r="AX15" s="8">
        <f>$B15*AW15/1000</f>
        <v>0</v>
      </c>
      <c r="AY15" s="6">
        <v>0</v>
      </c>
      <c r="AZ15" s="6">
        <v>0</v>
      </c>
      <c r="BA15" s="6">
        <f>AY15*4-AZ15</f>
        <v>0</v>
      </c>
      <c r="BB15" s="7">
        <v>0</v>
      </c>
      <c r="BC15" s="8">
        <f>$B15*BB15/1000</f>
        <v>0</v>
      </c>
      <c r="BD15" s="6">
        <v>0</v>
      </c>
      <c r="BE15" s="6">
        <v>0</v>
      </c>
      <c r="BF15" s="6">
        <f>BD15*4-BE15</f>
        <v>0</v>
      </c>
      <c r="BG15" s="7">
        <v>0</v>
      </c>
      <c r="BH15" s="8">
        <f>$B15*BG15/1000</f>
        <v>0</v>
      </c>
      <c r="BI15" s="6">
        <v>0</v>
      </c>
      <c r="BJ15" s="6">
        <v>0</v>
      </c>
      <c r="BK15" s="6">
        <f>BI15*4-BJ15</f>
        <v>0</v>
      </c>
      <c r="BL15" s="7">
        <v>0</v>
      </c>
      <c r="BM15" s="8">
        <f>$B15*BL15/1000</f>
        <v>0</v>
      </c>
      <c r="BN15" s="6">
        <v>2</v>
      </c>
      <c r="BO15" s="6">
        <v>13</v>
      </c>
      <c r="BP15" s="6">
        <f>BN15*4-BO15</f>
        <v>-5</v>
      </c>
      <c r="BQ15" s="7">
        <v>0</v>
      </c>
      <c r="BR15" s="8">
        <f>$B15*BQ15/1000</f>
        <v>0</v>
      </c>
    </row>
    <row r="16" ht="24" customHeight="1" spans="1:70" x14ac:dyDescent="0.25">
      <c r="A16" s="3" t="s">
        <v>98</v>
      </c>
      <c r="B16" s="4">
        <v>5</v>
      </c>
      <c r="C16" s="5" t="s">
        <v>99</v>
      </c>
      <c r="D16" s="6">
        <v>13</v>
      </c>
      <c r="E16" s="6">
        <v>297</v>
      </c>
      <c r="F16" s="6">
        <v>0</v>
      </c>
      <c r="G16" s="6">
        <v>16</v>
      </c>
      <c r="H16" s="6">
        <f>F16*4-G16</f>
        <v>-16</v>
      </c>
      <c r="I16" s="7">
        <v>0</v>
      </c>
      <c r="J16" s="8">
        <f>$B16*I16/1000</f>
        <v>0</v>
      </c>
      <c r="K16" s="6">
        <v>0</v>
      </c>
      <c r="L16" s="6">
        <v>0</v>
      </c>
      <c r="M16" s="6">
        <f>K16*4-L16</f>
        <v>0</v>
      </c>
      <c r="N16" s="7">
        <v>0</v>
      </c>
      <c r="O16" s="8">
        <f>$B16*N16/1000</f>
        <v>0</v>
      </c>
      <c r="P16" s="6">
        <v>10</v>
      </c>
      <c r="Q16" s="6">
        <v>255</v>
      </c>
      <c r="R16" s="6">
        <f>P16*4-Q16</f>
        <v>-215</v>
      </c>
      <c r="S16" s="7">
        <v>0</v>
      </c>
      <c r="T16" s="8">
        <f>$B16*S16/1000</f>
        <v>0</v>
      </c>
      <c r="U16" s="6">
        <v>0</v>
      </c>
      <c r="V16" s="6">
        <v>0</v>
      </c>
      <c r="W16" s="6">
        <f>U16*4-V16</f>
        <v>0</v>
      </c>
      <c r="X16" s="7">
        <v>0</v>
      </c>
      <c r="Y16" s="8">
        <f>$B16*X16/1000</f>
        <v>0</v>
      </c>
      <c r="Z16" s="6">
        <v>0</v>
      </c>
      <c r="AA16" s="6">
        <v>0</v>
      </c>
      <c r="AB16" s="6">
        <f>Z16*4-AA16</f>
        <v>0</v>
      </c>
      <c r="AC16" s="7">
        <v>0</v>
      </c>
      <c r="AD16" s="8">
        <f>$B16*AC16/1000</f>
        <v>0</v>
      </c>
      <c r="AE16" s="6">
        <v>0</v>
      </c>
      <c r="AF16" s="6">
        <v>17</v>
      </c>
      <c r="AG16" s="6">
        <f>AE16*4-AF16</f>
        <v>-17</v>
      </c>
      <c r="AH16" s="7">
        <v>0</v>
      </c>
      <c r="AI16" s="8">
        <f>$B16*AH16/1000</f>
        <v>0</v>
      </c>
      <c r="AJ16" s="6">
        <v>0</v>
      </c>
      <c r="AK16" s="6">
        <v>0</v>
      </c>
      <c r="AL16" s="6">
        <f>AJ16*4-AK16</f>
        <v>0</v>
      </c>
      <c r="AM16" s="7">
        <v>0</v>
      </c>
      <c r="AN16" s="8">
        <f>$B16*AM16/1000</f>
        <v>0</v>
      </c>
      <c r="AO16" s="6">
        <v>0</v>
      </c>
      <c r="AP16" s="6">
        <v>0</v>
      </c>
      <c r="AQ16" s="6">
        <f>AO16*4-AP16</f>
        <v>0</v>
      </c>
      <c r="AR16" s="7">
        <v>0</v>
      </c>
      <c r="AS16" s="8">
        <f>$B16*AR16/1000</f>
        <v>0</v>
      </c>
      <c r="AT16" s="6">
        <v>0</v>
      </c>
      <c r="AU16" s="6">
        <v>0</v>
      </c>
      <c r="AV16" s="6">
        <f>AT16*4-AU16</f>
        <v>0</v>
      </c>
      <c r="AW16" s="7">
        <v>0</v>
      </c>
      <c r="AX16" s="8">
        <f>$B16*AW16/1000</f>
        <v>0</v>
      </c>
      <c r="AY16" s="6">
        <v>0</v>
      </c>
      <c r="AZ16" s="6">
        <v>0</v>
      </c>
      <c r="BA16" s="6">
        <f>AY16*4-AZ16</f>
        <v>0</v>
      </c>
      <c r="BB16" s="7">
        <v>0</v>
      </c>
      <c r="BC16" s="8">
        <f>$B16*BB16/1000</f>
        <v>0</v>
      </c>
      <c r="BD16" s="6">
        <v>0</v>
      </c>
      <c r="BE16" s="6">
        <v>0</v>
      </c>
      <c r="BF16" s="6">
        <f>BD16*4-BE16</f>
        <v>0</v>
      </c>
      <c r="BG16" s="7">
        <v>0</v>
      </c>
      <c r="BH16" s="8">
        <f>$B16*BG16/1000</f>
        <v>0</v>
      </c>
      <c r="BI16" s="6">
        <v>0</v>
      </c>
      <c r="BJ16" s="6">
        <v>0</v>
      </c>
      <c r="BK16" s="6">
        <f>BI16*4-BJ16</f>
        <v>0</v>
      </c>
      <c r="BL16" s="7">
        <v>0</v>
      </c>
      <c r="BM16" s="8">
        <f>$B16*BL16/1000</f>
        <v>0</v>
      </c>
      <c r="BN16" s="6">
        <v>3</v>
      </c>
      <c r="BO16" s="6">
        <v>9</v>
      </c>
      <c r="BP16" s="6">
        <f>BN16*4-BO16</f>
        <v>3</v>
      </c>
      <c r="BQ16" s="7">
        <v>0</v>
      </c>
      <c r="BR16" s="8">
        <f>$B16*BQ16/1000</f>
        <v>0</v>
      </c>
    </row>
    <row r="17" ht="24" customHeight="1" spans="1:70" x14ac:dyDescent="0.25">
      <c r="A17" s="3" t="s">
        <v>100</v>
      </c>
      <c r="B17" s="4">
        <v>5</v>
      </c>
      <c r="C17" s="5" t="s">
        <v>101</v>
      </c>
      <c r="D17" s="6">
        <v>20</v>
      </c>
      <c r="E17" s="6">
        <v>232</v>
      </c>
      <c r="F17" s="6">
        <v>2</v>
      </c>
      <c r="G17" s="6">
        <v>19</v>
      </c>
      <c r="H17" s="6">
        <f>F17*4-G17</f>
        <v>-11</v>
      </c>
      <c r="I17" s="7">
        <v>0</v>
      </c>
      <c r="J17" s="8">
        <f>$B17*I17/1000</f>
        <v>0</v>
      </c>
      <c r="K17" s="6">
        <v>0</v>
      </c>
      <c r="L17" s="6">
        <v>0</v>
      </c>
      <c r="M17" s="6">
        <f>K17*4-L17</f>
        <v>0</v>
      </c>
      <c r="N17" s="7">
        <v>0</v>
      </c>
      <c r="O17" s="8">
        <f>$B17*N17/1000</f>
        <v>0</v>
      </c>
      <c r="P17" s="6">
        <v>4</v>
      </c>
      <c r="Q17" s="6">
        <v>141</v>
      </c>
      <c r="R17" s="6">
        <f>P17*4-Q17</f>
        <v>-125</v>
      </c>
      <c r="S17" s="7">
        <v>0</v>
      </c>
      <c r="T17" s="8">
        <f>$B17*S17/1000</f>
        <v>0</v>
      </c>
      <c r="U17" s="6">
        <v>6</v>
      </c>
      <c r="V17" s="6">
        <v>0</v>
      </c>
      <c r="W17" s="6">
        <f>U17*4-V17</f>
        <v>24</v>
      </c>
      <c r="X17" s="7">
        <v>0</v>
      </c>
      <c r="Y17" s="8">
        <f>$B17*X17/1000</f>
        <v>0</v>
      </c>
      <c r="Z17" s="6">
        <v>0</v>
      </c>
      <c r="AA17" s="6">
        <v>0</v>
      </c>
      <c r="AB17" s="6">
        <f>Z17*4-AA17</f>
        <v>0</v>
      </c>
      <c r="AC17" s="7">
        <v>0</v>
      </c>
      <c r="AD17" s="8">
        <f>$B17*AC17/1000</f>
        <v>0</v>
      </c>
      <c r="AE17" s="6">
        <v>8</v>
      </c>
      <c r="AF17" s="6">
        <v>72</v>
      </c>
      <c r="AG17" s="6">
        <f>AE17*4-AF17</f>
        <v>-40</v>
      </c>
      <c r="AH17" s="7">
        <v>0</v>
      </c>
      <c r="AI17" s="8">
        <f>$B17*AH17/1000</f>
        <v>0</v>
      </c>
      <c r="AJ17" s="6">
        <v>0</v>
      </c>
      <c r="AK17" s="6">
        <v>0</v>
      </c>
      <c r="AL17" s="6">
        <f>AJ17*4-AK17</f>
        <v>0</v>
      </c>
      <c r="AM17" s="7">
        <v>0</v>
      </c>
      <c r="AN17" s="8">
        <f>$B17*AM17/1000</f>
        <v>0</v>
      </c>
      <c r="AO17" s="6">
        <v>0</v>
      </c>
      <c r="AP17" s="6">
        <v>0</v>
      </c>
      <c r="AQ17" s="6">
        <f>AO17*4-AP17</f>
        <v>0</v>
      </c>
      <c r="AR17" s="7">
        <v>0</v>
      </c>
      <c r="AS17" s="8">
        <f>$B17*AR17/1000</f>
        <v>0</v>
      </c>
      <c r="AT17" s="6">
        <v>0</v>
      </c>
      <c r="AU17" s="6">
        <v>0</v>
      </c>
      <c r="AV17" s="6">
        <f>AT17*4-AU17</f>
        <v>0</v>
      </c>
      <c r="AW17" s="7">
        <v>0</v>
      </c>
      <c r="AX17" s="8">
        <f>$B17*AW17/1000</f>
        <v>0</v>
      </c>
      <c r="AY17" s="6">
        <v>0</v>
      </c>
      <c r="AZ17" s="6">
        <v>0</v>
      </c>
      <c r="BA17" s="6">
        <f>AY17*4-AZ17</f>
        <v>0</v>
      </c>
      <c r="BB17" s="7">
        <v>0</v>
      </c>
      <c r="BC17" s="8">
        <f>$B17*BB17/1000</f>
        <v>0</v>
      </c>
      <c r="BD17" s="6">
        <v>0</v>
      </c>
      <c r="BE17" s="6">
        <v>0</v>
      </c>
      <c r="BF17" s="6">
        <f>BD17*4-BE17</f>
        <v>0</v>
      </c>
      <c r="BG17" s="7">
        <v>0</v>
      </c>
      <c r="BH17" s="8">
        <f>$B17*BG17/1000</f>
        <v>0</v>
      </c>
      <c r="BI17" s="6">
        <v>0</v>
      </c>
      <c r="BJ17" s="6">
        <v>0</v>
      </c>
      <c r="BK17" s="6">
        <f>BI17*4-BJ17</f>
        <v>0</v>
      </c>
      <c r="BL17" s="7">
        <v>0</v>
      </c>
      <c r="BM17" s="8">
        <f>$B17*BL17/1000</f>
        <v>0</v>
      </c>
      <c r="BN17" s="6">
        <v>0</v>
      </c>
      <c r="BO17" s="6">
        <v>0</v>
      </c>
      <c r="BP17" s="6">
        <f>BN17*4-BO17</f>
        <v>0</v>
      </c>
      <c r="BQ17" s="7">
        <v>0</v>
      </c>
      <c r="BR17" s="8">
        <f>$B17*BQ17/1000</f>
        <v>0</v>
      </c>
    </row>
    <row r="18" ht="24" customHeight="1" spans="1:70" x14ac:dyDescent="0.25">
      <c r="A18" s="3" t="s">
        <v>102</v>
      </c>
      <c r="B18" s="4">
        <v>10</v>
      </c>
      <c r="C18" s="5" t="s">
        <v>103</v>
      </c>
      <c r="D18" s="6">
        <v>26</v>
      </c>
      <c r="E18" s="6">
        <v>254</v>
      </c>
      <c r="F18" s="6">
        <v>2</v>
      </c>
      <c r="G18" s="6">
        <v>35</v>
      </c>
      <c r="H18" s="6">
        <f>F18*4-G18</f>
        <v>-27</v>
      </c>
      <c r="I18" s="7">
        <v>0</v>
      </c>
      <c r="J18" s="8">
        <f>$B18*I18/1000</f>
        <v>0</v>
      </c>
      <c r="K18" s="6">
        <v>0</v>
      </c>
      <c r="L18" s="6">
        <v>0</v>
      </c>
      <c r="M18" s="6">
        <f>K18*4-L18</f>
        <v>0</v>
      </c>
      <c r="N18" s="7">
        <v>0</v>
      </c>
      <c r="O18" s="8">
        <f>$B18*N18/1000</f>
        <v>0</v>
      </c>
      <c r="P18" s="6">
        <v>19</v>
      </c>
      <c r="Q18" s="6">
        <v>126</v>
      </c>
      <c r="R18" s="6">
        <f>P18*4-Q18</f>
        <v>-50</v>
      </c>
      <c r="S18" s="7">
        <v>0</v>
      </c>
      <c r="T18" s="8">
        <f>$B18*S18/1000</f>
        <v>0</v>
      </c>
      <c r="U18" s="6">
        <v>0</v>
      </c>
      <c r="V18" s="6">
        <v>0</v>
      </c>
      <c r="W18" s="6">
        <f>U18*4-V18</f>
        <v>0</v>
      </c>
      <c r="X18" s="7">
        <v>0</v>
      </c>
      <c r="Y18" s="8">
        <f>$B18*X18/1000</f>
        <v>0</v>
      </c>
      <c r="Z18" s="6">
        <v>0</v>
      </c>
      <c r="AA18" s="6">
        <v>0</v>
      </c>
      <c r="AB18" s="6">
        <f>Z18*4-AA18</f>
        <v>0</v>
      </c>
      <c r="AC18" s="7">
        <v>0</v>
      </c>
      <c r="AD18" s="8">
        <f>$B18*AC18/1000</f>
        <v>0</v>
      </c>
      <c r="AE18" s="6">
        <v>3</v>
      </c>
      <c r="AF18" s="6">
        <v>77</v>
      </c>
      <c r="AG18" s="6">
        <f>AE18*4-AF18</f>
        <v>-65</v>
      </c>
      <c r="AH18" s="7">
        <v>0</v>
      </c>
      <c r="AI18" s="8">
        <f>$B18*AH18/1000</f>
        <v>0</v>
      </c>
      <c r="AJ18" s="6">
        <v>0</v>
      </c>
      <c r="AK18" s="6">
        <v>0</v>
      </c>
      <c r="AL18" s="6">
        <f>AJ18*4-AK18</f>
        <v>0</v>
      </c>
      <c r="AM18" s="7">
        <v>0</v>
      </c>
      <c r="AN18" s="8">
        <f>$B18*AM18/1000</f>
        <v>0</v>
      </c>
      <c r="AO18" s="6">
        <v>0</v>
      </c>
      <c r="AP18" s="6">
        <v>0</v>
      </c>
      <c r="AQ18" s="6">
        <f>AO18*4-AP18</f>
        <v>0</v>
      </c>
      <c r="AR18" s="7">
        <v>0</v>
      </c>
      <c r="AS18" s="8">
        <f>$B18*AR18/1000</f>
        <v>0</v>
      </c>
      <c r="AT18" s="6">
        <v>0</v>
      </c>
      <c r="AU18" s="6">
        <v>0</v>
      </c>
      <c r="AV18" s="6">
        <f>AT18*4-AU18</f>
        <v>0</v>
      </c>
      <c r="AW18" s="7">
        <v>0</v>
      </c>
      <c r="AX18" s="8">
        <f>$B18*AW18/1000</f>
        <v>0</v>
      </c>
      <c r="AY18" s="6">
        <v>0</v>
      </c>
      <c r="AZ18" s="6">
        <v>0</v>
      </c>
      <c r="BA18" s="6">
        <f>AY18*4-AZ18</f>
        <v>0</v>
      </c>
      <c r="BB18" s="7">
        <v>0</v>
      </c>
      <c r="BC18" s="8">
        <f>$B18*BB18/1000</f>
        <v>0</v>
      </c>
      <c r="BD18" s="6">
        <v>0</v>
      </c>
      <c r="BE18" s="6">
        <v>0</v>
      </c>
      <c r="BF18" s="6">
        <f>BD18*4-BE18</f>
        <v>0</v>
      </c>
      <c r="BG18" s="7">
        <v>0</v>
      </c>
      <c r="BH18" s="8">
        <f>$B18*BG18/1000</f>
        <v>0</v>
      </c>
      <c r="BI18" s="6">
        <v>0</v>
      </c>
      <c r="BJ18" s="6">
        <v>0</v>
      </c>
      <c r="BK18" s="6">
        <f>BI18*4-BJ18</f>
        <v>0</v>
      </c>
      <c r="BL18" s="7">
        <v>0</v>
      </c>
      <c r="BM18" s="8">
        <f>$B18*BL18/1000</f>
        <v>0</v>
      </c>
      <c r="BN18" s="6">
        <v>2</v>
      </c>
      <c r="BO18" s="6">
        <v>16</v>
      </c>
      <c r="BP18" s="6">
        <f>BN18*4-BO18</f>
        <v>-8</v>
      </c>
      <c r="BQ18" s="7">
        <v>0</v>
      </c>
      <c r="BR18" s="8">
        <f>$B18*BQ18/1000</f>
        <v>0</v>
      </c>
    </row>
    <row r="19" ht="24" customHeight="1" spans="1:70" x14ac:dyDescent="0.25">
      <c r="A19" s="3" t="s">
        <v>104</v>
      </c>
      <c r="B19" s="4">
        <v>5</v>
      </c>
      <c r="C19" s="5" t="s">
        <v>105</v>
      </c>
      <c r="D19" s="6">
        <v>242</v>
      </c>
      <c r="E19" s="6">
        <v>1464</v>
      </c>
      <c r="F19" s="6">
        <v>25</v>
      </c>
      <c r="G19" s="6">
        <v>268</v>
      </c>
      <c r="H19" s="6">
        <f>F19*4-G19</f>
        <v>-168</v>
      </c>
      <c r="I19" s="7">
        <v>0</v>
      </c>
      <c r="J19" s="8">
        <f>$B19*I19/1000</f>
        <v>0</v>
      </c>
      <c r="K19" s="6">
        <v>10</v>
      </c>
      <c r="L19" s="6">
        <v>18</v>
      </c>
      <c r="M19" s="6">
        <f>K19*4-L19</f>
        <v>22</v>
      </c>
      <c r="N19" s="7">
        <v>0</v>
      </c>
      <c r="O19" s="8">
        <f>$B19*N19/1000</f>
        <v>0</v>
      </c>
      <c r="P19" s="6">
        <v>150</v>
      </c>
      <c r="Q19" s="6">
        <v>998</v>
      </c>
      <c r="R19" s="6">
        <f>P19*4-Q19</f>
        <v>-398</v>
      </c>
      <c r="S19" s="7">
        <v>0</v>
      </c>
      <c r="T19" s="8">
        <f>$B19*S19/1000</f>
        <v>0</v>
      </c>
      <c r="U19" s="6">
        <v>11</v>
      </c>
      <c r="V19" s="6">
        <v>51</v>
      </c>
      <c r="W19" s="6">
        <f>U19*4-V19</f>
        <v>-7</v>
      </c>
      <c r="X19" s="7">
        <v>0</v>
      </c>
      <c r="Y19" s="8">
        <f>$B19*X19/1000</f>
        <v>0</v>
      </c>
      <c r="Z19" s="6">
        <v>0</v>
      </c>
      <c r="AA19" s="6">
        <v>0</v>
      </c>
      <c r="AB19" s="6">
        <f>Z19*4-AA19</f>
        <v>0</v>
      </c>
      <c r="AC19" s="7">
        <v>0</v>
      </c>
      <c r="AD19" s="8">
        <f>$B19*AC19/1000</f>
        <v>0</v>
      </c>
      <c r="AE19" s="6">
        <v>12</v>
      </c>
      <c r="AF19" s="6">
        <v>91</v>
      </c>
      <c r="AG19" s="6">
        <f>AE19*4-AF19</f>
        <v>-43</v>
      </c>
      <c r="AH19" s="7">
        <v>0</v>
      </c>
      <c r="AI19" s="8">
        <f>$B19*AH19/1000</f>
        <v>0</v>
      </c>
      <c r="AJ19" s="6">
        <v>4</v>
      </c>
      <c r="AK19" s="6">
        <v>34</v>
      </c>
      <c r="AL19" s="6">
        <f>AJ19*4-AK19</f>
        <v>-18</v>
      </c>
      <c r="AM19" s="7">
        <v>0</v>
      </c>
      <c r="AN19" s="8">
        <f>$B19*AM19/1000</f>
        <v>0</v>
      </c>
      <c r="AO19" s="6">
        <v>0</v>
      </c>
      <c r="AP19" s="6">
        <v>0</v>
      </c>
      <c r="AQ19" s="6">
        <f>AO19*4-AP19</f>
        <v>0</v>
      </c>
      <c r="AR19" s="7">
        <v>0</v>
      </c>
      <c r="AS19" s="8">
        <f>$B19*AR19/1000</f>
        <v>0</v>
      </c>
      <c r="AT19" s="6">
        <v>0</v>
      </c>
      <c r="AU19" s="6">
        <v>0</v>
      </c>
      <c r="AV19" s="6">
        <f>AT19*4-AU19</f>
        <v>0</v>
      </c>
      <c r="AW19" s="7">
        <v>0</v>
      </c>
      <c r="AX19" s="8">
        <f>$B19*AW19/1000</f>
        <v>0</v>
      </c>
      <c r="AY19" s="6">
        <v>0</v>
      </c>
      <c r="AZ19" s="6">
        <v>0</v>
      </c>
      <c r="BA19" s="6">
        <f>AY19*4-AZ19</f>
        <v>0</v>
      </c>
      <c r="BB19" s="7">
        <v>0</v>
      </c>
      <c r="BC19" s="8">
        <f>$B19*BB19/1000</f>
        <v>0</v>
      </c>
      <c r="BD19" s="6">
        <v>0</v>
      </c>
      <c r="BE19" s="6">
        <v>0</v>
      </c>
      <c r="BF19" s="6">
        <f>BD19*4-BE19</f>
        <v>0</v>
      </c>
      <c r="BG19" s="7">
        <v>0</v>
      </c>
      <c r="BH19" s="8">
        <f>$B19*BG19/1000</f>
        <v>0</v>
      </c>
      <c r="BI19" s="6">
        <v>0</v>
      </c>
      <c r="BJ19" s="6">
        <v>0</v>
      </c>
      <c r="BK19" s="6">
        <f>BI19*4-BJ19</f>
        <v>0</v>
      </c>
      <c r="BL19" s="7">
        <v>0</v>
      </c>
      <c r="BM19" s="8">
        <f>$B19*BL19/1000</f>
        <v>0</v>
      </c>
      <c r="BN19" s="6">
        <v>30</v>
      </c>
      <c r="BO19" s="6">
        <v>4</v>
      </c>
      <c r="BP19" s="6">
        <f>BN19*4-BO19</f>
        <v>116</v>
      </c>
      <c r="BQ19" s="7">
        <v>0</v>
      </c>
      <c r="BR19" s="8">
        <f>$B19*BQ19/1000</f>
        <v>0</v>
      </c>
    </row>
    <row r="20" ht="24" customHeight="1" spans="1:70" x14ac:dyDescent="0.25">
      <c r="A20" s="3" t="s">
        <v>106</v>
      </c>
      <c r="B20" s="4">
        <v>10</v>
      </c>
      <c r="C20" s="5" t="s">
        <v>107</v>
      </c>
      <c r="D20" s="6">
        <v>794</v>
      </c>
      <c r="E20" s="6">
        <v>2515</v>
      </c>
      <c r="F20" s="6">
        <v>82</v>
      </c>
      <c r="G20" s="6">
        <v>183</v>
      </c>
      <c r="H20" s="6">
        <f>F20*4-G20</f>
        <v>145</v>
      </c>
      <c r="I20" s="7">
        <v>0</v>
      </c>
      <c r="J20" s="8">
        <f>$B20*I20/1000</f>
        <v>0</v>
      </c>
      <c r="K20" s="6">
        <v>46</v>
      </c>
      <c r="L20" s="6">
        <v>4</v>
      </c>
      <c r="M20" s="6">
        <f>K20*4-L20</f>
        <v>180</v>
      </c>
      <c r="N20" s="7">
        <v>0</v>
      </c>
      <c r="O20" s="8">
        <f>$B20*N20/1000</f>
        <v>0</v>
      </c>
      <c r="P20" s="6">
        <v>539</v>
      </c>
      <c r="Q20" s="6">
        <v>1817</v>
      </c>
      <c r="R20" s="6">
        <f>P20*4-Q20</f>
        <v>339</v>
      </c>
      <c r="S20" s="7">
        <v>0</v>
      </c>
      <c r="T20" s="8">
        <f>$B20*S20/1000</f>
        <v>0</v>
      </c>
      <c r="U20" s="6">
        <v>34</v>
      </c>
      <c r="V20" s="6">
        <v>29</v>
      </c>
      <c r="W20" s="6">
        <f>U20*4-V20</f>
        <v>107</v>
      </c>
      <c r="X20" s="7">
        <v>0</v>
      </c>
      <c r="Y20" s="8">
        <f>$B20*X20/1000</f>
        <v>0</v>
      </c>
      <c r="Z20" s="6">
        <v>0</v>
      </c>
      <c r="AA20" s="6">
        <v>0</v>
      </c>
      <c r="AB20" s="6">
        <f>Z20*4-AA20</f>
        <v>0</v>
      </c>
      <c r="AC20" s="7">
        <v>0</v>
      </c>
      <c r="AD20" s="8">
        <f>$B20*AC20/1000</f>
        <v>0</v>
      </c>
      <c r="AE20" s="6">
        <v>90</v>
      </c>
      <c r="AF20" s="6">
        <v>409</v>
      </c>
      <c r="AG20" s="6">
        <f>AE20*4-AF20</f>
        <v>-49</v>
      </c>
      <c r="AH20" s="7">
        <v>0</v>
      </c>
      <c r="AI20" s="8">
        <f>$B20*AH20/1000</f>
        <v>0</v>
      </c>
      <c r="AJ20" s="6">
        <v>3</v>
      </c>
      <c r="AK20" s="6">
        <v>73</v>
      </c>
      <c r="AL20" s="6">
        <f>AJ20*4-AK20</f>
        <v>-61</v>
      </c>
      <c r="AM20" s="7">
        <v>0</v>
      </c>
      <c r="AN20" s="8">
        <f>$B20*AM20/1000</f>
        <v>0</v>
      </c>
      <c r="AO20" s="6">
        <v>0</v>
      </c>
      <c r="AP20" s="6">
        <v>0</v>
      </c>
      <c r="AQ20" s="6">
        <f>AO20*4-AP20</f>
        <v>0</v>
      </c>
      <c r="AR20" s="7">
        <v>0</v>
      </c>
      <c r="AS20" s="8">
        <f>$B20*AR20/1000</f>
        <v>0</v>
      </c>
      <c r="AT20" s="6">
        <v>0</v>
      </c>
      <c r="AU20" s="6">
        <v>0</v>
      </c>
      <c r="AV20" s="6">
        <f>AT20*4-AU20</f>
        <v>0</v>
      </c>
      <c r="AW20" s="7">
        <v>0</v>
      </c>
      <c r="AX20" s="8">
        <f>$B20*AW20/1000</f>
        <v>0</v>
      </c>
      <c r="AY20" s="6">
        <v>0</v>
      </c>
      <c r="AZ20" s="6">
        <v>0</v>
      </c>
      <c r="BA20" s="6">
        <f>AY20*4-AZ20</f>
        <v>0</v>
      </c>
      <c r="BB20" s="7">
        <v>0</v>
      </c>
      <c r="BC20" s="8">
        <f>$B20*BB20/1000</f>
        <v>0</v>
      </c>
      <c r="BD20" s="6">
        <v>0</v>
      </c>
      <c r="BE20" s="6">
        <v>0</v>
      </c>
      <c r="BF20" s="6">
        <f>BD20*4-BE20</f>
        <v>0</v>
      </c>
      <c r="BG20" s="7">
        <v>0</v>
      </c>
      <c r="BH20" s="8">
        <f>$B20*BG20/1000</f>
        <v>0</v>
      </c>
      <c r="BI20" s="6">
        <v>0</v>
      </c>
      <c r="BJ20" s="6">
        <v>0</v>
      </c>
      <c r="BK20" s="6">
        <f>BI20*4-BJ20</f>
        <v>0</v>
      </c>
      <c r="BL20" s="7">
        <v>0</v>
      </c>
      <c r="BM20" s="8">
        <f>$B20*BL20/1000</f>
        <v>0</v>
      </c>
      <c r="BN20" s="6">
        <v>0</v>
      </c>
      <c r="BO20" s="6">
        <v>0</v>
      </c>
      <c r="BP20" s="6">
        <f>BN20*4-BO20</f>
        <v>0</v>
      </c>
      <c r="BQ20" s="7">
        <v>0</v>
      </c>
      <c r="BR20" s="8">
        <f>$B20*BQ20/1000</f>
        <v>0</v>
      </c>
    </row>
    <row r="21" ht="24" customHeight="1" spans="1:70" x14ac:dyDescent="0.25">
      <c r="A21" s="3" t="s">
        <v>108</v>
      </c>
      <c r="B21" s="4">
        <v>5</v>
      </c>
      <c r="C21" s="5" t="s">
        <v>109</v>
      </c>
      <c r="D21" s="6">
        <v>0</v>
      </c>
      <c r="E21" s="6">
        <v>0</v>
      </c>
      <c r="F21" s="6">
        <v>0</v>
      </c>
      <c r="G21" s="6">
        <v>0</v>
      </c>
      <c r="H21" s="6">
        <f>F21*4-G21</f>
        <v>0</v>
      </c>
      <c r="I21" s="7">
        <v>0</v>
      </c>
      <c r="J21" s="8">
        <f>$B21*I21/1000</f>
        <v>0</v>
      </c>
      <c r="K21" s="6">
        <v>0</v>
      </c>
      <c r="L21" s="6">
        <v>0</v>
      </c>
      <c r="M21" s="6">
        <f>K21*4-L21</f>
        <v>0</v>
      </c>
      <c r="N21" s="7">
        <v>0</v>
      </c>
      <c r="O21" s="8">
        <f>$B21*N21/1000</f>
        <v>0</v>
      </c>
      <c r="P21" s="6">
        <v>0</v>
      </c>
      <c r="Q21" s="6">
        <v>0</v>
      </c>
      <c r="R21" s="6">
        <f>P21*4-Q21</f>
        <v>0</v>
      </c>
      <c r="S21" s="7">
        <v>0</v>
      </c>
      <c r="T21" s="8">
        <f>$B21*S21/1000</f>
        <v>0</v>
      </c>
      <c r="U21" s="6">
        <v>0</v>
      </c>
      <c r="V21" s="6">
        <v>0</v>
      </c>
      <c r="W21" s="6">
        <f>U21*4-V21</f>
        <v>0</v>
      </c>
      <c r="X21" s="7">
        <v>0</v>
      </c>
      <c r="Y21" s="8">
        <f>$B21*X21/1000</f>
        <v>0</v>
      </c>
      <c r="Z21" s="6">
        <v>0</v>
      </c>
      <c r="AA21" s="6">
        <v>0</v>
      </c>
      <c r="AB21" s="6">
        <f>Z21*4-AA21</f>
        <v>0</v>
      </c>
      <c r="AC21" s="7">
        <v>0</v>
      </c>
      <c r="AD21" s="8">
        <f>$B21*AC21/1000</f>
        <v>0</v>
      </c>
      <c r="AE21" s="6">
        <v>0</v>
      </c>
      <c r="AF21" s="6">
        <v>0</v>
      </c>
      <c r="AG21" s="6">
        <f>AE21*4-AF21</f>
        <v>0</v>
      </c>
      <c r="AH21" s="7">
        <v>0</v>
      </c>
      <c r="AI21" s="8">
        <f>$B21*AH21/1000</f>
        <v>0</v>
      </c>
      <c r="AJ21" s="6">
        <v>0</v>
      </c>
      <c r="AK21" s="6">
        <v>0</v>
      </c>
      <c r="AL21" s="6">
        <f>AJ21*4-AK21</f>
        <v>0</v>
      </c>
      <c r="AM21" s="7">
        <v>0</v>
      </c>
      <c r="AN21" s="8">
        <f>$B21*AM21/1000</f>
        <v>0</v>
      </c>
      <c r="AO21" s="6">
        <v>0</v>
      </c>
      <c r="AP21" s="6">
        <v>0</v>
      </c>
      <c r="AQ21" s="6">
        <f>AO21*4-AP21</f>
        <v>0</v>
      </c>
      <c r="AR21" s="7">
        <v>0</v>
      </c>
      <c r="AS21" s="8">
        <f>$B21*AR21/1000</f>
        <v>0</v>
      </c>
      <c r="AT21" s="6">
        <v>0</v>
      </c>
      <c r="AU21" s="6">
        <v>0</v>
      </c>
      <c r="AV21" s="6">
        <f>AT21*4-AU21</f>
        <v>0</v>
      </c>
      <c r="AW21" s="7">
        <v>0</v>
      </c>
      <c r="AX21" s="8">
        <f>$B21*AW21/1000</f>
        <v>0</v>
      </c>
      <c r="AY21" s="6">
        <v>0</v>
      </c>
      <c r="AZ21" s="6">
        <v>0</v>
      </c>
      <c r="BA21" s="6">
        <f>AY21*4-AZ21</f>
        <v>0</v>
      </c>
      <c r="BB21" s="7">
        <v>0</v>
      </c>
      <c r="BC21" s="8">
        <f>$B21*BB21/1000</f>
        <v>0</v>
      </c>
      <c r="BD21" s="6">
        <v>0</v>
      </c>
      <c r="BE21" s="6">
        <v>0</v>
      </c>
      <c r="BF21" s="6">
        <f>BD21*4-BE21</f>
        <v>0</v>
      </c>
      <c r="BG21" s="7">
        <v>0</v>
      </c>
      <c r="BH21" s="8">
        <f>$B21*BG21/1000</f>
        <v>0</v>
      </c>
      <c r="BI21" s="6">
        <v>0</v>
      </c>
      <c r="BJ21" s="6">
        <v>0</v>
      </c>
      <c r="BK21" s="6">
        <f>BI21*4-BJ21</f>
        <v>0</v>
      </c>
      <c r="BL21" s="7">
        <v>0</v>
      </c>
      <c r="BM21" s="8">
        <f>$B21*BL21/1000</f>
        <v>0</v>
      </c>
      <c r="BN21" s="6">
        <v>0</v>
      </c>
      <c r="BO21" s="6">
        <v>0</v>
      </c>
      <c r="BP21" s="6">
        <f>BN21*4-BO21</f>
        <v>0</v>
      </c>
      <c r="BQ21" s="7">
        <v>0</v>
      </c>
      <c r="BR21" s="8">
        <f>$B21*BQ21/1000</f>
        <v>0</v>
      </c>
    </row>
    <row r="22" ht="24" customHeight="1" spans="1:70" x14ac:dyDescent="0.25">
      <c r="A22" s="3" t="s">
        <v>110</v>
      </c>
      <c r="B22" s="4">
        <v>5</v>
      </c>
      <c r="C22" s="5" t="s">
        <v>111</v>
      </c>
      <c r="D22" s="6">
        <v>1064</v>
      </c>
      <c r="E22" s="6">
        <v>4746</v>
      </c>
      <c r="F22" s="6">
        <v>39</v>
      </c>
      <c r="G22" s="6">
        <v>554</v>
      </c>
      <c r="H22" s="6">
        <f>F22*4-G22</f>
        <v>-398</v>
      </c>
      <c r="I22" s="7">
        <v>0</v>
      </c>
      <c r="J22" s="8">
        <f>$B22*I22/1000</f>
        <v>0</v>
      </c>
      <c r="K22" s="6">
        <v>9</v>
      </c>
      <c r="L22" s="6">
        <v>69</v>
      </c>
      <c r="M22" s="6">
        <f>K22*4-L22</f>
        <v>-33</v>
      </c>
      <c r="N22" s="7">
        <v>0</v>
      </c>
      <c r="O22" s="8">
        <f>$B22*N22/1000</f>
        <v>0</v>
      </c>
      <c r="P22" s="6">
        <v>961</v>
      </c>
      <c r="Q22" s="6">
        <v>3615</v>
      </c>
      <c r="R22" s="6">
        <f>P22*4-Q22</f>
        <v>229</v>
      </c>
      <c r="S22" s="7">
        <v>0</v>
      </c>
      <c r="T22" s="8">
        <f>$B22*S22/1000</f>
        <v>0</v>
      </c>
      <c r="U22" s="6">
        <v>12</v>
      </c>
      <c r="V22" s="6">
        <v>64</v>
      </c>
      <c r="W22" s="6">
        <f>U22*4-V22</f>
        <v>-16</v>
      </c>
      <c r="X22" s="7">
        <v>0</v>
      </c>
      <c r="Y22" s="8">
        <f>$B22*X22/1000</f>
        <v>0</v>
      </c>
      <c r="Z22" s="6">
        <v>0</v>
      </c>
      <c r="AA22" s="6">
        <v>0</v>
      </c>
      <c r="AB22" s="6">
        <f>Z22*4-AA22</f>
        <v>0</v>
      </c>
      <c r="AC22" s="7">
        <v>0</v>
      </c>
      <c r="AD22" s="8">
        <f>$B22*AC22/1000</f>
        <v>0</v>
      </c>
      <c r="AE22" s="6">
        <v>25</v>
      </c>
      <c r="AF22" s="6">
        <v>218</v>
      </c>
      <c r="AG22" s="6">
        <f>AE22*4-AF22</f>
        <v>-118</v>
      </c>
      <c r="AH22" s="7">
        <v>0</v>
      </c>
      <c r="AI22" s="8">
        <f>$B22*AH22/1000</f>
        <v>0</v>
      </c>
      <c r="AJ22" s="6">
        <v>8</v>
      </c>
      <c r="AK22" s="6">
        <v>191</v>
      </c>
      <c r="AL22" s="6">
        <f>AJ22*4-AK22</f>
        <v>-159</v>
      </c>
      <c r="AM22" s="7">
        <v>0</v>
      </c>
      <c r="AN22" s="8">
        <f>$B22*AM22/1000</f>
        <v>0</v>
      </c>
      <c r="AO22" s="6">
        <v>0</v>
      </c>
      <c r="AP22" s="6">
        <v>0</v>
      </c>
      <c r="AQ22" s="6">
        <f>AO22*4-AP22</f>
        <v>0</v>
      </c>
      <c r="AR22" s="7">
        <v>0</v>
      </c>
      <c r="AS22" s="8">
        <f>$B22*AR22/1000</f>
        <v>0</v>
      </c>
      <c r="AT22" s="6">
        <v>0</v>
      </c>
      <c r="AU22" s="6">
        <v>0</v>
      </c>
      <c r="AV22" s="6">
        <f>AT22*4-AU22</f>
        <v>0</v>
      </c>
      <c r="AW22" s="7">
        <v>0</v>
      </c>
      <c r="AX22" s="8">
        <f>$B22*AW22/1000</f>
        <v>0</v>
      </c>
      <c r="AY22" s="6">
        <v>0</v>
      </c>
      <c r="AZ22" s="6">
        <v>0</v>
      </c>
      <c r="BA22" s="6">
        <f>AY22*4-AZ22</f>
        <v>0</v>
      </c>
      <c r="BB22" s="7">
        <v>0</v>
      </c>
      <c r="BC22" s="8">
        <f>$B22*BB22/1000</f>
        <v>0</v>
      </c>
      <c r="BD22" s="6">
        <v>0</v>
      </c>
      <c r="BE22" s="6">
        <v>0</v>
      </c>
      <c r="BF22" s="6">
        <f>BD22*4-BE22</f>
        <v>0</v>
      </c>
      <c r="BG22" s="7">
        <v>0</v>
      </c>
      <c r="BH22" s="8">
        <f>$B22*BG22/1000</f>
        <v>0</v>
      </c>
      <c r="BI22" s="6">
        <v>0</v>
      </c>
      <c r="BJ22" s="6">
        <v>0</v>
      </c>
      <c r="BK22" s="6">
        <f>BI22*4-BJ22</f>
        <v>0</v>
      </c>
      <c r="BL22" s="7">
        <v>0</v>
      </c>
      <c r="BM22" s="8">
        <f>$B22*BL22/1000</f>
        <v>0</v>
      </c>
      <c r="BN22" s="6">
        <v>10</v>
      </c>
      <c r="BO22" s="6">
        <v>35</v>
      </c>
      <c r="BP22" s="6">
        <f>BN22*4-BO22</f>
        <v>5</v>
      </c>
      <c r="BQ22" s="7">
        <v>0</v>
      </c>
      <c r="BR22" s="8">
        <f>$B22*BQ22/1000</f>
        <v>0</v>
      </c>
    </row>
    <row r="23" ht="24" customHeight="1" spans="1:70" x14ac:dyDescent="0.25">
      <c r="A23" s="3" t="s">
        <v>112</v>
      </c>
      <c r="B23" s="4">
        <v>10</v>
      </c>
      <c r="C23" s="5" t="s">
        <v>113</v>
      </c>
      <c r="D23" s="6">
        <v>2734</v>
      </c>
      <c r="E23" s="6">
        <v>5603</v>
      </c>
      <c r="F23" s="6">
        <v>169</v>
      </c>
      <c r="G23" s="6">
        <v>485</v>
      </c>
      <c r="H23" s="6">
        <f>F23*4-G23</f>
        <v>191</v>
      </c>
      <c r="I23" s="7">
        <v>0</v>
      </c>
      <c r="J23" s="8">
        <f>$B23*I23/1000</f>
        <v>0</v>
      </c>
      <c r="K23" s="6">
        <v>86</v>
      </c>
      <c r="L23" s="6">
        <v>89</v>
      </c>
      <c r="M23" s="6">
        <f>K23*4-L23</f>
        <v>255</v>
      </c>
      <c r="N23" s="7">
        <v>0</v>
      </c>
      <c r="O23" s="8">
        <f>$B23*N23/1000</f>
        <v>0</v>
      </c>
      <c r="P23" s="6">
        <v>2044</v>
      </c>
      <c r="Q23" s="6">
        <v>3109</v>
      </c>
      <c r="R23" s="6">
        <f>P23*4-Q23</f>
        <v>5067</v>
      </c>
      <c r="S23" s="7">
        <v>0</v>
      </c>
      <c r="T23" s="8">
        <f>$B23*S23/1000</f>
        <v>0</v>
      </c>
      <c r="U23" s="6">
        <v>47</v>
      </c>
      <c r="V23" s="6">
        <v>195</v>
      </c>
      <c r="W23" s="6">
        <f>U23*4-V23</f>
        <v>-7</v>
      </c>
      <c r="X23" s="7">
        <v>0</v>
      </c>
      <c r="Y23" s="8">
        <f>$B23*X23/1000</f>
        <v>0</v>
      </c>
      <c r="Z23" s="6">
        <v>0</v>
      </c>
      <c r="AA23" s="6">
        <v>0</v>
      </c>
      <c r="AB23" s="6">
        <f>Z23*4-AA23</f>
        <v>0</v>
      </c>
      <c r="AC23" s="7">
        <v>0</v>
      </c>
      <c r="AD23" s="8">
        <f>$B23*AC23/1000</f>
        <v>0</v>
      </c>
      <c r="AE23" s="6">
        <v>212</v>
      </c>
      <c r="AF23" s="6">
        <v>929</v>
      </c>
      <c r="AG23" s="6">
        <f>AE23*4-AF23</f>
        <v>-81</v>
      </c>
      <c r="AH23" s="7">
        <v>0</v>
      </c>
      <c r="AI23" s="8">
        <f>$B23*AH23/1000</f>
        <v>0</v>
      </c>
      <c r="AJ23" s="6">
        <v>5</v>
      </c>
      <c r="AK23" s="6">
        <v>186</v>
      </c>
      <c r="AL23" s="6">
        <f>AJ23*4-AK23</f>
        <v>-166</v>
      </c>
      <c r="AM23" s="7">
        <v>0</v>
      </c>
      <c r="AN23" s="8">
        <f>$B23*AM23/1000</f>
        <v>0</v>
      </c>
      <c r="AO23" s="6">
        <v>0</v>
      </c>
      <c r="AP23" s="6">
        <v>0</v>
      </c>
      <c r="AQ23" s="6">
        <f>AO23*4-AP23</f>
        <v>0</v>
      </c>
      <c r="AR23" s="7">
        <v>0</v>
      </c>
      <c r="AS23" s="8">
        <f>$B23*AR23/1000</f>
        <v>0</v>
      </c>
      <c r="AT23" s="6">
        <v>0</v>
      </c>
      <c r="AU23" s="6">
        <v>0</v>
      </c>
      <c r="AV23" s="6">
        <f>AT23*4-AU23</f>
        <v>0</v>
      </c>
      <c r="AW23" s="7">
        <v>0</v>
      </c>
      <c r="AX23" s="8">
        <f>$B23*AW23/1000</f>
        <v>0</v>
      </c>
      <c r="AY23" s="6">
        <v>0</v>
      </c>
      <c r="AZ23" s="6">
        <v>0</v>
      </c>
      <c r="BA23" s="6">
        <f>AY23*4-AZ23</f>
        <v>0</v>
      </c>
      <c r="BB23" s="7">
        <v>0</v>
      </c>
      <c r="BC23" s="8">
        <f>$B23*BB23/1000</f>
        <v>0</v>
      </c>
      <c r="BD23" s="6">
        <v>0</v>
      </c>
      <c r="BE23" s="6">
        <v>0</v>
      </c>
      <c r="BF23" s="6">
        <f>BD23*4-BE23</f>
        <v>0</v>
      </c>
      <c r="BG23" s="7">
        <v>0</v>
      </c>
      <c r="BH23" s="8">
        <f>$B23*BG23/1000</f>
        <v>0</v>
      </c>
      <c r="BI23" s="6">
        <v>0</v>
      </c>
      <c r="BJ23" s="6">
        <v>0</v>
      </c>
      <c r="BK23" s="6">
        <f>BI23*4-BJ23</f>
        <v>0</v>
      </c>
      <c r="BL23" s="7">
        <v>0</v>
      </c>
      <c r="BM23" s="8">
        <f>$B23*BL23/1000</f>
        <v>0</v>
      </c>
      <c r="BN23" s="6">
        <v>169</v>
      </c>
      <c r="BO23" s="6">
        <v>606</v>
      </c>
      <c r="BP23" s="6">
        <f>BN23*4-BO23</f>
        <v>70</v>
      </c>
      <c r="BQ23" s="7">
        <v>0</v>
      </c>
      <c r="BR23" s="8">
        <f>$B23*BQ23/1000</f>
        <v>0</v>
      </c>
    </row>
    <row r="24" ht="24" customHeight="1" spans="1:70" x14ac:dyDescent="0.25">
      <c r="A24" s="3" t="s">
        <v>114</v>
      </c>
      <c r="B24" s="4">
        <v>10</v>
      </c>
      <c r="C24" s="5" t="s">
        <v>115</v>
      </c>
      <c r="D24" s="6">
        <v>0</v>
      </c>
      <c r="E24" s="6">
        <v>0</v>
      </c>
      <c r="F24" s="6">
        <v>0</v>
      </c>
      <c r="G24" s="6">
        <v>0</v>
      </c>
      <c r="H24" s="6">
        <f>F24*4-G24</f>
        <v>0</v>
      </c>
      <c r="I24" s="7">
        <v>0</v>
      </c>
      <c r="J24" s="8">
        <f>$B24*I24/1000</f>
        <v>0</v>
      </c>
      <c r="K24" s="6">
        <v>0</v>
      </c>
      <c r="L24" s="6">
        <v>0</v>
      </c>
      <c r="M24" s="6">
        <f>K24*4-L24</f>
        <v>0</v>
      </c>
      <c r="N24" s="7">
        <v>0</v>
      </c>
      <c r="O24" s="8">
        <f>$B24*N24/1000</f>
        <v>0</v>
      </c>
      <c r="P24" s="6">
        <v>0</v>
      </c>
      <c r="Q24" s="6">
        <v>0</v>
      </c>
      <c r="R24" s="6">
        <f>P24*4-Q24</f>
        <v>0</v>
      </c>
      <c r="S24" s="7">
        <v>0</v>
      </c>
      <c r="T24" s="8">
        <f>$B24*S24/1000</f>
        <v>0</v>
      </c>
      <c r="U24" s="6">
        <v>0</v>
      </c>
      <c r="V24" s="6">
        <v>0</v>
      </c>
      <c r="W24" s="6">
        <f>U24*4-V24</f>
        <v>0</v>
      </c>
      <c r="X24" s="7">
        <v>0</v>
      </c>
      <c r="Y24" s="8">
        <f>$B24*X24/1000</f>
        <v>0</v>
      </c>
      <c r="Z24" s="6">
        <v>0</v>
      </c>
      <c r="AA24" s="6">
        <v>0</v>
      </c>
      <c r="AB24" s="6">
        <f>Z24*4-AA24</f>
        <v>0</v>
      </c>
      <c r="AC24" s="7">
        <v>0</v>
      </c>
      <c r="AD24" s="8">
        <f>$B24*AC24/1000</f>
        <v>0</v>
      </c>
      <c r="AE24" s="6">
        <v>0</v>
      </c>
      <c r="AF24" s="6">
        <v>0</v>
      </c>
      <c r="AG24" s="6">
        <f>AE24*4-AF24</f>
        <v>0</v>
      </c>
      <c r="AH24" s="7">
        <v>0</v>
      </c>
      <c r="AI24" s="8">
        <f>$B24*AH24/1000</f>
        <v>0</v>
      </c>
      <c r="AJ24" s="6">
        <v>0</v>
      </c>
      <c r="AK24" s="6">
        <v>0</v>
      </c>
      <c r="AL24" s="6">
        <f>AJ24*4-AK24</f>
        <v>0</v>
      </c>
      <c r="AM24" s="7">
        <v>0</v>
      </c>
      <c r="AN24" s="8">
        <f>$B24*AM24/1000</f>
        <v>0</v>
      </c>
      <c r="AO24" s="6">
        <v>0</v>
      </c>
      <c r="AP24" s="6">
        <v>0</v>
      </c>
      <c r="AQ24" s="6">
        <f>AO24*4-AP24</f>
        <v>0</v>
      </c>
      <c r="AR24" s="7">
        <v>0</v>
      </c>
      <c r="AS24" s="8">
        <f>$B24*AR24/1000</f>
        <v>0</v>
      </c>
      <c r="AT24" s="6">
        <v>0</v>
      </c>
      <c r="AU24" s="6">
        <v>0</v>
      </c>
      <c r="AV24" s="6">
        <f>AT24*4-AU24</f>
        <v>0</v>
      </c>
      <c r="AW24" s="7">
        <v>0</v>
      </c>
      <c r="AX24" s="8">
        <f>$B24*AW24/1000</f>
        <v>0</v>
      </c>
      <c r="AY24" s="6">
        <v>0</v>
      </c>
      <c r="AZ24" s="6">
        <v>0</v>
      </c>
      <c r="BA24" s="6">
        <f>AY24*4-AZ24</f>
        <v>0</v>
      </c>
      <c r="BB24" s="7">
        <v>0</v>
      </c>
      <c r="BC24" s="8">
        <f>$B24*BB24/1000</f>
        <v>0</v>
      </c>
      <c r="BD24" s="6">
        <v>0</v>
      </c>
      <c r="BE24" s="6">
        <v>0</v>
      </c>
      <c r="BF24" s="6">
        <f>BD24*4-BE24</f>
        <v>0</v>
      </c>
      <c r="BG24" s="7">
        <v>0</v>
      </c>
      <c r="BH24" s="8">
        <f>$B24*BG24/1000</f>
        <v>0</v>
      </c>
      <c r="BI24" s="6">
        <v>0</v>
      </c>
      <c r="BJ24" s="6">
        <v>0</v>
      </c>
      <c r="BK24" s="6">
        <f>BI24*4-BJ24</f>
        <v>0</v>
      </c>
      <c r="BL24" s="7">
        <v>0</v>
      </c>
      <c r="BM24" s="8">
        <f>$B24*BL24/1000</f>
        <v>0</v>
      </c>
      <c r="BN24" s="6">
        <v>0</v>
      </c>
      <c r="BO24" s="6">
        <v>0</v>
      </c>
      <c r="BP24" s="6">
        <f>BN24*4-BO24</f>
        <v>0</v>
      </c>
      <c r="BQ24" s="7">
        <v>0</v>
      </c>
      <c r="BR24" s="8">
        <f>$B24*BQ24/1000</f>
        <v>0</v>
      </c>
    </row>
    <row r="25" ht="24" customHeight="1" spans="1:70" x14ac:dyDescent="0.25">
      <c r="A25" s="3" t="s">
        <v>116</v>
      </c>
      <c r="B25" s="4">
        <v>25</v>
      </c>
      <c r="C25" s="5" t="s">
        <v>117</v>
      </c>
      <c r="D25" s="6">
        <v>37</v>
      </c>
      <c r="E25" s="6">
        <v>290</v>
      </c>
      <c r="F25" s="6">
        <v>1</v>
      </c>
      <c r="G25" s="6">
        <v>59</v>
      </c>
      <c r="H25" s="6">
        <f>F25*4-G25</f>
        <v>-55</v>
      </c>
      <c r="I25" s="7">
        <v>0</v>
      </c>
      <c r="J25" s="8">
        <f>$B25*I25/1000</f>
        <v>0</v>
      </c>
      <c r="K25" s="6">
        <v>0</v>
      </c>
      <c r="L25" s="6">
        <v>0</v>
      </c>
      <c r="M25" s="6">
        <f>K25*4-L25</f>
        <v>0</v>
      </c>
      <c r="N25" s="7">
        <v>0</v>
      </c>
      <c r="O25" s="8">
        <f>$B25*N25/1000</f>
        <v>0</v>
      </c>
      <c r="P25" s="6">
        <v>33</v>
      </c>
      <c r="Q25" s="6">
        <v>196</v>
      </c>
      <c r="R25" s="6">
        <f>P25*4-Q25</f>
        <v>-64</v>
      </c>
      <c r="S25" s="7">
        <v>0</v>
      </c>
      <c r="T25" s="8">
        <f>$B25*S25/1000</f>
        <v>0</v>
      </c>
      <c r="U25" s="6">
        <v>0</v>
      </c>
      <c r="V25" s="6">
        <v>0</v>
      </c>
      <c r="W25" s="6">
        <f>U25*4-V25</f>
        <v>0</v>
      </c>
      <c r="X25" s="7">
        <v>0</v>
      </c>
      <c r="Y25" s="8">
        <f>$B25*X25/1000</f>
        <v>0</v>
      </c>
      <c r="Z25" s="6">
        <v>0</v>
      </c>
      <c r="AA25" s="6">
        <v>0</v>
      </c>
      <c r="AB25" s="6">
        <f>Z25*4-AA25</f>
        <v>0</v>
      </c>
      <c r="AC25" s="7">
        <v>0</v>
      </c>
      <c r="AD25" s="8">
        <f>$B25*AC25/1000</f>
        <v>0</v>
      </c>
      <c r="AE25" s="6">
        <v>2</v>
      </c>
      <c r="AF25" s="6">
        <v>24</v>
      </c>
      <c r="AG25" s="6">
        <f>AE25*4-AF25</f>
        <v>-16</v>
      </c>
      <c r="AH25" s="7">
        <v>0</v>
      </c>
      <c r="AI25" s="8">
        <f>$B25*AH25/1000</f>
        <v>0</v>
      </c>
      <c r="AJ25" s="6">
        <v>0</v>
      </c>
      <c r="AK25" s="6">
        <v>0</v>
      </c>
      <c r="AL25" s="6">
        <f>AJ25*4-AK25</f>
        <v>0</v>
      </c>
      <c r="AM25" s="7">
        <v>0</v>
      </c>
      <c r="AN25" s="8">
        <f>$B25*AM25/1000</f>
        <v>0</v>
      </c>
      <c r="AO25" s="6">
        <v>0</v>
      </c>
      <c r="AP25" s="6">
        <v>0</v>
      </c>
      <c r="AQ25" s="6">
        <f>AO25*4-AP25</f>
        <v>0</v>
      </c>
      <c r="AR25" s="7">
        <v>0</v>
      </c>
      <c r="AS25" s="8">
        <f>$B25*AR25/1000</f>
        <v>0</v>
      </c>
      <c r="AT25" s="6">
        <v>0</v>
      </c>
      <c r="AU25" s="6">
        <v>0</v>
      </c>
      <c r="AV25" s="6">
        <f>AT25*4-AU25</f>
        <v>0</v>
      </c>
      <c r="AW25" s="7">
        <v>0</v>
      </c>
      <c r="AX25" s="8">
        <f>$B25*AW25/1000</f>
        <v>0</v>
      </c>
      <c r="AY25" s="6">
        <v>0</v>
      </c>
      <c r="AZ25" s="6">
        <v>0</v>
      </c>
      <c r="BA25" s="6">
        <f>AY25*4-AZ25</f>
        <v>0</v>
      </c>
      <c r="BB25" s="7">
        <v>0</v>
      </c>
      <c r="BC25" s="8">
        <f>$B25*BB25/1000</f>
        <v>0</v>
      </c>
      <c r="BD25" s="6">
        <v>0</v>
      </c>
      <c r="BE25" s="6">
        <v>0</v>
      </c>
      <c r="BF25" s="6">
        <f>BD25*4-BE25</f>
        <v>0</v>
      </c>
      <c r="BG25" s="7">
        <v>0</v>
      </c>
      <c r="BH25" s="8">
        <f>$B25*BG25/1000</f>
        <v>0</v>
      </c>
      <c r="BI25" s="6">
        <v>0</v>
      </c>
      <c r="BJ25" s="6">
        <v>0</v>
      </c>
      <c r="BK25" s="6">
        <f>BI25*4-BJ25</f>
        <v>0</v>
      </c>
      <c r="BL25" s="7">
        <v>0</v>
      </c>
      <c r="BM25" s="8">
        <f>$B25*BL25/1000</f>
        <v>0</v>
      </c>
      <c r="BN25" s="6">
        <v>1</v>
      </c>
      <c r="BO25" s="6">
        <v>11</v>
      </c>
      <c r="BP25" s="6">
        <f>BN25*4-BO25</f>
        <v>-7</v>
      </c>
      <c r="BQ25" s="7">
        <v>0</v>
      </c>
      <c r="BR25" s="8">
        <f>$B25*BQ25/1000</f>
        <v>0</v>
      </c>
    </row>
    <row r="26" ht="24" customHeight="1" spans="1:70" x14ac:dyDescent="0.25">
      <c r="A26" s="3" t="s">
        <v>118</v>
      </c>
      <c r="B26" s="4">
        <v>2.5</v>
      </c>
      <c r="C26" s="5" t="s">
        <v>119</v>
      </c>
      <c r="D26" s="6">
        <v>150</v>
      </c>
      <c r="E26" s="6">
        <v>216</v>
      </c>
      <c r="F26" s="6">
        <v>40</v>
      </c>
      <c r="G26" s="6">
        <v>48</v>
      </c>
      <c r="H26" s="6">
        <f>F26*4-G26</f>
        <v>112</v>
      </c>
      <c r="I26" s="7">
        <v>0</v>
      </c>
      <c r="J26" s="8">
        <f>$B26*I26/1000</f>
        <v>0</v>
      </c>
      <c r="K26" s="6">
        <v>27</v>
      </c>
      <c r="L26" s="6">
        <v>0</v>
      </c>
      <c r="M26" s="6">
        <f>K26*4-L26</f>
        <v>108</v>
      </c>
      <c r="N26" s="7">
        <v>0</v>
      </c>
      <c r="O26" s="8">
        <f>$B26*N26/1000</f>
        <v>0</v>
      </c>
      <c r="P26" s="6">
        <v>27</v>
      </c>
      <c r="Q26" s="6">
        <v>103</v>
      </c>
      <c r="R26" s="6">
        <f>P26*4-Q26</f>
        <v>5</v>
      </c>
      <c r="S26" s="7">
        <v>0</v>
      </c>
      <c r="T26" s="8">
        <f>$B26*S26/1000</f>
        <v>0</v>
      </c>
      <c r="U26" s="6">
        <v>12</v>
      </c>
      <c r="V26" s="6">
        <v>0</v>
      </c>
      <c r="W26" s="6">
        <f>U26*4-V26</f>
        <v>48</v>
      </c>
      <c r="X26" s="7">
        <v>0</v>
      </c>
      <c r="Y26" s="8">
        <f>$B26*X26/1000</f>
        <v>0</v>
      </c>
      <c r="Z26" s="6">
        <v>0</v>
      </c>
      <c r="AA26" s="6">
        <v>0</v>
      </c>
      <c r="AB26" s="6">
        <f>Z26*4-AA26</f>
        <v>0</v>
      </c>
      <c r="AC26" s="7">
        <v>0</v>
      </c>
      <c r="AD26" s="8">
        <f>$B26*AC26/1000</f>
        <v>0</v>
      </c>
      <c r="AE26" s="6">
        <v>24</v>
      </c>
      <c r="AF26" s="6">
        <v>9</v>
      </c>
      <c r="AG26" s="6">
        <f>AE26*4-AF26</f>
        <v>87</v>
      </c>
      <c r="AH26" s="7">
        <v>0</v>
      </c>
      <c r="AI26" s="8">
        <f>$B26*AH26/1000</f>
        <v>0</v>
      </c>
      <c r="AJ26" s="6">
        <v>2</v>
      </c>
      <c r="AK26" s="6">
        <v>35</v>
      </c>
      <c r="AL26" s="6">
        <f>AJ26*4-AK26</f>
        <v>-27</v>
      </c>
      <c r="AM26" s="7">
        <v>0</v>
      </c>
      <c r="AN26" s="8">
        <f>$B26*AM26/1000</f>
        <v>0</v>
      </c>
      <c r="AO26" s="6">
        <v>0</v>
      </c>
      <c r="AP26" s="6">
        <v>0</v>
      </c>
      <c r="AQ26" s="6">
        <f>AO26*4-AP26</f>
        <v>0</v>
      </c>
      <c r="AR26" s="7">
        <v>0</v>
      </c>
      <c r="AS26" s="8">
        <f>$B26*AR26/1000</f>
        <v>0</v>
      </c>
      <c r="AT26" s="6">
        <v>0</v>
      </c>
      <c r="AU26" s="6">
        <v>0</v>
      </c>
      <c r="AV26" s="6">
        <f>AT26*4-AU26</f>
        <v>0</v>
      </c>
      <c r="AW26" s="7">
        <v>0</v>
      </c>
      <c r="AX26" s="8">
        <f>$B26*AW26/1000</f>
        <v>0</v>
      </c>
      <c r="AY26" s="6">
        <v>0</v>
      </c>
      <c r="AZ26" s="6">
        <v>0</v>
      </c>
      <c r="BA26" s="6">
        <f>AY26*4-AZ26</f>
        <v>0</v>
      </c>
      <c r="BB26" s="7">
        <v>0</v>
      </c>
      <c r="BC26" s="8">
        <f>$B26*BB26/1000</f>
        <v>0</v>
      </c>
      <c r="BD26" s="6">
        <v>0</v>
      </c>
      <c r="BE26" s="6">
        <v>0</v>
      </c>
      <c r="BF26" s="6">
        <f>BD26*4-BE26</f>
        <v>0</v>
      </c>
      <c r="BG26" s="7">
        <v>0</v>
      </c>
      <c r="BH26" s="8">
        <f>$B26*BG26/1000</f>
        <v>0</v>
      </c>
      <c r="BI26" s="6">
        <v>0</v>
      </c>
      <c r="BJ26" s="6">
        <v>0</v>
      </c>
      <c r="BK26" s="6">
        <f>BI26*4-BJ26</f>
        <v>0</v>
      </c>
      <c r="BL26" s="7">
        <v>0</v>
      </c>
      <c r="BM26" s="8">
        <f>$B26*BL26/1000</f>
        <v>0</v>
      </c>
      <c r="BN26" s="6">
        <v>18</v>
      </c>
      <c r="BO26" s="6">
        <v>21</v>
      </c>
      <c r="BP26" s="6">
        <f>BN26*4-BO26</f>
        <v>51</v>
      </c>
      <c r="BQ26" s="7">
        <v>0</v>
      </c>
      <c r="BR26" s="8">
        <f>$B26*BQ26/1000</f>
        <v>0</v>
      </c>
    </row>
    <row r="27" ht="24" customHeight="1" spans="1:70" x14ac:dyDescent="0.25">
      <c r="A27" s="3" t="s">
        <v>120</v>
      </c>
      <c r="B27" s="4">
        <v>5</v>
      </c>
      <c r="C27" s="5" t="s">
        <v>121</v>
      </c>
      <c r="D27" s="6">
        <v>12</v>
      </c>
      <c r="E27" s="6">
        <v>194</v>
      </c>
      <c r="F27" s="6">
        <v>0</v>
      </c>
      <c r="G27" s="6">
        <v>19</v>
      </c>
      <c r="H27" s="6">
        <f>F27*4-G27</f>
        <v>-19</v>
      </c>
      <c r="I27" s="7">
        <v>0</v>
      </c>
      <c r="J27" s="8">
        <f>$B27*I27/1000</f>
        <v>0</v>
      </c>
      <c r="K27" s="6">
        <v>0</v>
      </c>
      <c r="L27" s="6">
        <v>10</v>
      </c>
      <c r="M27" s="6">
        <f>K27*4-L27</f>
        <v>-10</v>
      </c>
      <c r="N27" s="7">
        <v>0</v>
      </c>
      <c r="O27" s="8">
        <f>$B27*N27/1000</f>
        <v>0</v>
      </c>
      <c r="P27" s="6">
        <v>9</v>
      </c>
      <c r="Q27" s="6">
        <v>158</v>
      </c>
      <c r="R27" s="6">
        <f>P27*4-Q27</f>
        <v>-122</v>
      </c>
      <c r="S27" s="7">
        <v>0</v>
      </c>
      <c r="T27" s="8">
        <f>$B27*S27/1000</f>
        <v>0</v>
      </c>
      <c r="U27" s="6">
        <v>0</v>
      </c>
      <c r="V27" s="6">
        <v>0</v>
      </c>
      <c r="W27" s="6">
        <f>U27*4-V27</f>
        <v>0</v>
      </c>
      <c r="X27" s="7">
        <v>0</v>
      </c>
      <c r="Y27" s="8">
        <f>$B27*X27/1000</f>
        <v>0</v>
      </c>
      <c r="Z27" s="6">
        <v>0</v>
      </c>
      <c r="AA27" s="6">
        <v>0</v>
      </c>
      <c r="AB27" s="6">
        <f>Z27*4-AA27</f>
        <v>0</v>
      </c>
      <c r="AC27" s="7">
        <v>0</v>
      </c>
      <c r="AD27" s="8">
        <f>$B27*AC27/1000</f>
        <v>0</v>
      </c>
      <c r="AE27" s="6">
        <v>2</v>
      </c>
      <c r="AF27" s="6">
        <v>4</v>
      </c>
      <c r="AG27" s="6">
        <f>AE27*4-AF27</f>
        <v>4</v>
      </c>
      <c r="AH27" s="7">
        <v>0</v>
      </c>
      <c r="AI27" s="8">
        <f>$B27*AH27/1000</f>
        <v>0</v>
      </c>
      <c r="AJ27" s="6">
        <v>0</v>
      </c>
      <c r="AK27" s="6">
        <v>0</v>
      </c>
      <c r="AL27" s="6">
        <f>AJ27*4-AK27</f>
        <v>0</v>
      </c>
      <c r="AM27" s="7">
        <v>0</v>
      </c>
      <c r="AN27" s="8">
        <f>$B27*AM27/1000</f>
        <v>0</v>
      </c>
      <c r="AO27" s="6">
        <v>0</v>
      </c>
      <c r="AP27" s="6">
        <v>0</v>
      </c>
      <c r="AQ27" s="6">
        <f>AO27*4-AP27</f>
        <v>0</v>
      </c>
      <c r="AR27" s="7">
        <v>0</v>
      </c>
      <c r="AS27" s="8">
        <f>$B27*AR27/1000</f>
        <v>0</v>
      </c>
      <c r="AT27" s="6">
        <v>0</v>
      </c>
      <c r="AU27" s="6">
        <v>0</v>
      </c>
      <c r="AV27" s="6">
        <f>AT27*4-AU27</f>
        <v>0</v>
      </c>
      <c r="AW27" s="7">
        <v>0</v>
      </c>
      <c r="AX27" s="8">
        <f>$B27*AW27/1000</f>
        <v>0</v>
      </c>
      <c r="AY27" s="6">
        <v>0</v>
      </c>
      <c r="AZ27" s="6">
        <v>0</v>
      </c>
      <c r="BA27" s="6">
        <f>AY27*4-AZ27</f>
        <v>0</v>
      </c>
      <c r="BB27" s="7">
        <v>0</v>
      </c>
      <c r="BC27" s="8">
        <f>$B27*BB27/1000</f>
        <v>0</v>
      </c>
      <c r="BD27" s="6">
        <v>0</v>
      </c>
      <c r="BE27" s="6">
        <v>0</v>
      </c>
      <c r="BF27" s="6">
        <f>BD27*4-BE27</f>
        <v>0</v>
      </c>
      <c r="BG27" s="7">
        <v>0</v>
      </c>
      <c r="BH27" s="8">
        <f>$B27*BG27/1000</f>
        <v>0</v>
      </c>
      <c r="BI27" s="6">
        <v>0</v>
      </c>
      <c r="BJ27" s="6">
        <v>0</v>
      </c>
      <c r="BK27" s="6">
        <f>BI27*4-BJ27</f>
        <v>0</v>
      </c>
      <c r="BL27" s="7">
        <v>0</v>
      </c>
      <c r="BM27" s="8">
        <f>$B27*BL27/1000</f>
        <v>0</v>
      </c>
      <c r="BN27" s="6">
        <v>1</v>
      </c>
      <c r="BO27" s="6">
        <v>3</v>
      </c>
      <c r="BP27" s="6">
        <f>BN27*4-BO27</f>
        <v>1</v>
      </c>
      <c r="BQ27" s="7">
        <v>0</v>
      </c>
      <c r="BR27" s="8">
        <f>$B27*BQ27/1000</f>
        <v>0</v>
      </c>
    </row>
    <row r="28" ht="24" customHeight="1" spans="1:70" x14ac:dyDescent="0.25">
      <c r="A28" s="3" t="s">
        <v>122</v>
      </c>
      <c r="B28" s="4">
        <v>5</v>
      </c>
      <c r="C28" s="5" t="s">
        <v>123</v>
      </c>
      <c r="D28" s="6">
        <v>11</v>
      </c>
      <c r="E28" s="6">
        <v>239</v>
      </c>
      <c r="F28" s="6">
        <v>2</v>
      </c>
      <c r="G28" s="6">
        <v>73</v>
      </c>
      <c r="H28" s="6">
        <f>F28*4-G28</f>
        <v>-65</v>
      </c>
      <c r="I28" s="7">
        <v>0</v>
      </c>
      <c r="J28" s="8">
        <f>$B28*I28/1000</f>
        <v>0</v>
      </c>
      <c r="K28" s="6">
        <v>0</v>
      </c>
      <c r="L28" s="6">
        <v>27</v>
      </c>
      <c r="M28" s="6">
        <f>K28*4-L28</f>
        <v>-27</v>
      </c>
      <c r="N28" s="7">
        <v>0</v>
      </c>
      <c r="O28" s="8">
        <f>$B28*N28/1000</f>
        <v>0</v>
      </c>
      <c r="P28" s="6">
        <v>4</v>
      </c>
      <c r="Q28" s="6">
        <v>68</v>
      </c>
      <c r="R28" s="6">
        <f>P28*4-Q28</f>
        <v>-52</v>
      </c>
      <c r="S28" s="7">
        <v>0</v>
      </c>
      <c r="T28" s="8">
        <f>$B28*S28/1000</f>
        <v>0</v>
      </c>
      <c r="U28" s="6">
        <v>0</v>
      </c>
      <c r="V28" s="6">
        <v>14</v>
      </c>
      <c r="W28" s="6">
        <f>U28*4-V28</f>
        <v>-14</v>
      </c>
      <c r="X28" s="7">
        <v>0</v>
      </c>
      <c r="Y28" s="8">
        <f>$B28*X28/1000</f>
        <v>0</v>
      </c>
      <c r="Z28" s="6">
        <v>0</v>
      </c>
      <c r="AA28" s="6">
        <v>0</v>
      </c>
      <c r="AB28" s="6">
        <f>Z28*4-AA28</f>
        <v>0</v>
      </c>
      <c r="AC28" s="7">
        <v>0</v>
      </c>
      <c r="AD28" s="8">
        <f>$B28*AC28/1000</f>
        <v>0</v>
      </c>
      <c r="AE28" s="6">
        <v>2</v>
      </c>
      <c r="AF28" s="6">
        <v>47</v>
      </c>
      <c r="AG28" s="6">
        <f>AE28*4-AF28</f>
        <v>-39</v>
      </c>
      <c r="AH28" s="7">
        <v>0</v>
      </c>
      <c r="AI28" s="8">
        <f>$B28*AH28/1000</f>
        <v>0</v>
      </c>
      <c r="AJ28" s="6">
        <v>0</v>
      </c>
      <c r="AK28" s="6">
        <v>0</v>
      </c>
      <c r="AL28" s="6">
        <f>AJ28*4-AK28</f>
        <v>0</v>
      </c>
      <c r="AM28" s="7">
        <v>0</v>
      </c>
      <c r="AN28" s="8">
        <f>$B28*AM28/1000</f>
        <v>0</v>
      </c>
      <c r="AO28" s="6">
        <v>0</v>
      </c>
      <c r="AP28" s="6">
        <v>0</v>
      </c>
      <c r="AQ28" s="6">
        <f>AO28*4-AP28</f>
        <v>0</v>
      </c>
      <c r="AR28" s="7">
        <v>0</v>
      </c>
      <c r="AS28" s="8">
        <f>$B28*AR28/1000</f>
        <v>0</v>
      </c>
      <c r="AT28" s="6">
        <v>0</v>
      </c>
      <c r="AU28" s="6">
        <v>0</v>
      </c>
      <c r="AV28" s="6">
        <f>AT28*4-AU28</f>
        <v>0</v>
      </c>
      <c r="AW28" s="7">
        <v>0</v>
      </c>
      <c r="AX28" s="8">
        <f>$B28*AW28/1000</f>
        <v>0</v>
      </c>
      <c r="AY28" s="6">
        <v>0</v>
      </c>
      <c r="AZ28" s="6">
        <v>0</v>
      </c>
      <c r="BA28" s="6">
        <f>AY28*4-AZ28</f>
        <v>0</v>
      </c>
      <c r="BB28" s="7">
        <v>0</v>
      </c>
      <c r="BC28" s="8">
        <f>$B28*BB28/1000</f>
        <v>0</v>
      </c>
      <c r="BD28" s="6">
        <v>0</v>
      </c>
      <c r="BE28" s="6">
        <v>0</v>
      </c>
      <c r="BF28" s="6">
        <f>BD28*4-BE28</f>
        <v>0</v>
      </c>
      <c r="BG28" s="7">
        <v>0</v>
      </c>
      <c r="BH28" s="8">
        <f>$B28*BG28/1000</f>
        <v>0</v>
      </c>
      <c r="BI28" s="6">
        <v>0</v>
      </c>
      <c r="BJ28" s="6">
        <v>0</v>
      </c>
      <c r="BK28" s="6">
        <f>BI28*4-BJ28</f>
        <v>0</v>
      </c>
      <c r="BL28" s="7">
        <v>0</v>
      </c>
      <c r="BM28" s="8">
        <f>$B28*BL28/1000</f>
        <v>0</v>
      </c>
      <c r="BN28" s="6">
        <v>3</v>
      </c>
      <c r="BO28" s="6">
        <v>10</v>
      </c>
      <c r="BP28" s="6">
        <f>BN28*4-BO28</f>
        <v>2</v>
      </c>
      <c r="BQ28" s="7">
        <v>0</v>
      </c>
      <c r="BR28" s="8">
        <f>$B28*BQ28/1000</f>
        <v>0</v>
      </c>
    </row>
    <row r="29" ht="24" customHeight="1" spans="1:70" x14ac:dyDescent="0.25">
      <c r="A29" s="3" t="s">
        <v>124</v>
      </c>
      <c r="B29" s="4">
        <v>10</v>
      </c>
      <c r="C29" s="5" t="s">
        <v>125</v>
      </c>
      <c r="D29" s="6">
        <v>94</v>
      </c>
      <c r="E29" s="6">
        <v>83</v>
      </c>
      <c r="F29" s="6">
        <v>8</v>
      </c>
      <c r="G29" s="6">
        <v>26</v>
      </c>
      <c r="H29" s="6">
        <f>F29*4-G29</f>
        <v>6</v>
      </c>
      <c r="I29" s="7">
        <v>0</v>
      </c>
      <c r="J29" s="8">
        <f>$B29*I29/1000</f>
        <v>0</v>
      </c>
      <c r="K29" s="6">
        <v>0</v>
      </c>
      <c r="L29" s="6">
        <v>0</v>
      </c>
      <c r="M29" s="6">
        <f>K29*4-L29</f>
        <v>0</v>
      </c>
      <c r="N29" s="7">
        <v>0</v>
      </c>
      <c r="O29" s="8">
        <f>$B29*N29/1000</f>
        <v>0</v>
      </c>
      <c r="P29" s="6">
        <v>80</v>
      </c>
      <c r="Q29" s="6">
        <v>47</v>
      </c>
      <c r="R29" s="6">
        <f>P29*4-Q29</f>
        <v>273</v>
      </c>
      <c r="S29" s="7">
        <v>0</v>
      </c>
      <c r="T29" s="8">
        <f>$B29*S29/1000</f>
        <v>0</v>
      </c>
      <c r="U29" s="6">
        <v>0</v>
      </c>
      <c r="V29" s="6">
        <v>0</v>
      </c>
      <c r="W29" s="6">
        <f>U29*4-V29</f>
        <v>0</v>
      </c>
      <c r="X29" s="7">
        <v>0</v>
      </c>
      <c r="Y29" s="8">
        <f>$B29*X29/1000</f>
        <v>0</v>
      </c>
      <c r="Z29" s="6">
        <v>0</v>
      </c>
      <c r="AA29" s="6">
        <v>0</v>
      </c>
      <c r="AB29" s="6">
        <f>Z29*4-AA29</f>
        <v>0</v>
      </c>
      <c r="AC29" s="7">
        <v>0</v>
      </c>
      <c r="AD29" s="8">
        <f>$B29*AC29/1000</f>
        <v>0</v>
      </c>
      <c r="AE29" s="6">
        <v>6</v>
      </c>
      <c r="AF29" s="6">
        <v>10</v>
      </c>
      <c r="AG29" s="6">
        <f>AE29*4-AF29</f>
        <v>14</v>
      </c>
      <c r="AH29" s="7">
        <v>0</v>
      </c>
      <c r="AI29" s="8">
        <f>$B29*AH29/1000</f>
        <v>0</v>
      </c>
      <c r="AJ29" s="6">
        <v>0</v>
      </c>
      <c r="AK29" s="6">
        <v>0</v>
      </c>
      <c r="AL29" s="6">
        <f>AJ29*4-AK29</f>
        <v>0</v>
      </c>
      <c r="AM29" s="7">
        <v>0</v>
      </c>
      <c r="AN29" s="8">
        <f>$B29*AM29/1000</f>
        <v>0</v>
      </c>
      <c r="AO29" s="6">
        <v>0</v>
      </c>
      <c r="AP29" s="6">
        <v>0</v>
      </c>
      <c r="AQ29" s="6">
        <f>AO29*4-AP29</f>
        <v>0</v>
      </c>
      <c r="AR29" s="7">
        <v>0</v>
      </c>
      <c r="AS29" s="8">
        <f>$B29*AR29/1000</f>
        <v>0</v>
      </c>
      <c r="AT29" s="6">
        <v>0</v>
      </c>
      <c r="AU29" s="6">
        <v>0</v>
      </c>
      <c r="AV29" s="6">
        <f>AT29*4-AU29</f>
        <v>0</v>
      </c>
      <c r="AW29" s="7">
        <v>0</v>
      </c>
      <c r="AX29" s="8">
        <f>$B29*AW29/1000</f>
        <v>0</v>
      </c>
      <c r="AY29" s="6">
        <v>0</v>
      </c>
      <c r="AZ29" s="6">
        <v>0</v>
      </c>
      <c r="BA29" s="6">
        <f>AY29*4-AZ29</f>
        <v>0</v>
      </c>
      <c r="BB29" s="7">
        <v>0</v>
      </c>
      <c r="BC29" s="8">
        <f>$B29*BB29/1000</f>
        <v>0</v>
      </c>
      <c r="BD29" s="6">
        <v>0</v>
      </c>
      <c r="BE29" s="6">
        <v>0</v>
      </c>
      <c r="BF29" s="6">
        <f>BD29*4-BE29</f>
        <v>0</v>
      </c>
      <c r="BG29" s="7">
        <v>0</v>
      </c>
      <c r="BH29" s="8">
        <f>$B29*BG29/1000</f>
        <v>0</v>
      </c>
      <c r="BI29" s="6">
        <v>0</v>
      </c>
      <c r="BJ29" s="6">
        <v>0</v>
      </c>
      <c r="BK29" s="6">
        <f>BI29*4-BJ29</f>
        <v>0</v>
      </c>
      <c r="BL29" s="7">
        <v>0</v>
      </c>
      <c r="BM29" s="8">
        <f>$B29*BL29/1000</f>
        <v>0</v>
      </c>
      <c r="BN29" s="6">
        <v>0</v>
      </c>
      <c r="BO29" s="6">
        <v>0</v>
      </c>
      <c r="BP29" s="6">
        <f>BN29*4-BO29</f>
        <v>0</v>
      </c>
      <c r="BQ29" s="7">
        <v>0</v>
      </c>
      <c r="BR29" s="8">
        <f>$B29*BQ29/1000</f>
        <v>0</v>
      </c>
    </row>
    <row r="30" ht="24" customHeight="1" spans="1:70" x14ac:dyDescent="0.25">
      <c r="A30" s="3" t="s">
        <v>126</v>
      </c>
      <c r="B30" s="4">
        <v>2.5</v>
      </c>
      <c r="C30" s="5" t="s">
        <v>127</v>
      </c>
      <c r="D30" s="6">
        <v>3</v>
      </c>
      <c r="E30" s="6">
        <v>132</v>
      </c>
      <c r="F30" s="6">
        <v>0</v>
      </c>
      <c r="G30" s="6">
        <v>0</v>
      </c>
      <c r="H30" s="6">
        <f>F30*4-G30</f>
        <v>0</v>
      </c>
      <c r="I30" s="7">
        <v>0</v>
      </c>
      <c r="J30" s="8">
        <f>$B30*I30/1000</f>
        <v>0</v>
      </c>
      <c r="K30" s="6">
        <v>0</v>
      </c>
      <c r="L30" s="6">
        <v>0</v>
      </c>
      <c r="M30" s="6">
        <f>K30*4-L30</f>
        <v>0</v>
      </c>
      <c r="N30" s="7">
        <v>0</v>
      </c>
      <c r="O30" s="8">
        <f>$B30*N30/1000</f>
        <v>0</v>
      </c>
      <c r="P30" s="6">
        <v>2</v>
      </c>
      <c r="Q30" s="6">
        <v>129</v>
      </c>
      <c r="R30" s="6">
        <f>P30*4-Q30</f>
        <v>-121</v>
      </c>
      <c r="S30" s="7">
        <v>0</v>
      </c>
      <c r="T30" s="8">
        <f>$B30*S30/1000</f>
        <v>0</v>
      </c>
      <c r="U30" s="6">
        <v>1</v>
      </c>
      <c r="V30" s="6">
        <v>3</v>
      </c>
      <c r="W30" s="6">
        <f>U30*4-V30</f>
        <v>1</v>
      </c>
      <c r="X30" s="7">
        <v>0</v>
      </c>
      <c r="Y30" s="8">
        <f>$B30*X30/1000</f>
        <v>0</v>
      </c>
      <c r="Z30" s="6">
        <v>0</v>
      </c>
      <c r="AA30" s="6">
        <v>0</v>
      </c>
      <c r="AB30" s="6">
        <f>Z30*4-AA30</f>
        <v>0</v>
      </c>
      <c r="AC30" s="7">
        <v>0</v>
      </c>
      <c r="AD30" s="8">
        <f>$B30*AC30/1000</f>
        <v>0</v>
      </c>
      <c r="AE30" s="6">
        <v>0</v>
      </c>
      <c r="AF30" s="6">
        <v>0</v>
      </c>
      <c r="AG30" s="6">
        <f>AE30*4-AF30</f>
        <v>0</v>
      </c>
      <c r="AH30" s="7">
        <v>0</v>
      </c>
      <c r="AI30" s="8">
        <f>$B30*AH30/1000</f>
        <v>0</v>
      </c>
      <c r="AJ30" s="6">
        <v>0</v>
      </c>
      <c r="AK30" s="6">
        <v>0</v>
      </c>
      <c r="AL30" s="6">
        <f>AJ30*4-AK30</f>
        <v>0</v>
      </c>
      <c r="AM30" s="7">
        <v>0</v>
      </c>
      <c r="AN30" s="8">
        <f>$B30*AM30/1000</f>
        <v>0</v>
      </c>
      <c r="AO30" s="6">
        <v>0</v>
      </c>
      <c r="AP30" s="6">
        <v>0</v>
      </c>
      <c r="AQ30" s="6">
        <f>AO30*4-AP30</f>
        <v>0</v>
      </c>
      <c r="AR30" s="7">
        <v>0</v>
      </c>
      <c r="AS30" s="8">
        <f>$B30*AR30/1000</f>
        <v>0</v>
      </c>
      <c r="AT30" s="6">
        <v>0</v>
      </c>
      <c r="AU30" s="6">
        <v>0</v>
      </c>
      <c r="AV30" s="6">
        <f>AT30*4-AU30</f>
        <v>0</v>
      </c>
      <c r="AW30" s="7">
        <v>0</v>
      </c>
      <c r="AX30" s="8">
        <f>$B30*AW30/1000</f>
        <v>0</v>
      </c>
      <c r="AY30" s="6">
        <v>0</v>
      </c>
      <c r="AZ30" s="6">
        <v>0</v>
      </c>
      <c r="BA30" s="6">
        <f>AY30*4-AZ30</f>
        <v>0</v>
      </c>
      <c r="BB30" s="7">
        <v>0</v>
      </c>
      <c r="BC30" s="8">
        <f>$B30*BB30/1000</f>
        <v>0</v>
      </c>
      <c r="BD30" s="6">
        <v>0</v>
      </c>
      <c r="BE30" s="6">
        <v>0</v>
      </c>
      <c r="BF30" s="6">
        <f>BD30*4-BE30</f>
        <v>0</v>
      </c>
      <c r="BG30" s="7">
        <v>0</v>
      </c>
      <c r="BH30" s="8">
        <f>$B30*BG30/1000</f>
        <v>0</v>
      </c>
      <c r="BI30" s="6">
        <v>0</v>
      </c>
      <c r="BJ30" s="6">
        <v>0</v>
      </c>
      <c r="BK30" s="6">
        <f>BI30*4-BJ30</f>
        <v>0</v>
      </c>
      <c r="BL30" s="7">
        <v>0</v>
      </c>
      <c r="BM30" s="8">
        <f>$B30*BL30/1000</f>
        <v>0</v>
      </c>
      <c r="BN30" s="6">
        <v>0</v>
      </c>
      <c r="BO30" s="6">
        <v>0</v>
      </c>
      <c r="BP30" s="6">
        <f>BN30*4-BO30</f>
        <v>0</v>
      </c>
      <c r="BQ30" s="7">
        <v>0</v>
      </c>
      <c r="BR30" s="8">
        <f>$B30*BQ30/1000</f>
        <v>0</v>
      </c>
    </row>
    <row r="31" ht="24" customHeight="1" spans="1:70" x14ac:dyDescent="0.25">
      <c r="A31" s="3" t="s">
        <v>128</v>
      </c>
      <c r="B31" s="4">
        <v>5</v>
      </c>
      <c r="C31" s="5" t="s">
        <v>129</v>
      </c>
      <c r="D31" s="6">
        <v>2</v>
      </c>
      <c r="E31" s="6">
        <v>66</v>
      </c>
      <c r="F31" s="6">
        <v>0</v>
      </c>
      <c r="G31" s="6">
        <v>0</v>
      </c>
      <c r="H31" s="6">
        <f>F31*4-G31</f>
        <v>0</v>
      </c>
      <c r="I31" s="7">
        <v>0</v>
      </c>
      <c r="J31" s="8">
        <f>$B31*I31/1000</f>
        <v>0</v>
      </c>
      <c r="K31" s="6">
        <v>0</v>
      </c>
      <c r="L31" s="6">
        <v>0</v>
      </c>
      <c r="M31" s="6">
        <f>K31*4-L31</f>
        <v>0</v>
      </c>
      <c r="N31" s="7">
        <v>0</v>
      </c>
      <c r="O31" s="8">
        <f>$B31*N31/1000</f>
        <v>0</v>
      </c>
      <c r="P31" s="6">
        <v>2</v>
      </c>
      <c r="Q31" s="6">
        <v>55</v>
      </c>
      <c r="R31" s="6">
        <f>P31*4-Q31</f>
        <v>-47</v>
      </c>
      <c r="S31" s="7">
        <v>0</v>
      </c>
      <c r="T31" s="8">
        <f>$B31*S31/1000</f>
        <v>0</v>
      </c>
      <c r="U31" s="6">
        <v>0</v>
      </c>
      <c r="V31" s="6">
        <v>11</v>
      </c>
      <c r="W31" s="6">
        <f>U31*4-V31</f>
        <v>-11</v>
      </c>
      <c r="X31" s="7">
        <v>0</v>
      </c>
      <c r="Y31" s="8">
        <f>$B31*X31/1000</f>
        <v>0</v>
      </c>
      <c r="Z31" s="6">
        <v>0</v>
      </c>
      <c r="AA31" s="6">
        <v>0</v>
      </c>
      <c r="AB31" s="6">
        <f>Z31*4-AA31</f>
        <v>0</v>
      </c>
      <c r="AC31" s="7">
        <v>0</v>
      </c>
      <c r="AD31" s="8">
        <f>$B31*AC31/1000</f>
        <v>0</v>
      </c>
      <c r="AE31" s="6">
        <v>0</v>
      </c>
      <c r="AF31" s="6">
        <v>0</v>
      </c>
      <c r="AG31" s="6">
        <f>AE31*4-AF31</f>
        <v>0</v>
      </c>
      <c r="AH31" s="7">
        <v>0</v>
      </c>
      <c r="AI31" s="8">
        <f>$B31*AH31/1000</f>
        <v>0</v>
      </c>
      <c r="AJ31" s="6">
        <v>0</v>
      </c>
      <c r="AK31" s="6">
        <v>0</v>
      </c>
      <c r="AL31" s="6">
        <f>AJ31*4-AK31</f>
        <v>0</v>
      </c>
      <c r="AM31" s="7">
        <v>0</v>
      </c>
      <c r="AN31" s="8">
        <f>$B31*AM31/1000</f>
        <v>0</v>
      </c>
      <c r="AO31" s="6">
        <v>0</v>
      </c>
      <c r="AP31" s="6">
        <v>0</v>
      </c>
      <c r="AQ31" s="6">
        <f>AO31*4-AP31</f>
        <v>0</v>
      </c>
      <c r="AR31" s="7">
        <v>0</v>
      </c>
      <c r="AS31" s="8">
        <f>$B31*AR31/1000</f>
        <v>0</v>
      </c>
      <c r="AT31" s="6">
        <v>0</v>
      </c>
      <c r="AU31" s="6">
        <v>0</v>
      </c>
      <c r="AV31" s="6">
        <f>AT31*4-AU31</f>
        <v>0</v>
      </c>
      <c r="AW31" s="7">
        <v>0</v>
      </c>
      <c r="AX31" s="8">
        <f>$B31*AW31/1000</f>
        <v>0</v>
      </c>
      <c r="AY31" s="6">
        <v>0</v>
      </c>
      <c r="AZ31" s="6">
        <v>0</v>
      </c>
      <c r="BA31" s="6">
        <f>AY31*4-AZ31</f>
        <v>0</v>
      </c>
      <c r="BB31" s="7">
        <v>0</v>
      </c>
      <c r="BC31" s="8">
        <f>$B31*BB31/1000</f>
        <v>0</v>
      </c>
      <c r="BD31" s="6">
        <v>0</v>
      </c>
      <c r="BE31" s="6">
        <v>0</v>
      </c>
      <c r="BF31" s="6">
        <f>BD31*4-BE31</f>
        <v>0</v>
      </c>
      <c r="BG31" s="7">
        <v>0</v>
      </c>
      <c r="BH31" s="8">
        <f>$B31*BG31/1000</f>
        <v>0</v>
      </c>
      <c r="BI31" s="6">
        <v>0</v>
      </c>
      <c r="BJ31" s="6">
        <v>0</v>
      </c>
      <c r="BK31" s="6">
        <f>BI31*4-BJ31</f>
        <v>0</v>
      </c>
      <c r="BL31" s="7">
        <v>0</v>
      </c>
      <c r="BM31" s="8">
        <f>$B31*BL31/1000</f>
        <v>0</v>
      </c>
      <c r="BN31" s="6">
        <v>0</v>
      </c>
      <c r="BO31" s="6">
        <v>0</v>
      </c>
      <c r="BP31" s="6">
        <f>BN31*4-BO31</f>
        <v>0</v>
      </c>
      <c r="BQ31" s="7">
        <v>0</v>
      </c>
      <c r="BR31" s="8">
        <f>$B31*BQ31/1000</f>
        <v>0</v>
      </c>
    </row>
    <row r="32" ht="24" customHeight="1" spans="1:70" x14ac:dyDescent="0.25">
      <c r="A32" s="3" t="s">
        <v>130</v>
      </c>
      <c r="B32" s="4">
        <v>5</v>
      </c>
      <c r="C32" s="5" t="s">
        <v>131</v>
      </c>
      <c r="D32" s="6">
        <v>48</v>
      </c>
      <c r="E32" s="6">
        <v>299</v>
      </c>
      <c r="F32" s="6">
        <v>6</v>
      </c>
      <c r="G32" s="6">
        <v>64</v>
      </c>
      <c r="H32" s="6">
        <f>F32*4-G32</f>
        <v>-40</v>
      </c>
      <c r="I32" s="7">
        <v>0</v>
      </c>
      <c r="J32" s="8">
        <f>$B32*I32/1000</f>
        <v>0</v>
      </c>
      <c r="K32" s="6">
        <v>0</v>
      </c>
      <c r="L32" s="6">
        <v>0</v>
      </c>
      <c r="M32" s="6">
        <f>K32*4-L32</f>
        <v>0</v>
      </c>
      <c r="N32" s="7">
        <v>0</v>
      </c>
      <c r="O32" s="8">
        <f>$B32*N32/1000</f>
        <v>0</v>
      </c>
      <c r="P32" s="6">
        <v>37</v>
      </c>
      <c r="Q32" s="6">
        <v>120</v>
      </c>
      <c r="R32" s="6">
        <f>P32*4-Q32</f>
        <v>28</v>
      </c>
      <c r="S32" s="7">
        <v>0</v>
      </c>
      <c r="T32" s="8">
        <f>$B32*S32/1000</f>
        <v>0</v>
      </c>
      <c r="U32" s="6">
        <v>0</v>
      </c>
      <c r="V32" s="6">
        <v>0</v>
      </c>
      <c r="W32" s="6">
        <f>U32*4-V32</f>
        <v>0</v>
      </c>
      <c r="X32" s="7">
        <v>0</v>
      </c>
      <c r="Y32" s="8">
        <f>$B32*X32/1000</f>
        <v>0</v>
      </c>
      <c r="Z32" s="6">
        <v>0</v>
      </c>
      <c r="AA32" s="6">
        <v>0</v>
      </c>
      <c r="AB32" s="6">
        <f>Z32*4-AA32</f>
        <v>0</v>
      </c>
      <c r="AC32" s="7">
        <v>0</v>
      </c>
      <c r="AD32" s="8">
        <f>$B32*AC32/1000</f>
        <v>0</v>
      </c>
      <c r="AE32" s="6">
        <v>5</v>
      </c>
      <c r="AF32" s="6">
        <v>115</v>
      </c>
      <c r="AG32" s="6">
        <f>AE32*4-AF32</f>
        <v>-95</v>
      </c>
      <c r="AH32" s="7">
        <v>0</v>
      </c>
      <c r="AI32" s="8">
        <f>$B32*AH32/1000</f>
        <v>0</v>
      </c>
      <c r="AJ32" s="6">
        <v>0</v>
      </c>
      <c r="AK32" s="6">
        <v>0</v>
      </c>
      <c r="AL32" s="6">
        <f>AJ32*4-AK32</f>
        <v>0</v>
      </c>
      <c r="AM32" s="7">
        <v>0</v>
      </c>
      <c r="AN32" s="8">
        <f>$B32*AM32/1000</f>
        <v>0</v>
      </c>
      <c r="AO32" s="6">
        <v>0</v>
      </c>
      <c r="AP32" s="6">
        <v>0</v>
      </c>
      <c r="AQ32" s="6">
        <f>AO32*4-AP32</f>
        <v>0</v>
      </c>
      <c r="AR32" s="7">
        <v>0</v>
      </c>
      <c r="AS32" s="8">
        <f>$B32*AR32/1000</f>
        <v>0</v>
      </c>
      <c r="AT32" s="6">
        <v>0</v>
      </c>
      <c r="AU32" s="6">
        <v>0</v>
      </c>
      <c r="AV32" s="6">
        <f>AT32*4-AU32</f>
        <v>0</v>
      </c>
      <c r="AW32" s="7">
        <v>0</v>
      </c>
      <c r="AX32" s="8">
        <f>$B32*AW32/1000</f>
        <v>0</v>
      </c>
      <c r="AY32" s="6">
        <v>0</v>
      </c>
      <c r="AZ32" s="6">
        <v>0</v>
      </c>
      <c r="BA32" s="6">
        <f>AY32*4-AZ32</f>
        <v>0</v>
      </c>
      <c r="BB32" s="7">
        <v>0</v>
      </c>
      <c r="BC32" s="8">
        <f>$B32*BB32/1000</f>
        <v>0</v>
      </c>
      <c r="BD32" s="6">
        <v>0</v>
      </c>
      <c r="BE32" s="6">
        <v>0</v>
      </c>
      <c r="BF32" s="6">
        <f>BD32*4-BE32</f>
        <v>0</v>
      </c>
      <c r="BG32" s="7">
        <v>0</v>
      </c>
      <c r="BH32" s="8">
        <f>$B32*BG32/1000</f>
        <v>0</v>
      </c>
      <c r="BI32" s="6">
        <v>0</v>
      </c>
      <c r="BJ32" s="6">
        <v>0</v>
      </c>
      <c r="BK32" s="6">
        <f>BI32*4-BJ32</f>
        <v>0</v>
      </c>
      <c r="BL32" s="7">
        <v>0</v>
      </c>
      <c r="BM32" s="8">
        <f>$B32*BL32/1000</f>
        <v>0</v>
      </c>
      <c r="BN32" s="6">
        <v>0</v>
      </c>
      <c r="BO32" s="6">
        <v>0</v>
      </c>
      <c r="BP32" s="6">
        <f>BN32*4-BO32</f>
        <v>0</v>
      </c>
      <c r="BQ32" s="7">
        <v>0</v>
      </c>
      <c r="BR32" s="8">
        <f>$B32*BQ32/1000</f>
        <v>0</v>
      </c>
    </row>
    <row r="33" ht="24" customHeight="1" spans="1:70" x14ac:dyDescent="0.25">
      <c r="A33" s="3" t="s">
        <v>132</v>
      </c>
      <c r="B33" s="4">
        <v>5</v>
      </c>
      <c r="C33" s="5" t="s">
        <v>133</v>
      </c>
      <c r="D33" s="6">
        <v>10873</v>
      </c>
      <c r="E33" s="6">
        <v>26462</v>
      </c>
      <c r="F33" s="6">
        <v>501</v>
      </c>
      <c r="G33" s="6">
        <v>3195</v>
      </c>
      <c r="H33" s="6">
        <f>F33*4-G33</f>
        <v>-1191</v>
      </c>
      <c r="I33" s="7">
        <v>0</v>
      </c>
      <c r="J33" s="8">
        <f>$B33*I33/1000</f>
        <v>0</v>
      </c>
      <c r="K33" s="6">
        <v>977</v>
      </c>
      <c r="L33" s="6">
        <v>349</v>
      </c>
      <c r="M33" s="6">
        <f>K33*4-L33</f>
        <v>3559</v>
      </c>
      <c r="N33" s="7">
        <v>0</v>
      </c>
      <c r="O33" s="8">
        <f>$B33*N33/1000</f>
        <v>0</v>
      </c>
      <c r="P33" s="6">
        <v>1194</v>
      </c>
      <c r="Q33" s="6">
        <v>7136</v>
      </c>
      <c r="R33" s="6">
        <f>P33*4-Q33</f>
        <v>-2360</v>
      </c>
      <c r="S33" s="7">
        <v>0</v>
      </c>
      <c r="T33" s="8">
        <f>$B33*S33/1000</f>
        <v>0</v>
      </c>
      <c r="U33" s="6">
        <v>0</v>
      </c>
      <c r="V33" s="6">
        <v>0</v>
      </c>
      <c r="W33" s="6">
        <f>U33*4-V33</f>
        <v>0</v>
      </c>
      <c r="X33" s="7">
        <v>0</v>
      </c>
      <c r="Y33" s="8">
        <f>$B33*X33/1000</f>
        <v>0</v>
      </c>
      <c r="Z33" s="6">
        <v>644</v>
      </c>
      <c r="AA33" s="6">
        <v>626</v>
      </c>
      <c r="AB33" s="6">
        <f>Z33*4-AA33</f>
        <v>1950</v>
      </c>
      <c r="AC33" s="7">
        <v>0</v>
      </c>
      <c r="AD33" s="8">
        <f>$B33*AC33/1000</f>
        <v>0</v>
      </c>
      <c r="AE33" s="6">
        <v>3224</v>
      </c>
      <c r="AF33" s="6">
        <v>4104</v>
      </c>
      <c r="AG33" s="6">
        <f>AE33*4-AF33</f>
        <v>8792</v>
      </c>
      <c r="AH33" s="7">
        <v>0</v>
      </c>
      <c r="AI33" s="8">
        <f>$B33*AH33/1000</f>
        <v>0</v>
      </c>
      <c r="AJ33" s="6">
        <v>248</v>
      </c>
      <c r="AK33" s="6">
        <v>2689</v>
      </c>
      <c r="AL33" s="6">
        <f>AJ33*4-AK33</f>
        <v>-1697</v>
      </c>
      <c r="AM33" s="7">
        <v>0</v>
      </c>
      <c r="AN33" s="8">
        <f>$B33*AM33/1000</f>
        <v>0</v>
      </c>
      <c r="AO33" s="6">
        <v>465</v>
      </c>
      <c r="AP33" s="6">
        <v>652</v>
      </c>
      <c r="AQ33" s="6">
        <f>AO33*4-AP33</f>
        <v>1208</v>
      </c>
      <c r="AR33" s="7">
        <v>0</v>
      </c>
      <c r="AS33" s="8">
        <f>$B33*AR33/1000</f>
        <v>0</v>
      </c>
      <c r="AT33" s="6">
        <v>2</v>
      </c>
      <c r="AU33" s="6">
        <v>0</v>
      </c>
      <c r="AV33" s="6">
        <f>AT33*4-AU33</f>
        <v>8</v>
      </c>
      <c r="AW33" s="7">
        <v>0</v>
      </c>
      <c r="AX33" s="8">
        <f>$B33*AW33/1000</f>
        <v>0</v>
      </c>
      <c r="AY33" s="6">
        <v>840</v>
      </c>
      <c r="AZ33" s="6">
        <v>1437</v>
      </c>
      <c r="BA33" s="6">
        <f>AY33*4-AZ33</f>
        <v>1923</v>
      </c>
      <c r="BB33" s="7">
        <v>0</v>
      </c>
      <c r="BC33" s="8">
        <f>$B33*BB33/1000</f>
        <v>0</v>
      </c>
      <c r="BD33" s="6">
        <v>813</v>
      </c>
      <c r="BE33" s="6">
        <v>9</v>
      </c>
      <c r="BF33" s="6">
        <f>BD33*4-BE33</f>
        <v>3243</v>
      </c>
      <c r="BG33" s="7">
        <v>0</v>
      </c>
      <c r="BH33" s="8">
        <f>$B33*BG33/1000</f>
        <v>0</v>
      </c>
      <c r="BI33" s="6">
        <v>112</v>
      </c>
      <c r="BJ33" s="6">
        <v>1152</v>
      </c>
      <c r="BK33" s="6">
        <f>BI33*4-BJ33</f>
        <v>-704</v>
      </c>
      <c r="BL33" s="7">
        <v>0</v>
      </c>
      <c r="BM33" s="8">
        <f>$B33*BL33/1000</f>
        <v>0</v>
      </c>
      <c r="BN33" s="6">
        <v>1746</v>
      </c>
      <c r="BO33" s="6">
        <v>5016</v>
      </c>
      <c r="BP33" s="6">
        <f>BN33*4-BO33</f>
        <v>1968</v>
      </c>
      <c r="BQ33" s="7">
        <v>0</v>
      </c>
      <c r="BR33" s="8">
        <f>$B33*BQ33/1000</f>
        <v>0</v>
      </c>
    </row>
    <row r="34" ht="24" customHeight="1" spans="1:70" x14ac:dyDescent="0.25">
      <c r="A34" s="3" t="s">
        <v>134</v>
      </c>
      <c r="B34" s="4">
        <v>5</v>
      </c>
      <c r="C34" s="5" t="s">
        <v>135</v>
      </c>
      <c r="D34" s="6">
        <v>3</v>
      </c>
      <c r="E34" s="6">
        <v>174</v>
      </c>
      <c r="F34" s="6">
        <v>1</v>
      </c>
      <c r="G34" s="6">
        <v>17</v>
      </c>
      <c r="H34" s="6">
        <f>F34*4-G34</f>
        <v>-13</v>
      </c>
      <c r="I34" s="7">
        <v>0</v>
      </c>
      <c r="J34" s="8">
        <f>$B34*I34/1000</f>
        <v>0</v>
      </c>
      <c r="K34" s="6">
        <v>0</v>
      </c>
      <c r="L34" s="6">
        <v>0</v>
      </c>
      <c r="M34" s="6">
        <f>K34*4-L34</f>
        <v>0</v>
      </c>
      <c r="N34" s="7">
        <v>0</v>
      </c>
      <c r="O34" s="8">
        <f>$B34*N34/1000</f>
        <v>0</v>
      </c>
      <c r="P34" s="6">
        <v>2</v>
      </c>
      <c r="Q34" s="6">
        <v>105</v>
      </c>
      <c r="R34" s="6">
        <f>P34*4-Q34</f>
        <v>-97</v>
      </c>
      <c r="S34" s="7">
        <v>0</v>
      </c>
      <c r="T34" s="8">
        <f>$B34*S34/1000</f>
        <v>0</v>
      </c>
      <c r="U34" s="6">
        <v>0</v>
      </c>
      <c r="V34" s="6">
        <v>12</v>
      </c>
      <c r="W34" s="6">
        <f>U34*4-V34</f>
        <v>-12</v>
      </c>
      <c r="X34" s="7">
        <v>0</v>
      </c>
      <c r="Y34" s="8">
        <f>$B34*X34/1000</f>
        <v>0</v>
      </c>
      <c r="Z34" s="6">
        <v>0</v>
      </c>
      <c r="AA34" s="6">
        <v>0</v>
      </c>
      <c r="AB34" s="6">
        <f>Z34*4-AA34</f>
        <v>0</v>
      </c>
      <c r="AC34" s="7">
        <v>0</v>
      </c>
      <c r="AD34" s="8">
        <f>$B34*AC34/1000</f>
        <v>0</v>
      </c>
      <c r="AE34" s="6">
        <v>0</v>
      </c>
      <c r="AF34" s="6">
        <v>31</v>
      </c>
      <c r="AG34" s="6">
        <f>AE34*4-AF34</f>
        <v>-31</v>
      </c>
      <c r="AH34" s="7">
        <v>0</v>
      </c>
      <c r="AI34" s="8">
        <f>$B34*AH34/1000</f>
        <v>0</v>
      </c>
      <c r="AJ34" s="6">
        <v>0</v>
      </c>
      <c r="AK34" s="6">
        <v>0</v>
      </c>
      <c r="AL34" s="6">
        <f>AJ34*4-AK34</f>
        <v>0</v>
      </c>
      <c r="AM34" s="7">
        <v>0</v>
      </c>
      <c r="AN34" s="8">
        <f>$B34*AM34/1000</f>
        <v>0</v>
      </c>
      <c r="AO34" s="6">
        <v>0</v>
      </c>
      <c r="AP34" s="6">
        <v>0</v>
      </c>
      <c r="AQ34" s="6">
        <f>AO34*4-AP34</f>
        <v>0</v>
      </c>
      <c r="AR34" s="7">
        <v>0</v>
      </c>
      <c r="AS34" s="8">
        <f>$B34*AR34/1000</f>
        <v>0</v>
      </c>
      <c r="AT34" s="6">
        <v>0</v>
      </c>
      <c r="AU34" s="6">
        <v>0</v>
      </c>
      <c r="AV34" s="6">
        <f>AT34*4-AU34</f>
        <v>0</v>
      </c>
      <c r="AW34" s="7">
        <v>0</v>
      </c>
      <c r="AX34" s="8">
        <f>$B34*AW34/1000</f>
        <v>0</v>
      </c>
      <c r="AY34" s="6">
        <v>0</v>
      </c>
      <c r="AZ34" s="6">
        <v>0</v>
      </c>
      <c r="BA34" s="6">
        <f>AY34*4-AZ34</f>
        <v>0</v>
      </c>
      <c r="BB34" s="7">
        <v>0</v>
      </c>
      <c r="BC34" s="8">
        <f>$B34*BB34/1000</f>
        <v>0</v>
      </c>
      <c r="BD34" s="6">
        <v>0</v>
      </c>
      <c r="BE34" s="6">
        <v>0</v>
      </c>
      <c r="BF34" s="6">
        <f>BD34*4-BE34</f>
        <v>0</v>
      </c>
      <c r="BG34" s="7">
        <v>0</v>
      </c>
      <c r="BH34" s="8">
        <f>$B34*BG34/1000</f>
        <v>0</v>
      </c>
      <c r="BI34" s="6">
        <v>0</v>
      </c>
      <c r="BJ34" s="6">
        <v>0</v>
      </c>
      <c r="BK34" s="6">
        <f>BI34*4-BJ34</f>
        <v>0</v>
      </c>
      <c r="BL34" s="7">
        <v>0</v>
      </c>
      <c r="BM34" s="8">
        <f>$B34*BL34/1000</f>
        <v>0</v>
      </c>
      <c r="BN34" s="6">
        <v>0</v>
      </c>
      <c r="BO34" s="6">
        <v>9</v>
      </c>
      <c r="BP34" s="6">
        <f>BN34*4-BO34</f>
        <v>-9</v>
      </c>
      <c r="BQ34" s="7">
        <v>0</v>
      </c>
      <c r="BR34" s="8">
        <f>$B34*BQ34/1000</f>
        <v>0</v>
      </c>
    </row>
    <row r="35" ht="24" customHeight="1" spans="1:70" x14ac:dyDescent="0.25">
      <c r="A35" s="3" t="s">
        <v>136</v>
      </c>
      <c r="B35" s="4">
        <v>5</v>
      </c>
      <c r="C35" s="5" t="s">
        <v>137</v>
      </c>
      <c r="D35" s="6">
        <v>3</v>
      </c>
      <c r="E35" s="6">
        <v>189</v>
      </c>
      <c r="F35" s="6">
        <v>1</v>
      </c>
      <c r="G35" s="6">
        <v>20</v>
      </c>
      <c r="H35" s="6">
        <f>F35*4-G35</f>
        <v>-16</v>
      </c>
      <c r="I35" s="7">
        <v>0</v>
      </c>
      <c r="J35" s="8">
        <f>$B35*I35/1000</f>
        <v>0</v>
      </c>
      <c r="K35" s="6">
        <v>0</v>
      </c>
      <c r="L35" s="6">
        <v>16</v>
      </c>
      <c r="M35" s="6">
        <f>K35*4-L35</f>
        <v>-16</v>
      </c>
      <c r="N35" s="7">
        <v>0</v>
      </c>
      <c r="O35" s="8">
        <f>$B35*N35/1000</f>
        <v>0</v>
      </c>
      <c r="P35" s="6">
        <v>2</v>
      </c>
      <c r="Q35" s="6">
        <v>89</v>
      </c>
      <c r="R35" s="6">
        <f>P35*4-Q35</f>
        <v>-81</v>
      </c>
      <c r="S35" s="7">
        <v>0</v>
      </c>
      <c r="T35" s="8">
        <f>$B35*S35/1000</f>
        <v>0</v>
      </c>
      <c r="U35" s="6">
        <v>0</v>
      </c>
      <c r="V35" s="6">
        <v>10</v>
      </c>
      <c r="W35" s="6">
        <f>U35*4-V35</f>
        <v>-10</v>
      </c>
      <c r="X35" s="7">
        <v>0</v>
      </c>
      <c r="Y35" s="8">
        <f>$B35*X35/1000</f>
        <v>0</v>
      </c>
      <c r="Z35" s="6">
        <v>0</v>
      </c>
      <c r="AA35" s="6">
        <v>0</v>
      </c>
      <c r="AB35" s="6">
        <f>Z35*4-AA35</f>
        <v>0</v>
      </c>
      <c r="AC35" s="7">
        <v>0</v>
      </c>
      <c r="AD35" s="8">
        <f>$B35*AC35/1000</f>
        <v>0</v>
      </c>
      <c r="AE35" s="6">
        <v>0</v>
      </c>
      <c r="AF35" s="6">
        <v>37</v>
      </c>
      <c r="AG35" s="6">
        <f>AE35*4-AF35</f>
        <v>-37</v>
      </c>
      <c r="AH35" s="7">
        <v>0</v>
      </c>
      <c r="AI35" s="8">
        <f>$B35*AH35/1000</f>
        <v>0</v>
      </c>
      <c r="AJ35" s="6">
        <v>0</v>
      </c>
      <c r="AK35" s="6">
        <v>0</v>
      </c>
      <c r="AL35" s="6">
        <f>AJ35*4-AK35</f>
        <v>0</v>
      </c>
      <c r="AM35" s="7">
        <v>0</v>
      </c>
      <c r="AN35" s="8">
        <f>$B35*AM35/1000</f>
        <v>0</v>
      </c>
      <c r="AO35" s="6">
        <v>0</v>
      </c>
      <c r="AP35" s="6">
        <v>0</v>
      </c>
      <c r="AQ35" s="6">
        <f>AO35*4-AP35</f>
        <v>0</v>
      </c>
      <c r="AR35" s="7">
        <v>0</v>
      </c>
      <c r="AS35" s="8">
        <f>$B35*AR35/1000</f>
        <v>0</v>
      </c>
      <c r="AT35" s="6">
        <v>0</v>
      </c>
      <c r="AU35" s="6">
        <v>0</v>
      </c>
      <c r="AV35" s="6">
        <f>AT35*4-AU35</f>
        <v>0</v>
      </c>
      <c r="AW35" s="7">
        <v>0</v>
      </c>
      <c r="AX35" s="8">
        <f>$B35*AW35/1000</f>
        <v>0</v>
      </c>
      <c r="AY35" s="6">
        <v>0</v>
      </c>
      <c r="AZ35" s="6">
        <v>0</v>
      </c>
      <c r="BA35" s="6">
        <f>AY35*4-AZ35</f>
        <v>0</v>
      </c>
      <c r="BB35" s="7">
        <v>0</v>
      </c>
      <c r="BC35" s="8">
        <f>$B35*BB35/1000</f>
        <v>0</v>
      </c>
      <c r="BD35" s="6">
        <v>0</v>
      </c>
      <c r="BE35" s="6">
        <v>0</v>
      </c>
      <c r="BF35" s="6">
        <f>BD35*4-BE35</f>
        <v>0</v>
      </c>
      <c r="BG35" s="7">
        <v>0</v>
      </c>
      <c r="BH35" s="8">
        <f>$B35*BG35/1000</f>
        <v>0</v>
      </c>
      <c r="BI35" s="6">
        <v>0</v>
      </c>
      <c r="BJ35" s="6">
        <v>0</v>
      </c>
      <c r="BK35" s="6">
        <f>BI35*4-BJ35</f>
        <v>0</v>
      </c>
      <c r="BL35" s="7">
        <v>0</v>
      </c>
      <c r="BM35" s="8">
        <f>$B35*BL35/1000</f>
        <v>0</v>
      </c>
      <c r="BN35" s="6">
        <v>0</v>
      </c>
      <c r="BO35" s="6">
        <v>17</v>
      </c>
      <c r="BP35" s="6">
        <f>BN35*4-BO35</f>
        <v>-17</v>
      </c>
      <c r="BQ35" s="7">
        <v>0</v>
      </c>
      <c r="BR35" s="8">
        <f>$B35*BQ35/1000</f>
        <v>0</v>
      </c>
    </row>
    <row r="36" ht="24" customHeight="1" spans="1:70" x14ac:dyDescent="0.25">
      <c r="A36" s="3" t="s">
        <v>138</v>
      </c>
      <c r="B36" s="4">
        <v>10</v>
      </c>
      <c r="C36" s="5" t="s">
        <v>139</v>
      </c>
      <c r="D36" s="6">
        <v>13</v>
      </c>
      <c r="E36" s="6">
        <v>111</v>
      </c>
      <c r="F36" s="6">
        <v>1</v>
      </c>
      <c r="G36" s="6">
        <v>32</v>
      </c>
      <c r="H36" s="6">
        <f>F36*4-G36</f>
        <v>-28</v>
      </c>
      <c r="I36" s="7">
        <v>0</v>
      </c>
      <c r="J36" s="8">
        <f>$B36*I36/1000</f>
        <v>0</v>
      </c>
      <c r="K36" s="6">
        <v>0</v>
      </c>
      <c r="L36" s="6">
        <v>0</v>
      </c>
      <c r="M36" s="6">
        <f>K36*4-L36</f>
        <v>0</v>
      </c>
      <c r="N36" s="7">
        <v>0</v>
      </c>
      <c r="O36" s="8">
        <f>$B36*N36/1000</f>
        <v>0</v>
      </c>
      <c r="P36" s="6">
        <v>9</v>
      </c>
      <c r="Q36" s="6">
        <v>61</v>
      </c>
      <c r="R36" s="6">
        <f>P36*4-Q36</f>
        <v>-25</v>
      </c>
      <c r="S36" s="7">
        <v>0</v>
      </c>
      <c r="T36" s="8">
        <f>$B36*S36/1000</f>
        <v>0</v>
      </c>
      <c r="U36" s="6">
        <v>0</v>
      </c>
      <c r="V36" s="6">
        <v>0</v>
      </c>
      <c r="W36" s="6">
        <f>U36*4-V36</f>
        <v>0</v>
      </c>
      <c r="X36" s="7">
        <v>0</v>
      </c>
      <c r="Y36" s="8">
        <f>$B36*X36/1000</f>
        <v>0</v>
      </c>
      <c r="Z36" s="6">
        <v>0</v>
      </c>
      <c r="AA36" s="6">
        <v>0</v>
      </c>
      <c r="AB36" s="6">
        <f>Z36*4-AA36</f>
        <v>0</v>
      </c>
      <c r="AC36" s="7">
        <v>0</v>
      </c>
      <c r="AD36" s="8">
        <f>$B36*AC36/1000</f>
        <v>0</v>
      </c>
      <c r="AE36" s="6">
        <v>3</v>
      </c>
      <c r="AF36" s="6">
        <v>18</v>
      </c>
      <c r="AG36" s="6">
        <f>AE36*4-AF36</f>
        <v>-6</v>
      </c>
      <c r="AH36" s="7">
        <v>0</v>
      </c>
      <c r="AI36" s="8">
        <f>$B36*AH36/1000</f>
        <v>0</v>
      </c>
      <c r="AJ36" s="6">
        <v>0</v>
      </c>
      <c r="AK36" s="6">
        <v>0</v>
      </c>
      <c r="AL36" s="6">
        <f>AJ36*4-AK36</f>
        <v>0</v>
      </c>
      <c r="AM36" s="7">
        <v>0</v>
      </c>
      <c r="AN36" s="8">
        <f>$B36*AM36/1000</f>
        <v>0</v>
      </c>
      <c r="AO36" s="6">
        <v>0</v>
      </c>
      <c r="AP36" s="6">
        <v>0</v>
      </c>
      <c r="AQ36" s="6">
        <f>AO36*4-AP36</f>
        <v>0</v>
      </c>
      <c r="AR36" s="7">
        <v>0</v>
      </c>
      <c r="AS36" s="8">
        <f>$B36*AR36/1000</f>
        <v>0</v>
      </c>
      <c r="AT36" s="6">
        <v>0</v>
      </c>
      <c r="AU36" s="6">
        <v>0</v>
      </c>
      <c r="AV36" s="6">
        <f>AT36*4-AU36</f>
        <v>0</v>
      </c>
      <c r="AW36" s="7">
        <v>0</v>
      </c>
      <c r="AX36" s="8">
        <f>$B36*AW36/1000</f>
        <v>0</v>
      </c>
      <c r="AY36" s="6">
        <v>0</v>
      </c>
      <c r="AZ36" s="6">
        <v>0</v>
      </c>
      <c r="BA36" s="6">
        <f>AY36*4-AZ36</f>
        <v>0</v>
      </c>
      <c r="BB36" s="7">
        <v>0</v>
      </c>
      <c r="BC36" s="8">
        <f>$B36*BB36/1000</f>
        <v>0</v>
      </c>
      <c r="BD36" s="6">
        <v>0</v>
      </c>
      <c r="BE36" s="6">
        <v>0</v>
      </c>
      <c r="BF36" s="6">
        <f>BD36*4-BE36</f>
        <v>0</v>
      </c>
      <c r="BG36" s="7">
        <v>0</v>
      </c>
      <c r="BH36" s="8">
        <f>$B36*BG36/1000</f>
        <v>0</v>
      </c>
      <c r="BI36" s="6">
        <v>0</v>
      </c>
      <c r="BJ36" s="6">
        <v>0</v>
      </c>
      <c r="BK36" s="6">
        <f>BI36*4-BJ36</f>
        <v>0</v>
      </c>
      <c r="BL36" s="7">
        <v>0</v>
      </c>
      <c r="BM36" s="8">
        <f>$B36*BL36/1000</f>
        <v>0</v>
      </c>
      <c r="BN36" s="6">
        <v>0</v>
      </c>
      <c r="BO36" s="6">
        <v>0</v>
      </c>
      <c r="BP36" s="6">
        <f>BN36*4-BO36</f>
        <v>0</v>
      </c>
      <c r="BQ36" s="7">
        <v>0</v>
      </c>
      <c r="BR36" s="8">
        <f>$B36*BQ36/1000</f>
        <v>0</v>
      </c>
    </row>
    <row r="37" ht="24" customHeight="1" spans="1:70" x14ac:dyDescent="0.25">
      <c r="A37" s="3" t="s">
        <v>140</v>
      </c>
      <c r="B37" s="4">
        <v>5</v>
      </c>
      <c r="C37" s="5" t="s">
        <v>141</v>
      </c>
      <c r="D37" s="6">
        <v>6</v>
      </c>
      <c r="E37" s="6">
        <v>92</v>
      </c>
      <c r="F37" s="6">
        <v>2</v>
      </c>
      <c r="G37" s="6">
        <v>16</v>
      </c>
      <c r="H37" s="6">
        <f>F37*4-G37</f>
        <v>-8</v>
      </c>
      <c r="I37" s="7">
        <v>0</v>
      </c>
      <c r="J37" s="8">
        <f>$B37*I37/1000</f>
        <v>0</v>
      </c>
      <c r="K37" s="6">
        <v>0</v>
      </c>
      <c r="L37" s="6">
        <v>0</v>
      </c>
      <c r="M37" s="6">
        <f>K37*4-L37</f>
        <v>0</v>
      </c>
      <c r="N37" s="7">
        <v>0</v>
      </c>
      <c r="O37" s="8">
        <f>$B37*N37/1000</f>
        <v>0</v>
      </c>
      <c r="P37" s="6">
        <v>3</v>
      </c>
      <c r="Q37" s="6">
        <v>28</v>
      </c>
      <c r="R37" s="6">
        <f>P37*4-Q37</f>
        <v>-16</v>
      </c>
      <c r="S37" s="7">
        <v>0</v>
      </c>
      <c r="T37" s="8">
        <f>$B37*S37/1000</f>
        <v>0</v>
      </c>
      <c r="U37" s="6">
        <v>0</v>
      </c>
      <c r="V37" s="6">
        <v>0</v>
      </c>
      <c r="W37" s="6">
        <f>U37*4-V37</f>
        <v>0</v>
      </c>
      <c r="X37" s="7">
        <v>0</v>
      </c>
      <c r="Y37" s="8">
        <f>$B37*X37/1000</f>
        <v>0</v>
      </c>
      <c r="Z37" s="6">
        <v>0</v>
      </c>
      <c r="AA37" s="6">
        <v>0</v>
      </c>
      <c r="AB37" s="6">
        <f>Z37*4-AA37</f>
        <v>0</v>
      </c>
      <c r="AC37" s="7">
        <v>0</v>
      </c>
      <c r="AD37" s="8">
        <f>$B37*AC37/1000</f>
        <v>0</v>
      </c>
      <c r="AE37" s="6">
        <v>0</v>
      </c>
      <c r="AF37" s="6">
        <v>36</v>
      </c>
      <c r="AG37" s="6">
        <f>AE37*4-AF37</f>
        <v>-36</v>
      </c>
      <c r="AH37" s="7">
        <v>0</v>
      </c>
      <c r="AI37" s="8">
        <f>$B37*AH37/1000</f>
        <v>0</v>
      </c>
      <c r="AJ37" s="6">
        <v>0</v>
      </c>
      <c r="AK37" s="6">
        <v>0</v>
      </c>
      <c r="AL37" s="6">
        <f>AJ37*4-AK37</f>
        <v>0</v>
      </c>
      <c r="AM37" s="7">
        <v>0</v>
      </c>
      <c r="AN37" s="8">
        <f>$B37*AM37/1000</f>
        <v>0</v>
      </c>
      <c r="AO37" s="6">
        <v>0</v>
      </c>
      <c r="AP37" s="6">
        <v>0</v>
      </c>
      <c r="AQ37" s="6">
        <f>AO37*4-AP37</f>
        <v>0</v>
      </c>
      <c r="AR37" s="7">
        <v>0</v>
      </c>
      <c r="AS37" s="8">
        <f>$B37*AR37/1000</f>
        <v>0</v>
      </c>
      <c r="AT37" s="6">
        <v>0</v>
      </c>
      <c r="AU37" s="6">
        <v>0</v>
      </c>
      <c r="AV37" s="6">
        <f>AT37*4-AU37</f>
        <v>0</v>
      </c>
      <c r="AW37" s="7">
        <v>0</v>
      </c>
      <c r="AX37" s="8">
        <f>$B37*AW37/1000</f>
        <v>0</v>
      </c>
      <c r="AY37" s="6">
        <v>0</v>
      </c>
      <c r="AZ37" s="6">
        <v>0</v>
      </c>
      <c r="BA37" s="6">
        <f>AY37*4-AZ37</f>
        <v>0</v>
      </c>
      <c r="BB37" s="7">
        <v>0</v>
      </c>
      <c r="BC37" s="8">
        <f>$B37*BB37/1000</f>
        <v>0</v>
      </c>
      <c r="BD37" s="6">
        <v>0</v>
      </c>
      <c r="BE37" s="6">
        <v>0</v>
      </c>
      <c r="BF37" s="6">
        <f>BD37*4-BE37</f>
        <v>0</v>
      </c>
      <c r="BG37" s="7">
        <v>0</v>
      </c>
      <c r="BH37" s="8">
        <f>$B37*BG37/1000</f>
        <v>0</v>
      </c>
      <c r="BI37" s="6">
        <v>0</v>
      </c>
      <c r="BJ37" s="6">
        <v>0</v>
      </c>
      <c r="BK37" s="6">
        <f>BI37*4-BJ37</f>
        <v>0</v>
      </c>
      <c r="BL37" s="7">
        <v>0</v>
      </c>
      <c r="BM37" s="8">
        <f>$B37*BL37/1000</f>
        <v>0</v>
      </c>
      <c r="BN37" s="6">
        <v>1</v>
      </c>
      <c r="BO37" s="6">
        <v>12</v>
      </c>
      <c r="BP37" s="6">
        <f>BN37*4-BO37</f>
        <v>-8</v>
      </c>
      <c r="BQ37" s="7">
        <v>0</v>
      </c>
      <c r="BR37" s="8">
        <f>$B37*BQ37/1000</f>
        <v>0</v>
      </c>
    </row>
    <row r="38" ht="24" customHeight="1" spans="1:70" x14ac:dyDescent="0.25">
      <c r="A38" s="3" t="s">
        <v>142</v>
      </c>
      <c r="B38" s="4">
        <v>1</v>
      </c>
      <c r="C38" s="5" t="s">
        <v>143</v>
      </c>
      <c r="D38" s="6">
        <v>2</v>
      </c>
      <c r="E38" s="6">
        <v>161</v>
      </c>
      <c r="F38" s="6">
        <v>2</v>
      </c>
      <c r="G38" s="6">
        <v>19</v>
      </c>
      <c r="H38" s="6">
        <f>F38*4-G38</f>
        <v>-11</v>
      </c>
      <c r="I38" s="7">
        <v>0</v>
      </c>
      <c r="J38" s="8">
        <f>$B38*I38/1000</f>
        <v>0</v>
      </c>
      <c r="K38" s="6">
        <v>0</v>
      </c>
      <c r="L38" s="6">
        <v>0</v>
      </c>
      <c r="M38" s="6">
        <f>K38*4-L38</f>
        <v>0</v>
      </c>
      <c r="N38" s="7">
        <v>0</v>
      </c>
      <c r="O38" s="8">
        <f>$B38*N38/1000</f>
        <v>0</v>
      </c>
      <c r="P38" s="6">
        <v>0</v>
      </c>
      <c r="Q38" s="6">
        <v>110</v>
      </c>
      <c r="R38" s="6">
        <f>P38*4-Q38</f>
        <v>-110</v>
      </c>
      <c r="S38" s="7">
        <v>0</v>
      </c>
      <c r="T38" s="8">
        <f>$B38*S38/1000</f>
        <v>0</v>
      </c>
      <c r="U38" s="6">
        <v>0</v>
      </c>
      <c r="V38" s="6">
        <v>0</v>
      </c>
      <c r="W38" s="6">
        <f>U38*4-V38</f>
        <v>0</v>
      </c>
      <c r="X38" s="7">
        <v>0</v>
      </c>
      <c r="Y38" s="8">
        <f>$B38*X38/1000</f>
        <v>0</v>
      </c>
      <c r="Z38" s="6">
        <v>0</v>
      </c>
      <c r="AA38" s="6">
        <v>0</v>
      </c>
      <c r="AB38" s="6">
        <f>Z38*4-AA38</f>
        <v>0</v>
      </c>
      <c r="AC38" s="7">
        <v>0</v>
      </c>
      <c r="AD38" s="8">
        <f>$B38*AC38/1000</f>
        <v>0</v>
      </c>
      <c r="AE38" s="6">
        <v>0</v>
      </c>
      <c r="AF38" s="6">
        <v>16</v>
      </c>
      <c r="AG38" s="6">
        <f>AE38*4-AF38</f>
        <v>-16</v>
      </c>
      <c r="AH38" s="7">
        <v>0</v>
      </c>
      <c r="AI38" s="8">
        <f>$B38*AH38/1000</f>
        <v>0</v>
      </c>
      <c r="AJ38" s="6">
        <v>0</v>
      </c>
      <c r="AK38" s="6">
        <v>0</v>
      </c>
      <c r="AL38" s="6">
        <f>AJ38*4-AK38</f>
        <v>0</v>
      </c>
      <c r="AM38" s="7">
        <v>0</v>
      </c>
      <c r="AN38" s="8">
        <f>$B38*AM38/1000</f>
        <v>0</v>
      </c>
      <c r="AO38" s="6">
        <v>0</v>
      </c>
      <c r="AP38" s="6">
        <v>0</v>
      </c>
      <c r="AQ38" s="6">
        <f>AO38*4-AP38</f>
        <v>0</v>
      </c>
      <c r="AR38" s="7">
        <v>0</v>
      </c>
      <c r="AS38" s="8">
        <f>$B38*AR38/1000</f>
        <v>0</v>
      </c>
      <c r="AT38" s="6">
        <v>0</v>
      </c>
      <c r="AU38" s="6">
        <v>0</v>
      </c>
      <c r="AV38" s="6">
        <f>AT38*4-AU38</f>
        <v>0</v>
      </c>
      <c r="AW38" s="7">
        <v>0</v>
      </c>
      <c r="AX38" s="8">
        <f>$B38*AW38/1000</f>
        <v>0</v>
      </c>
      <c r="AY38" s="6">
        <v>0</v>
      </c>
      <c r="AZ38" s="6">
        <v>0</v>
      </c>
      <c r="BA38" s="6">
        <f>AY38*4-AZ38</f>
        <v>0</v>
      </c>
      <c r="BB38" s="7">
        <v>0</v>
      </c>
      <c r="BC38" s="8">
        <f>$B38*BB38/1000</f>
        <v>0</v>
      </c>
      <c r="BD38" s="6">
        <v>0</v>
      </c>
      <c r="BE38" s="6">
        <v>0</v>
      </c>
      <c r="BF38" s="6">
        <f>BD38*4-BE38</f>
        <v>0</v>
      </c>
      <c r="BG38" s="7">
        <v>0</v>
      </c>
      <c r="BH38" s="8">
        <f>$B38*BG38/1000</f>
        <v>0</v>
      </c>
      <c r="BI38" s="6">
        <v>0</v>
      </c>
      <c r="BJ38" s="6">
        <v>0</v>
      </c>
      <c r="BK38" s="6">
        <f>BI38*4-BJ38</f>
        <v>0</v>
      </c>
      <c r="BL38" s="7">
        <v>0</v>
      </c>
      <c r="BM38" s="8">
        <f>$B38*BL38/1000</f>
        <v>0</v>
      </c>
      <c r="BN38" s="6">
        <v>0</v>
      </c>
      <c r="BO38" s="6">
        <v>16</v>
      </c>
      <c r="BP38" s="6">
        <f>BN38*4-BO38</f>
        <v>-16</v>
      </c>
      <c r="BQ38" s="7">
        <v>0</v>
      </c>
      <c r="BR38" s="8">
        <f>$B38*BQ38/1000</f>
        <v>0</v>
      </c>
    </row>
    <row r="39" ht="24" customHeight="1" spans="1:70" x14ac:dyDescent="0.25">
      <c r="A39" s="3" t="s">
        <v>144</v>
      </c>
      <c r="B39" s="4">
        <v>10</v>
      </c>
      <c r="C39" s="5" t="s">
        <v>145</v>
      </c>
      <c r="D39" s="6">
        <v>1073</v>
      </c>
      <c r="E39" s="6">
        <v>648</v>
      </c>
      <c r="F39" s="6">
        <v>53</v>
      </c>
      <c r="G39" s="6">
        <v>218</v>
      </c>
      <c r="H39" s="6">
        <f>F39*4-G39</f>
        <v>-6</v>
      </c>
      <c r="I39" s="7">
        <v>0</v>
      </c>
      <c r="J39" s="8">
        <f>$B39*I39/1000</f>
        <v>0</v>
      </c>
      <c r="K39" s="6">
        <v>26</v>
      </c>
      <c r="L39" s="6">
        <v>78</v>
      </c>
      <c r="M39" s="6">
        <f>K39*4-L39</f>
        <v>26</v>
      </c>
      <c r="N39" s="7">
        <v>0</v>
      </c>
      <c r="O39" s="8">
        <f>$B39*N39/1000</f>
        <v>0</v>
      </c>
      <c r="P39" s="6">
        <v>880</v>
      </c>
      <c r="Q39" s="6">
        <v>184</v>
      </c>
      <c r="R39" s="6">
        <f>P39*4-Q39</f>
        <v>3336</v>
      </c>
      <c r="S39" s="7">
        <v>0</v>
      </c>
      <c r="T39" s="8">
        <f>$B39*S39/1000</f>
        <v>0</v>
      </c>
      <c r="U39" s="6">
        <v>15</v>
      </c>
      <c r="V39" s="6">
        <v>2</v>
      </c>
      <c r="W39" s="6">
        <f>U39*4-V39</f>
        <v>58</v>
      </c>
      <c r="X39" s="7">
        <v>0</v>
      </c>
      <c r="Y39" s="8">
        <f>$B39*X39/1000</f>
        <v>0</v>
      </c>
      <c r="Z39" s="6">
        <v>0</v>
      </c>
      <c r="AA39" s="6">
        <v>0</v>
      </c>
      <c r="AB39" s="6">
        <f>Z39*4-AA39</f>
        <v>0</v>
      </c>
      <c r="AC39" s="7">
        <v>0</v>
      </c>
      <c r="AD39" s="8">
        <f>$B39*AC39/1000</f>
        <v>0</v>
      </c>
      <c r="AE39" s="6">
        <v>68</v>
      </c>
      <c r="AF39" s="6">
        <v>70</v>
      </c>
      <c r="AG39" s="6">
        <f>AE39*4-AF39</f>
        <v>202</v>
      </c>
      <c r="AH39" s="7">
        <v>0</v>
      </c>
      <c r="AI39" s="8">
        <f>$B39*AH39/1000</f>
        <v>0</v>
      </c>
      <c r="AJ39" s="6">
        <v>6</v>
      </c>
      <c r="AK39" s="6">
        <v>90</v>
      </c>
      <c r="AL39" s="6">
        <f>AJ39*4-AK39</f>
        <v>-66</v>
      </c>
      <c r="AM39" s="7">
        <v>0</v>
      </c>
      <c r="AN39" s="8">
        <f>$B39*AM39/1000</f>
        <v>0</v>
      </c>
      <c r="AO39" s="6">
        <v>0</v>
      </c>
      <c r="AP39" s="6">
        <v>0</v>
      </c>
      <c r="AQ39" s="6">
        <f>AO39*4-AP39</f>
        <v>0</v>
      </c>
      <c r="AR39" s="7">
        <v>0</v>
      </c>
      <c r="AS39" s="8">
        <f>$B39*AR39/1000</f>
        <v>0</v>
      </c>
      <c r="AT39" s="6">
        <v>0</v>
      </c>
      <c r="AU39" s="6">
        <v>0</v>
      </c>
      <c r="AV39" s="6">
        <f>AT39*4-AU39</f>
        <v>0</v>
      </c>
      <c r="AW39" s="7">
        <v>0</v>
      </c>
      <c r="AX39" s="8">
        <f>$B39*AW39/1000</f>
        <v>0</v>
      </c>
      <c r="AY39" s="6">
        <v>0</v>
      </c>
      <c r="AZ39" s="6">
        <v>0</v>
      </c>
      <c r="BA39" s="6">
        <f>AY39*4-AZ39</f>
        <v>0</v>
      </c>
      <c r="BB39" s="7">
        <v>0</v>
      </c>
      <c r="BC39" s="8">
        <f>$B39*BB39/1000</f>
        <v>0</v>
      </c>
      <c r="BD39" s="6">
        <v>0</v>
      </c>
      <c r="BE39" s="6">
        <v>0</v>
      </c>
      <c r="BF39" s="6">
        <f>BD39*4-BE39</f>
        <v>0</v>
      </c>
      <c r="BG39" s="7">
        <v>0</v>
      </c>
      <c r="BH39" s="8">
        <f>$B39*BG39/1000</f>
        <v>0</v>
      </c>
      <c r="BI39" s="6">
        <v>0</v>
      </c>
      <c r="BJ39" s="6">
        <v>0</v>
      </c>
      <c r="BK39" s="6">
        <f>BI39*4-BJ39</f>
        <v>0</v>
      </c>
      <c r="BL39" s="7">
        <v>0</v>
      </c>
      <c r="BM39" s="8">
        <f>$B39*BL39/1000</f>
        <v>0</v>
      </c>
      <c r="BN39" s="6">
        <v>25</v>
      </c>
      <c r="BO39" s="6">
        <v>1</v>
      </c>
      <c r="BP39" s="6">
        <f>BN39*4-BO39</f>
        <v>99</v>
      </c>
      <c r="BQ39" s="7">
        <v>0</v>
      </c>
      <c r="BR39" s="8">
        <f>$B39*BQ39/1000</f>
        <v>0</v>
      </c>
    </row>
    <row r="40" ht="24" customHeight="1" spans="1:70" x14ac:dyDescent="0.25">
      <c r="A40" s="3" t="s">
        <v>146</v>
      </c>
      <c r="B40" s="4">
        <v>0.3</v>
      </c>
      <c r="C40" s="5" t="s">
        <v>147</v>
      </c>
      <c r="D40" s="6">
        <v>2</v>
      </c>
      <c r="E40" s="6">
        <v>183</v>
      </c>
      <c r="F40" s="6">
        <v>0</v>
      </c>
      <c r="G40" s="6">
        <v>20</v>
      </c>
      <c r="H40" s="6">
        <f>F40*4-G40</f>
        <v>-20</v>
      </c>
      <c r="I40" s="7">
        <v>0</v>
      </c>
      <c r="J40" s="8">
        <f>$B40*I40/1000</f>
        <v>0</v>
      </c>
      <c r="K40" s="6">
        <v>0</v>
      </c>
      <c r="L40" s="6">
        <v>0</v>
      </c>
      <c r="M40" s="6">
        <f>K40*4-L40</f>
        <v>0</v>
      </c>
      <c r="N40" s="7">
        <v>0</v>
      </c>
      <c r="O40" s="8">
        <f>$B40*N40/1000</f>
        <v>0</v>
      </c>
      <c r="P40" s="6">
        <v>0</v>
      </c>
      <c r="Q40" s="6">
        <v>97</v>
      </c>
      <c r="R40" s="6">
        <f>P40*4-Q40</f>
        <v>-97</v>
      </c>
      <c r="S40" s="7">
        <v>0</v>
      </c>
      <c r="T40" s="8">
        <f>$B40*S40/1000</f>
        <v>0</v>
      </c>
      <c r="U40" s="6">
        <v>0</v>
      </c>
      <c r="V40" s="6">
        <v>0</v>
      </c>
      <c r="W40" s="6">
        <f>U40*4-V40</f>
        <v>0</v>
      </c>
      <c r="X40" s="7">
        <v>0</v>
      </c>
      <c r="Y40" s="8">
        <f>$B40*X40/1000</f>
        <v>0</v>
      </c>
      <c r="Z40" s="6">
        <v>0</v>
      </c>
      <c r="AA40" s="6">
        <v>0</v>
      </c>
      <c r="AB40" s="6">
        <f>Z40*4-AA40</f>
        <v>0</v>
      </c>
      <c r="AC40" s="7">
        <v>0</v>
      </c>
      <c r="AD40" s="8">
        <f>$B40*AC40/1000</f>
        <v>0</v>
      </c>
      <c r="AE40" s="6">
        <v>1</v>
      </c>
      <c r="AF40" s="6">
        <v>37</v>
      </c>
      <c r="AG40" s="6">
        <f>AE40*4-AF40</f>
        <v>-33</v>
      </c>
      <c r="AH40" s="7">
        <v>0</v>
      </c>
      <c r="AI40" s="8">
        <f>$B40*AH40/1000</f>
        <v>0</v>
      </c>
      <c r="AJ40" s="6">
        <v>0</v>
      </c>
      <c r="AK40" s="6">
        <v>0</v>
      </c>
      <c r="AL40" s="6">
        <f>AJ40*4-AK40</f>
        <v>0</v>
      </c>
      <c r="AM40" s="7">
        <v>0</v>
      </c>
      <c r="AN40" s="8">
        <f>$B40*AM40/1000</f>
        <v>0</v>
      </c>
      <c r="AO40" s="6">
        <v>0</v>
      </c>
      <c r="AP40" s="6">
        <v>0</v>
      </c>
      <c r="AQ40" s="6">
        <f>AO40*4-AP40</f>
        <v>0</v>
      </c>
      <c r="AR40" s="7">
        <v>0</v>
      </c>
      <c r="AS40" s="8">
        <f>$B40*AR40/1000</f>
        <v>0</v>
      </c>
      <c r="AT40" s="6">
        <v>0</v>
      </c>
      <c r="AU40" s="6">
        <v>0</v>
      </c>
      <c r="AV40" s="6">
        <f>AT40*4-AU40</f>
        <v>0</v>
      </c>
      <c r="AW40" s="7">
        <v>0</v>
      </c>
      <c r="AX40" s="8">
        <f>$B40*AW40/1000</f>
        <v>0</v>
      </c>
      <c r="AY40" s="6">
        <v>0</v>
      </c>
      <c r="AZ40" s="6">
        <v>0</v>
      </c>
      <c r="BA40" s="6">
        <f>AY40*4-AZ40</f>
        <v>0</v>
      </c>
      <c r="BB40" s="7">
        <v>0</v>
      </c>
      <c r="BC40" s="8">
        <f>$B40*BB40/1000</f>
        <v>0</v>
      </c>
      <c r="BD40" s="6">
        <v>0</v>
      </c>
      <c r="BE40" s="6">
        <v>0</v>
      </c>
      <c r="BF40" s="6">
        <f>BD40*4-BE40</f>
        <v>0</v>
      </c>
      <c r="BG40" s="7">
        <v>0</v>
      </c>
      <c r="BH40" s="8">
        <f>$B40*BG40/1000</f>
        <v>0</v>
      </c>
      <c r="BI40" s="6">
        <v>0</v>
      </c>
      <c r="BJ40" s="6">
        <v>0</v>
      </c>
      <c r="BK40" s="6">
        <f>BI40*4-BJ40</f>
        <v>0</v>
      </c>
      <c r="BL40" s="7">
        <v>0</v>
      </c>
      <c r="BM40" s="8">
        <f>$B40*BL40/1000</f>
        <v>0</v>
      </c>
      <c r="BN40" s="6">
        <v>1</v>
      </c>
      <c r="BO40" s="6">
        <v>29</v>
      </c>
      <c r="BP40" s="6">
        <f>BN40*4-BO40</f>
        <v>-25</v>
      </c>
      <c r="BQ40" s="7">
        <v>0</v>
      </c>
      <c r="BR40" s="8">
        <f>$B40*BQ40/1000</f>
        <v>0</v>
      </c>
    </row>
    <row r="41" ht="24" customHeight="1" spans="1:70" x14ac:dyDescent="0.25">
      <c r="A41" s="3" t="s">
        <v>148</v>
      </c>
      <c r="B41" s="4">
        <v>2.5</v>
      </c>
      <c r="C41" s="5" t="s">
        <v>149</v>
      </c>
      <c r="D41" s="6">
        <v>1</v>
      </c>
      <c r="E41" s="6">
        <v>152</v>
      </c>
      <c r="F41" s="6">
        <v>0</v>
      </c>
      <c r="G41" s="6">
        <v>39</v>
      </c>
      <c r="H41" s="6">
        <f>F41*4-G41</f>
        <v>-39</v>
      </c>
      <c r="I41" s="7">
        <v>0</v>
      </c>
      <c r="J41" s="8">
        <f>$B41*I41/1000</f>
        <v>0</v>
      </c>
      <c r="K41" s="6">
        <v>0</v>
      </c>
      <c r="L41" s="6">
        <v>1</v>
      </c>
      <c r="M41" s="6">
        <f>K41*4-L41</f>
        <v>-1</v>
      </c>
      <c r="N41" s="7">
        <v>0</v>
      </c>
      <c r="O41" s="8">
        <f>$B41*N41/1000</f>
        <v>0</v>
      </c>
      <c r="P41" s="6">
        <v>0</v>
      </c>
      <c r="Q41" s="6">
        <v>72</v>
      </c>
      <c r="R41" s="6">
        <f>P41*4-Q41</f>
        <v>-72</v>
      </c>
      <c r="S41" s="7">
        <v>0</v>
      </c>
      <c r="T41" s="8">
        <f>$B41*S41/1000</f>
        <v>0</v>
      </c>
      <c r="U41" s="6">
        <v>0</v>
      </c>
      <c r="V41" s="6">
        <v>0</v>
      </c>
      <c r="W41" s="6">
        <f>U41*4-V41</f>
        <v>0</v>
      </c>
      <c r="X41" s="7">
        <v>0</v>
      </c>
      <c r="Y41" s="8">
        <f>$B41*X41/1000</f>
        <v>0</v>
      </c>
      <c r="Z41" s="6">
        <v>0</v>
      </c>
      <c r="AA41" s="6">
        <v>0</v>
      </c>
      <c r="AB41" s="6">
        <f>Z41*4-AA41</f>
        <v>0</v>
      </c>
      <c r="AC41" s="7">
        <v>0</v>
      </c>
      <c r="AD41" s="8">
        <f>$B41*AC41/1000</f>
        <v>0</v>
      </c>
      <c r="AE41" s="6">
        <v>1</v>
      </c>
      <c r="AF41" s="6">
        <v>25</v>
      </c>
      <c r="AG41" s="6">
        <f>AE41*4-AF41</f>
        <v>-21</v>
      </c>
      <c r="AH41" s="7">
        <v>0</v>
      </c>
      <c r="AI41" s="8">
        <f>$B41*AH41/1000</f>
        <v>0</v>
      </c>
      <c r="AJ41" s="6">
        <v>0</v>
      </c>
      <c r="AK41" s="6">
        <v>0</v>
      </c>
      <c r="AL41" s="6">
        <f>AJ41*4-AK41</f>
        <v>0</v>
      </c>
      <c r="AM41" s="7">
        <v>0</v>
      </c>
      <c r="AN41" s="8">
        <f>$B41*AM41/1000</f>
        <v>0</v>
      </c>
      <c r="AO41" s="6">
        <v>0</v>
      </c>
      <c r="AP41" s="6">
        <v>0</v>
      </c>
      <c r="AQ41" s="6">
        <f>AO41*4-AP41</f>
        <v>0</v>
      </c>
      <c r="AR41" s="7">
        <v>0</v>
      </c>
      <c r="AS41" s="8">
        <f>$B41*AR41/1000</f>
        <v>0</v>
      </c>
      <c r="AT41" s="6">
        <v>0</v>
      </c>
      <c r="AU41" s="6">
        <v>0</v>
      </c>
      <c r="AV41" s="6">
        <f>AT41*4-AU41</f>
        <v>0</v>
      </c>
      <c r="AW41" s="7">
        <v>0</v>
      </c>
      <c r="AX41" s="8">
        <f>$B41*AW41/1000</f>
        <v>0</v>
      </c>
      <c r="AY41" s="6">
        <v>0</v>
      </c>
      <c r="AZ41" s="6">
        <v>0</v>
      </c>
      <c r="BA41" s="6">
        <f>AY41*4-AZ41</f>
        <v>0</v>
      </c>
      <c r="BB41" s="7">
        <v>0</v>
      </c>
      <c r="BC41" s="8">
        <f>$B41*BB41/1000</f>
        <v>0</v>
      </c>
      <c r="BD41" s="6">
        <v>0</v>
      </c>
      <c r="BE41" s="6">
        <v>0</v>
      </c>
      <c r="BF41" s="6">
        <f>BD41*4-BE41</f>
        <v>0</v>
      </c>
      <c r="BG41" s="7">
        <v>0</v>
      </c>
      <c r="BH41" s="8">
        <f>$B41*BG41/1000</f>
        <v>0</v>
      </c>
      <c r="BI41" s="6">
        <v>0</v>
      </c>
      <c r="BJ41" s="6">
        <v>0</v>
      </c>
      <c r="BK41" s="6">
        <f>BI41*4-BJ41</f>
        <v>0</v>
      </c>
      <c r="BL41" s="7">
        <v>0</v>
      </c>
      <c r="BM41" s="8">
        <f>$B41*BL41/1000</f>
        <v>0</v>
      </c>
      <c r="BN41" s="6">
        <v>0</v>
      </c>
      <c r="BO41" s="6">
        <v>15</v>
      </c>
      <c r="BP41" s="6">
        <f>BN41*4-BO41</f>
        <v>-15</v>
      </c>
      <c r="BQ41" s="7">
        <v>0</v>
      </c>
      <c r="BR41" s="8">
        <f>$B41*BQ41/1000</f>
        <v>0</v>
      </c>
    </row>
    <row r="42" ht="26" customHeight="1" spans="1:70" x14ac:dyDescent="0.25">
      <c r="A42" s="9" t="s">
        <v>150</v>
      </c>
      <c r="B42" s="10"/>
      <c r="C42" s="11"/>
      <c r="D42" s="12">
        <f>SUM(D2:D41)</f>
        <v>24554</v>
      </c>
      <c r="E42" s="12">
        <f>SUM(E2:E41)</f>
        <v>88288</v>
      </c>
      <c r="F42" s="12">
        <f>SUM(F2:F41)</f>
        <v>1530</v>
      </c>
      <c r="G42" s="12">
        <f>SUM(G2:G41)</f>
        <v>13461</v>
      </c>
      <c r="H42" s="12">
        <f>SUM(H2:H41)</f>
        <v>-7341</v>
      </c>
      <c r="I42" s="13">
        <f>SUM(I2:I41)</f>
        <v>0</v>
      </c>
      <c r="J42" s="14">
        <f>SUM(J2:J41)</f>
        <v>0</v>
      </c>
      <c r="K42" s="12">
        <f>SUM(K2:K41)</f>
        <v>1716</v>
      </c>
      <c r="L42" s="12">
        <f>SUM(L2:L41)</f>
        <v>1295</v>
      </c>
      <c r="M42" s="12">
        <f>SUM(M2:M41)</f>
        <v>5569</v>
      </c>
      <c r="N42" s="13">
        <f>SUM(N2:N41)</f>
        <v>0</v>
      </c>
      <c r="O42" s="14">
        <f>SUM(O2:O41)</f>
        <v>0</v>
      </c>
      <c r="P42" s="12">
        <f>SUM(P2:P41)</f>
        <v>6906</v>
      </c>
      <c r="Q42" s="12">
        <f>SUM(Q2:Q41)</f>
        <v>30052</v>
      </c>
      <c r="R42" s="12">
        <f>SUM(R2:R41)</f>
        <v>-2428</v>
      </c>
      <c r="S42" s="13">
        <f>SUM(S2:S41)</f>
        <v>0</v>
      </c>
      <c r="T42" s="14">
        <f>SUM(T2:T41)</f>
        <v>0</v>
      </c>
      <c r="U42" s="12">
        <f>SUM(U2:U41)</f>
        <v>139</v>
      </c>
      <c r="V42" s="12">
        <f>SUM(V2:V41)</f>
        <v>397</v>
      </c>
      <c r="W42" s="12">
        <f>SUM(W2:W41)</f>
        <v>159</v>
      </c>
      <c r="X42" s="13">
        <f>SUM(X2:X41)</f>
        <v>0</v>
      </c>
      <c r="Y42" s="14">
        <f>SUM(Y2:Y41)</f>
        <v>0</v>
      </c>
      <c r="Z42" s="12">
        <f>SUM(Z2:Z41)</f>
        <v>1327</v>
      </c>
      <c r="AA42" s="12">
        <f>SUM(AA2:AA41)</f>
        <v>4825</v>
      </c>
      <c r="AB42" s="12">
        <f>SUM(AB2:AB41)</f>
        <v>483</v>
      </c>
      <c r="AC42" s="13">
        <f>SUM(AC2:AC41)</f>
        <v>0</v>
      </c>
      <c r="AD42" s="14">
        <f>SUM(AD2:AD41)</f>
        <v>0</v>
      </c>
      <c r="AE42" s="12">
        <f>SUM(AE2:AE41)</f>
        <v>5447</v>
      </c>
      <c r="AF42" s="12">
        <f>SUM(AF2:AF41)</f>
        <v>17896</v>
      </c>
      <c r="AG42" s="12">
        <f>SUM(AG2:AG41)</f>
        <v>3892</v>
      </c>
      <c r="AH42" s="13">
        <f>SUM(AH2:AH41)</f>
        <v>0</v>
      </c>
      <c r="AI42" s="14">
        <f>SUM(AI2:AI41)</f>
        <v>0</v>
      </c>
      <c r="AJ42" s="12">
        <f>SUM(AJ2:AJ41)</f>
        <v>482</v>
      </c>
      <c r="AK42" s="12">
        <f>SUM(AK2:AK41)</f>
        <v>5414</v>
      </c>
      <c r="AL42" s="12">
        <f>SUM(AL2:AL41)</f>
        <v>-3486</v>
      </c>
      <c r="AM42" s="13">
        <f>SUM(AM2:AM41)</f>
        <v>0</v>
      </c>
      <c r="AN42" s="14">
        <f>SUM(AN2:AN41)</f>
        <v>0</v>
      </c>
      <c r="AO42" s="12">
        <f>SUM(AO2:AO41)</f>
        <v>792</v>
      </c>
      <c r="AP42" s="12">
        <f>SUM(AP2:AP41)</f>
        <v>1101</v>
      </c>
      <c r="AQ42" s="12">
        <f>SUM(AQ2:AQ41)</f>
        <v>2067</v>
      </c>
      <c r="AR42" s="13">
        <f>SUM(AR2:AR41)</f>
        <v>0</v>
      </c>
      <c r="AS42" s="14">
        <f>SUM(AS2:AS41)</f>
        <v>0</v>
      </c>
      <c r="AT42" s="12">
        <f>SUM(AT2:AT41)</f>
        <v>242</v>
      </c>
      <c r="AU42" s="12">
        <f>SUM(AU2:AU41)</f>
        <v>494</v>
      </c>
      <c r="AV42" s="12">
        <f>SUM(AV2:AV41)</f>
        <v>474</v>
      </c>
      <c r="AW42" s="13">
        <f>SUM(AW2:AW41)</f>
        <v>0</v>
      </c>
      <c r="AX42" s="14">
        <f>SUM(AX2:AX41)</f>
        <v>0</v>
      </c>
      <c r="AY42" s="12">
        <f>SUM(AY2:AY41)</f>
        <v>1416</v>
      </c>
      <c r="AZ42" s="12">
        <f>SUM(AZ2:AZ41)</f>
        <v>1797</v>
      </c>
      <c r="BA42" s="12">
        <f>SUM(BA2:BA41)</f>
        <v>3867</v>
      </c>
      <c r="BB42" s="13">
        <f>SUM(BB2:BB41)</f>
        <v>0</v>
      </c>
      <c r="BC42" s="14">
        <f>SUM(BC2:BC41)</f>
        <v>0</v>
      </c>
      <c r="BD42" s="12">
        <f>SUM(BD2:BD41)</f>
        <v>1237</v>
      </c>
      <c r="BE42" s="12">
        <f>SUM(BE2:BE41)</f>
        <v>594</v>
      </c>
      <c r="BF42" s="12">
        <f>SUM(BF2:BF41)</f>
        <v>4354</v>
      </c>
      <c r="BG42" s="13">
        <f>SUM(BG2:BG41)</f>
        <v>0</v>
      </c>
      <c r="BH42" s="14">
        <f>SUM(BH2:BH41)</f>
        <v>0</v>
      </c>
      <c r="BI42" s="12">
        <f>SUM(BI2:BI41)</f>
        <v>201</v>
      </c>
      <c r="BJ42" s="12">
        <f>SUM(BJ2:BJ41)</f>
        <v>1944</v>
      </c>
      <c r="BK42" s="12">
        <f>SUM(BK2:BK41)</f>
        <v>-1140</v>
      </c>
      <c r="BL42" s="13">
        <f>SUM(BL2:BL41)</f>
        <v>0</v>
      </c>
      <c r="BM42" s="14">
        <f>SUM(BM2:BM41)</f>
        <v>0</v>
      </c>
      <c r="BN42" s="12">
        <f>SUM(BN2:BN41)</f>
        <v>2842</v>
      </c>
      <c r="BO42" s="12">
        <f>SUM(BO2:BO41)</f>
        <v>8859</v>
      </c>
      <c r="BP42" s="12">
        <f>SUM(BP2:BP41)</f>
        <v>2509</v>
      </c>
      <c r="BQ42" s="13">
        <f>SUM(BQ2:BQ41)</f>
        <v>0</v>
      </c>
      <c r="BR42" s="14">
        <f>SUM(BR2:BR41)</f>
        <v>0</v>
      </c>
    </row>
  </sheetData>
  <autoFilter ref="A1:BR41"/>
  <pageMargins left="0.75" right="0.75" top="1" bottom="1" header="0.5" footer="0.5"/>
  <pageSetup paperSize="9" orientation="landscape" scale="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日出库补货计划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2026-10-27T07:49:33Z</dcterms:created>
  <dcterms:modified xsi:type="dcterms:W3CDTF">2026-10-27T07:49:33Z</dcterms:modified>
</cp:coreProperties>
</file>