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稻花翁" state="visible" r:id="rId4"/>
    <sheet sheetId="2" name="__回填任务" state="veryHidden" r:id="rId5"/>
  </sheets>
  <calcPr calcId="171027" fullCalcOnLoad="1"/>
</workbook>
</file>

<file path=xl/sharedStrings.xml><?xml version="1.0" encoding="utf-8"?>
<sst xmlns="http://schemas.openxmlformats.org/spreadsheetml/2006/main" count="1157" uniqueCount="83">
  <si>
    <t>仓库名称</t>
  </si>
  <si>
    <t>货品名称</t>
  </si>
  <si>
    <t>品牌名称</t>
  </si>
  <si>
    <t>货品状态</t>
  </si>
  <si>
    <t>规格</t>
  </si>
  <si>
    <t>箱规</t>
  </si>
  <si>
    <t>高库龄件数</t>
  </si>
  <si>
    <t>高周转件数</t>
  </si>
  <si>
    <t>良品可用</t>
  </si>
  <si>
    <t>在库良品非锁定库存件数</t>
  </si>
  <si>
    <t>最近1天出库件数</t>
  </si>
  <si>
    <t>最近7天出库件数</t>
  </si>
  <si>
    <t>最近14天出库件数</t>
  </si>
  <si>
    <t>最近30天出库件数</t>
  </si>
  <si>
    <t>系统订单</t>
  </si>
  <si>
    <t>重量</t>
  </si>
  <si>
    <t>实际订单安排</t>
  </si>
  <si>
    <t>实际重量</t>
  </si>
  <si>
    <t>安排状态</t>
  </si>
  <si>
    <t>华东杭州直营商超仓</t>
  </si>
  <si>
    <t>稻花翁臻选丝苗米2.5kg 2.5kg</t>
  </si>
  <si>
    <t>稻花翁</t>
  </si>
  <si>
    <t>正常</t>
  </si>
  <si>
    <t/>
  </si>
  <si>
    <t>国宝桥米大米稻花翁金泰南白兰香米10kg*1袋籼米新鲜大米 10kg×1袋</t>
  </si>
  <si>
    <t>国宝桥米稻花翁大米油粘米5kg大米2023新米南方籼米10斤 5kg×1袋</t>
  </si>
  <si>
    <t>国宝桥米稻花翁东北珍珠米煮粥圆粒粳米10KG饭粥皆宜当季新米20斤</t>
  </si>
  <si>
    <t>国宝桥米稻花翁精选丝苗米南方籼米10KG粒粒分明当季新米20斤</t>
  </si>
  <si>
    <t>国宝桥米稻花翁精选丝苗米南方籼米5KG真空粒粒分明当季新米10斤</t>
  </si>
  <si>
    <t>国宝桥米稻花翁软香贡米25kg 25kg</t>
  </si>
  <si>
    <t>国宝桥米稻花翁丝苗米10kg湖北长粒大米20斤南方籼米 10kg×1袋</t>
  </si>
  <si>
    <t>国宝桥米稻花翁泰玉京香大米5kg籼米南方大米5kg籼米南方大米 5kg×1袋</t>
  </si>
  <si>
    <t>国宝桥米稻花翁珍珠香米2.5kg大米粳米东北米 2.5kg</t>
  </si>
  <si>
    <t>国宝桥米稻花翁珍珠香米东北大米煮粥圆粒粳米5KG真空包装10斤</t>
  </si>
  <si>
    <t>华东杭州直营商超仓 汇总</t>
  </si>
  <si>
    <t>华东合肥直营商超仓</t>
  </si>
  <si>
    <t>华东合肥直营商超仓 汇总</t>
  </si>
  <si>
    <t>华东嘉定直营商超仓</t>
  </si>
  <si>
    <t>未入仓</t>
  </si>
  <si>
    <t>华东嘉定直营商超仓 汇总</t>
  </si>
  <si>
    <t>华东嘉兴直营商超A仓</t>
  </si>
  <si>
    <t>华东嘉兴直营商超A仓 汇总</t>
  </si>
  <si>
    <t>华东金义直营商超仓</t>
  </si>
  <si>
    <t>华东金义直营商超仓 汇总</t>
  </si>
  <si>
    <t>华东南京直营商超仓</t>
  </si>
  <si>
    <t>华东南京直营商超仓 汇总</t>
  </si>
  <si>
    <t>华东无锡直营商超仓</t>
  </si>
  <si>
    <t>华东无锡直营商超仓 汇总</t>
  </si>
  <si>
    <t>华南东莞直营商超仓</t>
  </si>
  <si>
    <t>华南东莞直营商超仓 汇总</t>
  </si>
  <si>
    <t>华南广州直营商超A仓</t>
  </si>
  <si>
    <t>华南广州直营商超A仓 汇总</t>
  </si>
  <si>
    <t>华南惠阳直营商超仓</t>
  </si>
  <si>
    <t>华南惠阳直营商超仓 汇总</t>
  </si>
  <si>
    <t>华南江门直营商超仓</t>
  </si>
  <si>
    <t>华南江门直营商超仓 汇总</t>
  </si>
  <si>
    <t>华西成都直营商超仓</t>
  </si>
  <si>
    <t>华西成都直营商超仓 汇总</t>
  </si>
  <si>
    <t>华西猫超重庆RDC仓</t>
  </si>
  <si>
    <t>华西猫超重庆RDC仓 汇总</t>
  </si>
  <si>
    <t>华中南昌直营商超仓</t>
  </si>
  <si>
    <t>华中南昌直营商超仓 汇总</t>
  </si>
  <si>
    <t>华中武汉直营商超仓</t>
  </si>
  <si>
    <t>华中武汉直营商超仓 汇总</t>
  </si>
  <si>
    <t>华中长沙直营商超仓</t>
  </si>
  <si>
    <t>华中长沙直营商超仓 汇总</t>
  </si>
  <si>
    <t>仓配订单回填任务</t>
  </si>
  <si>
    <t>请勿删除或修改此工作表</t>
  </si>
  <si>
    <t>任务编号</t>
  </si>
  <si>
    <t>mumpy0dj-jpy6nn</t>
  </si>
  <si>
    <t>创建时间</t>
  </si>
  <si>
    <t>2026-09-29T13:35:13.255Z</t>
  </si>
  <si>
    <t>品牌</t>
  </si>
  <si>
    <t>订单原表文件名</t>
  </si>
  <si>
    <t>9.29 明细确认分页导出.xlsx</t>
  </si>
  <si>
    <t>订单原表工作表</t>
  </si>
  <si>
    <t>PO明细确认分页导出</t>
  </si>
  <si>
    <t>采购数量字段</t>
  </si>
  <si>
    <t>采购数量</t>
  </si>
  <si>
    <t>数据编码</t>
  </si>
  <si>
    <t>base64</t>
  </si>
  <si>
    <t>UEsDBAoAAAAAAIdO4kAAAAAAAAAAAAAAAAAJAAAAZG9jUHJvcHMvUEsDBBQAAAAIAIdO4kDGAO7BTgEAAEgCAAAQAAAAZG9jUHJvcHMvYXBwLnhtbJ2Sz0rDQBDG74LvEPbebltEpCQpBRE9NYfqfU0m7UKyu+yOofUBqifPHrwUFDzVkxT88zbG1rdwk4Cm6snbzHwf3/xmWbc3SRMnA224FB5pN1vEARHKiIuRR46HB4094hhkImKJFOCRKRjS87e33EBLBRo5GMdGCOORMaLqUmrCMaTMNK0srBJLnTK0rR5RGcc8hH0ZnqUgkHZarV0KEwQRQdRQX4GkSuxm+N/QSIYFnzkZTpUF9t2+UgkPGdor/b5iFtEJBkcurc/dQ2DF3QHj2vhuht0MQpTaMfzcXt4hzikzUCR6JGOaM4E2ubBVTVknyqD28+Xd2+vNen7vUqtXs7KsW+s13/HbpcEWm8YioOKwwibhkGMCZhAHTOMfwO06cMlQ4VY4weD9+mr1PFvNF+vFbX45+5g/5g8v+cXTL+byFez2H/vo9xfwPwFQSwMEFAAAAAgAh07iQBfpbYRTAQAAZAIAABEAAABkb2NQcm9wcy9jb3JlLnhtbI2STU7DMBSE90jcIfI+dZKqVWslqfhRJSQqKlEEYmfZr21E7Fi2Ie2Se3AATsCC8wDnwEnakAoWLP1m/HnmyfFkI3LvCbTJCpmgsBcgDyQreCZXCbpZTP0R8oylktO8kJCgLRg0SY+PYqYIKzTMdaFA2wyM50jSEKYStLZWEYwNW4Ogpucc0onLQgtq3VGvsKLsga4AR0EwxAIs5dRSXAF91RLRDslZi1SPOq8BnGHIQYC0Boe9EP94LWhh/rxQKx2nyOxWuU67uF02Z43Yujcma41lWfbKfh3D5Q/x3ezyuq7qZ7LaFQOUxpwRpoHaQqcnru0avPnVRYw742qFOTV25ra9zICfbtOvl9fP57eP9/cY/xYdsm7QcIF7LhNpGuyV2/7Z+WKK0iiIhn4w9qPxIhiQwYgEwX319sH9KmMzELsE/yeOSRh1iHtAWuc+/BfpN1BLAwQUAAAACACHTuJAsRdxH0MBAACEAgAAEwAAAGRvY1Byb3BzL2N1c3RvbS54bWy1kltPgzAUgN9N/A+k76WlXEYXYBmwJcYHjc69GlLKRlJaQst0Mf53O3FeXjU+tc05+fqdS7J47oRz4INulUyB52LgcMlU3cpdCh42axgDR5tK1pVQkqfgyDVYZJcXye2gej6YlmvHIqROwd6Yfo6QZnveVdq1YWkjjRq6ytjnsEOqaVrGS8XGjkuDCMYRYqM2qoP9Jw5MvPnB/BZZK3ay09vNsbe6WfIBPzpNZ9o6BS9lWJRliENIVrSAHvZySH06gzjGmOSkWNPl6hU4/SmZAEdWnS39qtha1sHMRf+kzZBRGhSFTyJ74iDM8zyMSRTTMlj6M7qMokePJOgrPUFnjT8K+Weh6/sbW2c9MpOPrai3fPjhR3BIoEdcO1SXxLbaf7EJzjZFJdgoKmMX6W4UfFJpgwy/f2sv3xuATgOa1id7A1BLAwQKAAAAAACHTuJAAAAAAAAAAAAAAAAAAwAAAHhsL1BLAwQKAAAAAACHTuJAAAAAAAAAAAAAAAAADgAAAHhsL3dvcmtzaGVldHMvUEsDBBQAAAAIAIdO4kD7sqoqdT4AAIiqAQAYAAAAeGwvd29ya3NoZWV0cy9zaGVldDEueG1sjZ3bchzHtabvJ2LegcH7LaKqcXRI2mEQbTTUjR7P9hyuaQqSGCYFDQlb9tvPygLY9Z8q23Mx2+LXuSorv1pZmauqG9/+5z8/fXz1j4fPXz48/vrd6+Gbk9evHn59//jjh19//u71//5ff/qPy9evvjy9+/XHdx8ff3347vW/Hr68/s/v//t/+/b3x89/+/LLw8PTq4rw65fvXv/y9PTbH968+fL+l4dP77588/jbw69Ffnr8/OndU/3n55/ffPnt88O7H6dGnz6+GU9Ozt98evfh19fPEf7w+d+J8fjTTx/eP9w8vv/7p4dfn56DfH74+O6p+v/llw+/ffka7Z8//lvxfvz87vc616/9gS7ePJNDvOHU+vfpw/vPj18ef3r65v3jpzfPXfOzvHpzRef56b0FCoP16d3nv/39t/+owL/Vyf31w8cPT/+aTvdrhx6e5ji///77N7//9uWb97++9AIGaLh48/D09u9fnh4/3bx7evf6+28nA3/+/Ob7b3/8UKPY1L/6/PDTd6//OPzhL+Pq6nWR6TP/58PD71/gf796evfXvzx8fHj/9PBjXSyvXz09/rZ7+Onp7cPHj9+9vqt/aFfFXx8f/9Za3tVnTtrhphbtIO/eP334x8Pzp/9Yn/7y/14O24745nBI/N9fD/+n6Tr68+dXPz789O7vH5/ePn78vx9+fPrlu9dXr7/+2389/r55+PDzL0/Vt9MW8v3jx2pf//+rTx/a1f361ad3//zu9Xn187ntePb61ftpaF6CDS/NnhtcvDSo/wsNvjz962NlQkXrNK20mY5V/xeadhrUaUwNhspAaPFvHWz4emZDRYHGfrg3z0MyDXW7Gr7/9vPj768qUypCG7ez8Zsaki+/vWsZPfyh4tX4NT7p+u71WM6/e/2l/vUf3598++Yfper9yyeuK0Q1wk8M/Im3/omRP3Hjn1jxJ9b+iVP+xJ/8E2f8iVv/xDl/YuOfuOBPtItdzvaSP/GDf+KKP7H1TwwyqLvwERnV+/ARGdZ9+IiM6/8IH5GB/XP4iIzs/wwfkaH9r/ARGdu/hI/Mg/umrtjDZVtXW7pY6SKUUb9GOMp4vyUoI31DUMZ4PU5JMdT/G0/OroT+iZrK2N8WbOkGuTXK2G+ovYz6XWgvo76l9jLeO4LzSE+Jf09QxnKPcDWPJTlaZUf1z4epZJC41wjNEUF1RFAsrFddR9RUHRUURys59Abbr+TQd6G9HGJL7eUC2CEc1RFBGcs9wtV86ZCj0+yo/nnZEUJzRFAG6oagDNT6tOuImsoA3hZUR5IHG2y/kjy4C+1lpLfUXkZ6h9AcEZSWe4SnC3m0cGOuf152hNAcEVRHBNXRWdcRNVVHBcXRqRx6g+1P5dB3ob0cYkvtNY8QmiOC6gjh6UIe1dIy3Y/qn5cdITRHBGWgbgjKQK3Pu46oqQzgbUF1pHmE7U81j0J7zSNqLyO9Q2iOCErLPcKzhTyq1XxyVP+87AihOSKojgiqo4uuI2qqjgqKozM59Abbn8mh70J7OcSW2mseITRHBNURwrOFPGpVh7AJqX9edoTQHBGUgbohKAO1vuw6oqYygLcF1ZHmEbY/0zwK7TWPqL2M9A6hOSIoLfcIzxfyqPaayVH988HRuYz0NUJzhPBcNNwQlIFet23qP75fWntj01Ga3hYUR+dyqW+w/fl8wU7L47vQXhxvqb043hEUu/cE1RHCiwVHrZqQJLV/X7ZE1DQRNU9MZbTXRXumqLGpalRcXcgFtqEIF3IR3aUI0sUtR5BrYcdULoZ7oucqjOjFfJXQSrzVcqIx3B5aXrVWB59uDKkbIyrDsa7IXWPY2I0VVWOSABvq+oVkwN00HLw3vpBx3VKEyzkTpgTdEbVZkKgbw7O7nK81Nlab4GgMN8duDKkbQ+rGiJqxfiViwMZurKgYu5Qs2lCESzn8XaMaQbJoyxEki3ZE3Rj2340hvVzKsdoSR2O4VXZjSN0YUjdGVIZsPfTrEoUhuaXxbaM63pZjGOHScixEsBzDCFeWY0jPJf499d+NYdurpRyrDXI0hhtnN4bUjSF1Y0Rl0Nf1fKE7K2Jjz7GiYkzrhZs6wOz8Sg5/16hGsByjCJZjSN0YUbkW9ty3pRyr7XI0httoN4bUjSF1Y0RlyNZDv2ZReB5vN1ZUx9tyDCNcSQ7ctfgaQcb1h/CZ4URSbUsdHU7mfHm522EvLsT6PTX2TMS2w8k87fPtrvbYUSzuvV0sUheL1MUSNbH9QseAjV1sUdEynMgRNhRiOJFEu2vYYsjIbyXGnDQv2rCXrg2pa0M6nMzXJWurbfesrU1f05H/OOB23LUhdW1IXRtRGdR1Hbc7g2Jj11bUhlxSbkNnNpxItt01rDH08duWYwyWbdhL14bUtSGth0aHZ4OsrXbiURvt0KVf1wNS14bUtRE1bf1yCB9YGt82akMuH9pQiGGwbEsxJNt+iAeSnNvKgea8eUlJHAdfhSJ1t0iHYb4y2W3t4KNb3Nl7SiJ1t0jdLVEZ+fX0tH+5jNJeLpj3mNL4tlFzKzm3oRCDdv4uxRjl2t5KjDlvXrRhL31hQ1S6t5fQ8ymStpFqKvNM2v79MD6DPsG9Jqyn/pboMMoFfSNYLuV14d5kSq1tMm1UzY2SDRsKMWg63MUYMrxbjgGPi5/NCRbv94RHib0nOsCjWVbX6hGHujKow31+UIfY1SEN6hibun59ZcTWrq6oqFvJATYUwR55NqoR5ulqErPlCDLyO6J6YdwzlbZ7ogM8M2drraKQrOFef1jN6Tp1+3pE7NaQDiu5zdxQ4wEem0+x14W7CYfB3VpRGXOdLTZ0fJ0O7hrVCOJ9yxEkn3dMxfg9U7OGZzfABcfWWlUhWcP9frCG2K0hDdYYyyy6Hvt1lsLzBO7WisqYwzQzXRYbigCX80TvGtUIctFuOYJclTuinmvUf7OGdICJgK21ykKyhhWBYA2xW0MarDE2a/1ay4it3VpRGfNhJZf7hkIMKxm5u4Y1BrykMcndcgx9p2FH2M3ROcjx99R2gDci2FyrMCRztKv3WRKxm0MazDE2c/2aS3v79rBgcnNFZdTtCTdFsEfcjWoEyzfsw5nlG1K3RtSsIR1O5wOztVY8SNZoU+/WELs1pMEaY7PWL6iM2NqtFZUxP5U704Yi2MsjjWoESdgtR5CR3xF1a9R/abuntsPpfEGwtVY7SNZoTw8vCU1zxPWI2K0hHXTUbqjxoMO2LtxdkWBwt1ZUxnw4lUHfSAdk5O4a1hjwCs7LLIndGDSfd3QIN4eNfQeAdIDJgM218kEyRzv2szlbX8whdnNIB51FbkbGlm/9kgq1dnMV20bdEo47IGvBu3YEiyH2t9SN4Uzs7wi7OeyAm0M6LL1uMrYCQzKHW/rBzSF2c0iDOcZmrv/eSetx5/5WVEfdcw5DDKcy6nfTmPDT8cFzjmJ4ziF2c0Tl+Hs6wwFKVZRzq4WCSfv3w/gMWqy6JmzmiA7nkrA3gud5fMrndeHebEmtLecaVXNWMKEQXjCJMWR4txzDCiaCtWBC2JKO6OJ2YNXKAyHp2r/31CF2dUiDOsamrl8woZ65uoot6mzrzREk5++mEeGUG2W+3XIEmW53TGWevWcqV8Se6AAvo3HCtfJAskYbd084xG4NabDG2Kz1CyYrbO3Wioo123pTBNt6N6oRZMrYcgQ5gR1RmyaZmjU8u8WtwKqVB5I12ri7NcRuDWmwxlhOel1d6k6T2NqtFZUx10Xtpp3zYR7RNe3dNCKca3qH3HIEGfkdUbeGR/cZEulwPic551orDiRruKUPNzfEbg1psMbYrPULJits7daKijVdMmwoAqy0p3vrXaMawXIN+6AL5h3Fd2vY1q0hHc7nyZet1eY8WqNNu+caYreGNFhjbNb6xZIVtnZrRXXM5wt28rKhCPaueaMaQe5NW45guUY9lLb31NatYdsBHtuxtVYaSLmGW/qQa4jdGtJgjbFZ6xdLVtjarRWVMYdq+os1jABV25dcCxFk5LfUBy1u7oh6ruHR3RrSAZ6Cs7VWGEjWaMMOb7BPp3a9QuzWkA76GvgNNR70PfB14e59DYO7taJizUvK3AEd9buGNYaVlDmGlZQJuzk6B8nVPbUdLubpmc21wkAyRxt2N4fYzSEN5hjL4/31ql8sKTyvJ9xcURl1v7dhBL+3hQjz4E0X7pb64Pc2jO/WiJo1pMPFPBextdqyR2u4lR/cGmK3hjRYY2zW+oWS+smRnrWiYs33bBTB9mwhgtwdt9yHedkwOd0xlRn2nqlZw74N8JYYWTtdKJK0fz+skN0aYbNG1K0JVmuFe7MktbZca1Ss2Z6NItieLUXQXOMIc0I8WyNqucZUrREdlr6tc9rqCWGGbP/es4bYrSEN1hibtX59hHrm1iq2WBustEUhvLQ1jQnv2gZdOmw5hpW2BGtpi7DG3hNdXEyetpJAUkebdZsmW7ODWVeHNKhjbOr6RRI+tKTC7XQ+POxnMsltKIJtAVIEmeq2HEGSZkfUEw7P3q0hHS7mGZinyVZUSNZos+7WELs1pMEaY7PWL5KcYmtPuKKScLYFoAi2BWhUI5g17IMuRncU361hW7eGdICv77G1VhJI1miz7tYQuzWkwRpjs9Yvkpxia7dWVMZcl+cbigAvbUy3prtGNYJk9JYj2M2NeijG76mtW8O2i89tTltJIFmjzbpbQ+zWkAZrjM1av0jSejxPzjKet9P58AxpBUmKYAXJFEFGfssRbIakHkrbe2rr1rDtAF+D5VxrJYFkjTbr+jXZ61PEbg3pAN+Ena7mG2o86BdG14W7C0kM7rlWVDLF303gDthz0oY1hj0n5Ri6MdwR9lmSzkGs76ntAF+ZZXOtKJDM4VZ+cHOI3RzSYI6x5Vu/UHKKrd1cURt1W5JgiMHXJCmGpM2WuuHvJhB2c9gBzzmkw+U8CbO5VhZI5mjDfin70utTxG4O6QDfZX7JOcbzemnC64rdzTls7eaKijnfvGEE37yFCDIfb+n09Q3sHVG3hkd3a0gh0VlaqwokabRfd2mIXRrSII2xSevXSU6xtUsrKtJ8A4ARPNlCBMs1iiAT3Y57KG3vmUrbPdElaWcLZZL274c7/2DSCJs0oi5NsEor3Ms0am3SGhVptv6nCLb+TxFk4LccQQZ+R9Qyjam03RMd4KcFKNXOWlkhpFr79541xG4NabDG2Kz1yyTUM7dWscWalSQ5gkz9d9OI8FrUXiPhCHICO6Zi/J6pWeOxmTFbqx15tEY7df0xiOszxG4Nqb/lSo39LdfC3VzD4G6t6FFrFMGshQiyoNnSGWjtbMfUrNHRZy3TLX1PbRcfbZ+1ekDKNdqpuzXEbg1psMZYLtV1dalrDVu7taJizWdIjOAzZIggI79to3aYiaxCQtRnSGxraxFqOyz9wMlZqwcka7RTd2uI3RrSYI2xWetXSFqPDyPm1oqKNdtrUwTba08jwjOkvfzDESRfdkTdGvVf2u6p7WJd66x25NEa7dT1x12uW7N56OQXPt4S9QqJYN2xFe7mGh1aVuS3LbZY8702d8D22ikGrOamqWzLMWyvTdjN0TmYOaQD/HQO39taRSDlG+7jBzeH2PMNaTDH2Mz1qyRn2Nrzraias9U/hfC9dsMWwyZK7IbvtekQbg4b+0yJdDnnWkUgmaOd+tW8U5+uuOszxG4OqX8PgBoP8KOlz3vtwt2cw+BurqiMuu216fi2125UI0hmbzmCDM6OqFuj/lu+IR0uZ8z51uoByRru1IcrWXBdnyF2a0jDDoCx3d/6FRI+tIznbaMy5oPnG3XAttsxhuUbx5iHd7r0dtxLaXzPVNruiQ5X80KWzbWiQDKHhYDhSkb3+gyxm0M66K9l3VDj4Uo6vi7czTcM7vlWVMzp/WdDx7eXgBrVCHJ9bDmC5Rv10KwRlZPfU+TF77mdL9RJ2r8flh5ujbBZI+rWBEvH14V71qi1WWtUxtzWkxTB1pMpgoz8liPICeyI2izJVNruiS5ba3WFkGvntF+3XCPs1rixnPMNNfZcK9y1hsHdWjsfWcPLuxwbOr49J21UI2iucQTNNaJujfpv1pAuW2tVgWQNd/Mh1xC7NaQh1xhLx9fn/TpJ4XkWcGtFZczt1kYR7M7WqEaQ627LEeQEdkTdGvVf2u6p7eIO4LxVBZI12s3r7y9et2aHCdStMZVr/UYa6w6gcDfXKLhkwe10PpxrviKhDvgOIMYwcdgN3wHQIdwcNrYdALVdWpCct9JCEkcbev0Vx+vWrCOOqUwiN9JYlqnrwl1xFNzEFZVk8ffJqQP+EyUNawx7n5xj6AsrO8Iujs7BUo7oycJS8ryVF5I53LKPbo7x4YcSpxXw2xYUvJo5xmauXy7h4GauYsuo+6IEj++LkhDB8o0iyMjvuIfS9p6ptN0zXfrl0PNWFkjWcLserDFWa0zNGmOz1i+VtB7Pl4RZK6rWZKLeUARflIQIcpQtR5Dz2xH1XKP+mzWiJ7Ny2radt6JAsobb9WCNsVpjKmd10445j/uJWeuXSbi1jOftdD58e7PHABTBHgOkCPPgTZPJliPIyO+IujU6e2m757bwa7RsrZUVkjWsAgRrjNUaU7PG2Kz1yyTn1NqsFZVc86UkRvClZIhg1iiCjPyOeyht75lK2z1T+HlgttYKAskabeT9vsZYrTE1a4zNWr9Eck6tzVpRsWaPtzmCHP6uUY0wLwpeco36IPWjHcc3a9TWrBGFX20maxcLJZL27zCLyeBcCxZrQtWaYBm2deHeOpJbS8duG5Uxt0IyRbBCcoogR9lyBDm/HVGbIZmqNaZLP4h90QoCIdfav/esMVZrTOWsbiS2WeuXSLi1jOftdD58X/Nv3FAI/8ZNjCHDu+UY9o0bwbIguids+zamw3yOnHCtKpDU0W7epskLxqqOqaljbOr6dRI+9Hxa0wR226gknFWSKYJVklMEOcqWI8j57Yh6wtHZyxWx57bwS+tsrXbs0Rrt5AcZ2esLwvqMm+kgt4YbwXJvWBfuTpN0aBnP2xZbrHmdhDrgdZIYQ+5RW4kho78j7OboHKTtntsu/b78RSsKpHyjzbr97eXWDGZSzTemcj3eSGO5KtaFu+YouJkretwchgjmUgwzxzFk9Hd8jtL4nqm03TOF+iHnXCsLJHNYChj1p/GvLwhbziH1H7qgxoP+EcR14a45DG4V5Rb7uDkMEcylGDL4Wz4J+5VCwp5z2AG/xxEd59otm2ulgWSONu06QNcXhM0cUV2K33Bj/bHwdeGuOQpuOVdUzPmiEiP4ojJEkKNs6QzsmwBE3Roe3a0hXfy7ABe1dY/WaEvv1gibNaJujbHNlP1iSevxPEnLeN5O58OLSl+ZYARfmRQV7/rTmlvqg/3QBVG3hkd3a0gXf+buopUGUq5hOWB0a4TNGlG3xtis9Yslrccda0VlzK2cTBGsnDyNCHu3dyY5gtyfdkTdGvVf2u65LbzOzjNkKw0ka7Rp1xenry8ImzWk/i03auzfTyzcnSExuF5Oty22WNOrZkPH1wn6LkWQFfGWI8iCeMdUbor3TM0ant3i3yq6XCiWtH+fr2izxlitEXVrguc77rT9WhfuWaPWZq1RsWYzJEWwGTJFkHl4yxFkrbwjarnGVK0RXfxRmcuFYkn79541wmYNabDG2Kz1iyXcMxnP2+l8ZH6TTNlQBJshUwTJly1HkJHfEXVrePZ2X+O20JhmyMtWVwgzZPv3njXCZg1psMbYrPXrJNwzs1axJdfs0Q1FsEc304iwd/0jHluOYNbw/GDgp6nkntq6NWoLmK21ukKyRjt5nyEJmzWkwRpjs9avk1xia58hi4o1e3RDEezRTaMawXIN+2D7NYrv1rAtaJmc7rkt1DvZWqsHJGtYAhh1y3N9SdisEdUd0Q031r/tsS7cva9xcC7P3LbYMuaeaxjBcy1EMGsUwXINqVsjKm33MjbzLZOttVpAskZ7dLdG2KwRdWuMZZJbX/brI4Vh7pbGt42KNX8IQCH8IUCMIcO75RiQFFPO7ATrQwDCnnB8ivPWiNW1ckBShxv1kHCETR1RV8dYRn992S+QFO6pKyrqfJrECD5NhgiWcBRBrO64h9L2nqm03TOFuYKttXJAsoYb9VHnkutLwmaNqN7Qb7ixfidzXbg7TXJwnSaLijV/CEAd8IJkwxZDBn8rMWT0d4R9qqRzkLZ7bgtv+7G5VlRI5mgrry8DXl8SNnNE3Rxj6fi6YnfNcWs1V1RG3bbb3Pl5IpomubtGNYJsIrYcQbfbTEX5PVM5+T1R+F4kS2s1hSQN9+qjSyNs0oi6NMbS7/Vlv0ZSuDdJFpUh9902RvDddogg8/iW+mD1SKKeanh0v7UhXfzm/dVCjaT9+7xvM2uM1RpTsyZYrRXupZq0llRrVKzpkmpDEfTGe5ciqDWOMC/4nlckRM0aUzn5PdHFv1N6VTv2lGvt33vWCJs1om6NsXR8XYfuWuPWaq2oWpPpbUPnpnftu2lEjuy2OYKcwI6oW6P+S9s9t4V3b2mGvGo1hTBDtn/vWSNs1oi6NcbS8XUdumuNW6u1omLNlpF0braMnEaErZ3JrWnLEeQEdkTdGvVf2u657dKr5FetIpCs0U7eZ0jCZo2oW2MsHV9Xl7rWuLVaKyrW7IlNO+fDFWn1yGlE2Jo9seEIcgI7om4Nj273NW679DdKr1pFIFmjnbxbI2zWiLo1xnLS6+pS1xq3VmtFxZp/4aad9EGbf+FmGhP2NsASfLp5bTmGDtCOsJvDDrg5okt/p/Sq1RWSOdqq298pbc0O5w7vqExn9Zap1AhumGpFsmjXGx1YVgq3LbR602TZ0PH9LyamGLAKf/GG3fC/UkqHcG/Y2L0hhQPzza1VBJI2rAKMro2wJRxR00bUtPUrJFfU2LQVVW1+b8MQvtduR7AYdnfjGDJn7LiX0vieqbTdM4U5nr21ikDyRvt4vQdcXxE2b0xNHGMz16+S8KHNXMWWUYcC0ZQrG4rgS8kQQUZ+yxFk5HdEPdno7KXtntvCVMHWWj0gWaM6hFsjbNaYmjXGZq1fIbmi1matqFgLtzcMEW5vIYbf3iiG394QuzmiZo4o/MYUm2tFgWQOt+ujmyNs5piaOcZmrl8muaLWZq6omLMyCUWwMkmjGkGOsuUItuGmHkqu3lNbv7lh28WflR9OFuokE5jXHXB3nKaaa+EqjrH//JZyVdd4b3HC7e156YRl7D3vOIgnXoyimfdD+tSol8pWjmUJytwyVLCmKONh6fs6w0mrR4QknQDYFh1lm8oEbhux/0AGN/ffNWm8bxvjB9vttGQDoLuYjXRCn2HcTVyjBNt+rGQbOzwE28iDbcJumzC8C0oz8nDS6hjRNpUPdOIq28TdNuJkm7l0f93C921j+2C7sHiyJSyfgtVnnoeGrxgt0FRi+4GSauytvTXBHQmmsbVN4twa/tSDiG6ljyiaKg5ahi/RxF00Yv+WAjf3ryk03heN8YPowipalgCV1RhDL+VK6hBDbsIl2j+URNOR9F7NHQmisXUQTRh+1VBMt3JJNE01CM2HMk3cTSMe9K3YG24+wOvE02qgUrpfA+L2wXQ7LU5HfwTMQXxfOnGLIqumku3HSrJpQEJaIw+2CcsMuOczWZbdaixRNhYuRp3dSjZxl03YvvAnzQd54lqy+4UjaS/Zdjth0WRPjSWGPjaOMeTBSplu48dXVTJNoyEnu5OOyNV0L9hFY/DFL08MJ62kEk1jGWXUW1SZJu6mCesjwUpr5qKqTPdrTdpearsTFgG6MK4JHPsQJvDCGkP6Wab9Q8k0HckncMQhpQm7acJLD12Gk1aEiaapehJME3fThINp5jKCZbpfm5r6PW8QpHnldIUXS1CYe65OcQytBNStOsSQfCvT/qFkGs8WKhZTRyqnEQfThN004qU/RjqcVNUki6ZyShBN3EUTDqKZi6kS3S9nTf3uia7wItrKkBzD6pDPQ8Pzsu7WSrQfKInGs9UtXYlGHEQTdtGEYQ0ga7JW54kpjSWYNHkTd9OEg2nmbrpf/hpOuL1N3oXVtK++MYZ2sVI6xJB+lmn/UDJNR/LJG3EwTdhNE4YJg00PS8WyBuakOReV1wNzwW8Zh9U3NQ+r7+LdfRa199V3w2JaNxAb7qMuOe8mrDFs8g4HCqapt5B1L5M3YTfN2EwzPp8vaDFdFZaY0wOVXoJp4m4acTLNXJa066EO3zeN7YPpwmLJZ286RZ+9G9YYbto/lExjb332po4E09jad9Tc+nwuaYrpVuRJs/dAlZlgmribRpxMM3fTR4pk3D2ZVG+rBGyWfEFGMXxBlmK4aT9QMo1nC/Pr15xGHEwT9pwmfD6PhZhuVZ5ommovwTRxN404mWbupo9UyQZsH3K6sOSjb6c5hm2nG9YY0s8fhvQh3c5tp0/Nt0LbTnNH5Gq6l9ZuGodicek9tApPFE1VGf1ZlbpNE3fRiP1PXHDz4VLOvSbvI0UyPvx8GU9JUindTouXzaFIRkFCkSxGEQ9lkU413ISRh4Ql7BoRLz+bHFr9JnrEqsp4LpdzeSTuHhH7H5jh5v4XZhrv34QxfkjYwuJR06iWWxjDqyLT0PC1AI+BpgumJFIMWzITDg6xdbi9Ej6fZwuZdKsskh1SvSQ4JO4OESeHzOUSqVw8UtkqDit6z8XC4jDcXjFGuL2GGJ6IFEMyaddOA7oprWs6JSyt94IXnxoPVfDIDrESkvKQuDtEnBwyd4dHalat3/OtyB0WFodhMYwxwmI4xBALlYcUQyyUQ8QhDwlL63JI+Hy+6UgeVi0jO6QiR8hD4u4QcXLI3B0eKUcN2D7MpYXFYdi6YoywdQ0x3CHFEAvlEHFwSFhal0PC5/PBxWFVKbJDKl8Eh8TdIeLkkLk7PFJoGrB9cFhYHPoXrgcK4t+4nrhFkZGuVMSuDPada+VzeWC6pdaEiu3DTZEwLJtY5LhUR2pgnrHOpfvXA3MTyVh3ATfSXJ/yrhvvLmw4vk2oDYsCT0aK4cmYYsz58LKw4RgySjs5TWl9L1ha7wUv/WD1MLYKR1qcNtB1SNwdEg4OmVsy1uH7Dqm9OywsDv2mSKfoN8VpaHhxqvX97TR+h2Hy2g8dwidUxu6QTvJiHmTJwyocZIdcUZD4lYfE5/DT9flWcHBIzUMeHqn98OHdYTstHn99A23DfYRv9k2ncDdhjSEHKod4HvC9lylG5SHi4JCwjHHlIeIBoovDVrqIeYi1gjHMpcTdIeHgkLnn4ZGqzkjtZWhvh4Zl/MNNkYKEm2KMIiNdGrEr4aYo3G6KxP2mSHhYXN2MVRTIIrFaMF7I4SsZibtIxKFqQ81D1aZ4f0LF+L66mU5LknHeLE+ZUsmIMXynmGLIba0sUgyRXMmIOCQjYWldyYh48Q+nV/FzySFVC4JD4u4QcXLIfN4ETeNbC5sjFZvW78PNKDgsLMnoFRuK4RWbaWj4OvCKDcewig3h4JDOwh0iXq66ja0sESdUKiYEh8TdIeLkkLk7PFKxaf3uOSysDj0PMUZYnIYYnocUQyxUHiIODglL68pDwhdLD7XGKgpkh1QtCA6Ju0PEySFzd3ikYtP63XNYWByGxSnGCIvTEMMdUgyxUA4RB4eEpXU5RNzJwyoKZIdULQgOibtDxMkhc3d4pGIzYvswlxZWh3JLr/shxvDXShrWGLKCqvshxfC5FHFwSNgdIl78OZNhbKWNOJdSoSA4JO4OESeHzN3hkYpN63cvDwvL+KfFKQZJi9MURUa6NFIUr9gIl0updvvYPixOES8vTldLFZsG5pG6kKvwulbTyE0k4UEfIdxw80FXhuvGu4tTiu/J2LCK9JINBQmPFGMUm1Mlioje8al6QlJz90h4gCmDd4urVt5ICdkAeJTpojwSd4+E/ZV6bu6v1Bfve6T4cpXdTr0Tj35jpD74jbFhjeESsR9etaFDBIfYOjgkDG+JiMMqDGSHWDEYL9whcXdIODhkbpPq6kjVpjhcYu6wsIy/zgeburAhhk4HdxPWGO6QYngeIg4OCUvrPXdwXHwNftXKGzEPsRaRHBJ3h4SDQ+bu8EjVpvV7nibcYWEZ/zCdYgzfZExDIxtFd0gxxELNpYiDQ8LSuhwi7twTqyaQHWKxYLyQ0ljNpcTdIeL6ML+YXPdE5hK+7olHCjbUPtwTK7w4DK/ZUJB0T0xRXCOdCjwveqmg0lGCR2we5lPCSz+5MaxadSPmIhYMRnjdaupdeSTuHhGHrwlT8/Cl8OL9eyLGDx4Li0cv2lAfvGjTsMaQpP/hefw4YcMbkHwkuagrY+lk5EK5F+wZi62Hq7mLcues6kE2zWUFqYuUaeJuGnEyzVy6Xxl7pLTDh5/PbroOa/VT4cVSuHNiH8KdM8QQC2XaP5RM05HkZMs04pDThKV1zc2IO3Nz1RiyaSw+pJwm7qYRJ9PMpftl+kgBqHj3/lpYTcuOr9ZIGMOfbDWsMeSSKtP+oWSajuQ5jTiYJixDVaYRd3Y0VYnIprFEkUwTd9OIk2nm0v0yfaRMVLxrurBYCjsajBF2NCGG57R/KJmmI8nJVk4jDqYJS+syTXjxOymrVi+J92msYSTTxN004mSauXS/TB8pJrV+99bMhdW05zTGgN39dAeofU+I4TntH0qm6Uie04iDacIyVGUacc3lh6Ut36dPl6pNDcxDeSHbl+v61UvkZppwWFkLt5V18e6KjNr7iqxhMe3vJVAMn71TDDMdPhRM85HMNGE3zdhMM76Ypx0x3YouKadPqRZyIfHLNHE3jTjUFal5qCsW75vG+MF0YTENF/uUtBs+BZ+9Wxc1xjyMU4ytxJBR2jEODukspPWeWw+w/xGHVRHJDqlUEhwSd4eIk0PmMhmsh9Mj9ajiMJlIEt225jr+XsugGF7LSDHcIfbD98B0iOAQW/seWFrPgywOq+SRHWItZAwOic/hp+vz7XCKODlk7g6P1KMofsjDCi85FH4Gj4KEn8FrXKPoD6NVKvKpyC28chF58EjYc5Hw4i9hnbayS5xPqRYSPBJ3j4iTR+bu8UhNqvV7vrF7LhYWA+HOiTHCnTPEkAOVRIrh90TEwSFhd4gYyoKSiq3mEhVikSOlInFXiDgpZO4Kj5SjTrF9SMXCotD+gMdAMXyZ27DGcIXYD62eVhoiDgoJu0LCl0vvn5xWlSI7xPJFckjcHSJODpm7wyOFptbvXhoWlvH3kiLF8JLiNDRcLfT3wDiGpyF1U26o9zUueBbukPDiC+6nVX/IDrEwMV7KBVhLU+LuEHH4tgk1D9++LN5fmmL8kIeFxWEo70sn5EK6m87RooiImk2xK0NY2iAPuUjYPRK+nK8SmU+rupA9UtnhUnZ75ZG4e0ScNpPMJXwtT48UiPjwcpXV8rTCi4GwPMU+hOVpiOESKYZYqPkUcXBIWFrXFoMwXCHisOoG2SEWFMbgkLg7RJwcMneHR0o/p9g+5GJhcagv2tc2kWJIFyoTQ4y5rvJ1m0gxJJvLIWG5Amo+JewOEderGAtFnbOlok4D803HHTI3h4SDQ+EygOuheHc+pfbusGFx6Ft9iuFb/RRDLGxbP+dh8ldPCHseMjaHjBe/zX7WahJpbdpA1yFxd4g4OWTuDo+Ua7h7NpdOp8VrkrBNpCBhm5ii+DaRo+guZld/4YVG8pBMUybfC3aP3HqeCHg+PWu1jeiRqgn6Ex7XQ2s4e3aPiMN7mdQ8fNekeD8XMX7IxcKSi2Ftw53wu2LjFkXS8YdpJORTocYqxxJfZZtOSA5StglL6z3j+q/DxSK2q3aQbXNRQQ5ftom7bcThh3+oefjZtuJ92xg/2C4sBjSdNnwKXhRoXdQYMj2Uav9QUo29ha/rTYlbphGH+Zmwm0a8/M78WVUYsmksPYyXEr9ME3fThP21Mm7ur3cW75um+CLgduqdWEp5jUHCK0nT4Mgsrz8/WrdZjiIjVR6RB4+EpXVlLON5oCVjq8yQPVL94Wpea01XWXkkPoef8FvGaX7G5ml+PlID4sO7x3ZabCBkLPYhZGyIIQeqjPUPpYylI837x68ZiziYJuymGS/Oza2kEu/EVKWAV5q+mibupgnrruKm0gdv5P4V7OL9jKX2IqAytrCYThmLQVLGpihyl6qM5ShiojIWefBIWFpXxjKerxLJ2CpGZI9UpbiSpWtlLHH3SDjMvMxla1e7myPVIj68e6zw4jFkLPYhZGyIIQeqjPUPpYylI80uvmYs4mCasJtGvPwd37MqWWTTVMsIpom7acLBNHM3faSe1Po9L91FQGVsYTEd9rEYI+xjQwxJ1zLtH0qm6UjiqnIacTBNWFpXTiOuF82W1s1V2MimseIxBtPE3TThYJr53L3pMq+cPlJ1Kt41XVhMh2+vUZDw7bXGLYqMdMn2TyXZ2OH6ItTBx9e8Zi6rntomIfdn4ISXdZ8vFagamDPnat5Uv9yKmUvv3w6Ew/tlwmUM161991ZM7X2b1LCK0p+j2Ugntbx0N3GN4sUN6kq9P6IiiXvaMpaB2HMfF19HOa8SSMzaBroaibtGxEkjc+l9aTxSo+Lu2fw8nRavnXVVVxaxD7qoK4mFRaL+KaOtxJDJZydYZvd7wTIIpZA6uPiVjPNWgkmr4ga6Dom7Q8TJIXPpfjk8Up/i7rnDCi/j789sKIZXpxrWGGKhHOJ5wFOVl/mUcEhDbO3TKbVerjqdV8kiO8RaxnglV9h1/Z01dOwOEYdn4NQ8vNpXvD+dYvwwnRbW8Zc7QuUhxggOQwx3SDHkUqw8RBwcEpbWlYeE4S0J3tWcV7kiO+Q6hjsk7g4RJ4fMJXzl4ZF6Uuv3PE14HhYWh/6FGYrhX5iZhobnY5jOpkSrPMR+wBd6v+Yh4uCQsDtEPCz+8ul5FSKyQ65QyCBXHhJ3h4iTQ+YSvhweqSXx4d1hhReH8OhxGuDKQ+yDv0/UsMaQA5VDimF7TsLBIbYOcyni5S+5nFcRIjvk6oRMIuWQuDtEHCr41DxU8Iv351KMH+bSwjL+YU1DMaR+UmuaEEPm43JIMeRSrLmUsAxirWkIex4SvpwPLnNplReyQ6w7jFdy+HJI3B0iTg6Zz92bcqTy8EiFiA8v6XE79U4chrkU+xDm0sIaQ4ahHFIMsVAOEYc8JCyt635IGJ7eiMMqHGSHWFFIDom7Q8TJIXN3eKT2c47tQx4WlvEPcynGCHNpiCEXSzmkGD6XIg4OCbtDxMv1u/NWkoh7C64iyAVYeUjcHSJODpm7wyNVHT68DG3lYYUXh2FvgX0I69IQQ4ahHFIMsVB5iDg4JCytKw8RL98PL5ZKNQ3MCz+fS5mbQ8LBoXBzWLx7P6T2nocNi0OvwVIMqF1O0/ndkGKYQ44hFnZTjHkUpfW9YGm9Z7z8Jb+LVoxIedjAfPQriX89MHeH1Nyrq9zcn1UX7zuk+JaHLbw49Psh9cHvhymGWNjyMPjegg7hechYxrgc4kmuTuZB5vvhRStGRIdcQpD45ZD4HH66iN8KDg6peXB4pE7Dh3eH7bR4b+fvuVMMePfmax6GGHKgcojnoX+evvIQcXBIWMa4HCKuytuhGCsOqxSQHVKNIOQhcXdIODhkLovy9XBxpE5THKYJGdrb1lwd+t6CY9jeIsWQOb8cUj/kNMohYcnimksJu0PCUGAQh1UKyA6xRrA6ma+B6SqtPEQ+ukPE4b1Mal4/0nK4xKbw5fBInYbah/thO62jeYh9DHkYYsjFUg4phq1LCYc8xNa+x6fWnTxsxYg4l2KNIDlEHhwiTg6Zu8MjdZoLbB8cFhaH4X6IMcL9MMSQTCqHFEMyqfIQcXBIWFrXXEoYHppIHlYpIDvEGkFyiDw4RJwcMneHR+o0F9g+OCwsDn1/SDF8f9iwxvA8xH5AVXqaTsoh4uCQsDtEvPj1y4uqBGSFWCJYncwvdH2dSpEHhYT1VnQztOPOq159dldT6ZEyDbeXka3bYYWX4Q9LGuxDmEpDDDlQpSHF8KkUcVBI2BUShr2RpGFVArJDLBEkh8iDQ8LBIXNPwyNlmgtqL0NbDguLwzCVYowwlYYYPpVSDLFQaYg4OCQsrWsqJby8pKlKQHaIJYLkEHlwSDg4ZO4Oj5RpLqi9OywsDuEynqaSzUAxwhY/xHCH2A99n6McIg4OCbtDxMtb/MulMk0Dh8ludSKjdD0Qd4eEw2vMwmVNvm7hu1t8au+3w4bFoV5HGzkFuYzuJqwxbGvB/ZDT2Mkh5Aq4F2wOOTi8y8Nz6WWrZ6RlaQNdh8iDQ8TJIXM5+XJ4pExD3QsOK7yMvy9pKIYvaRrWGHIpb1s/YZjsfkjY85CxO8Tg4+KvLF1WJSA7xBJBykPkwSHi5JC5OzxSpmn9PlxiwWFhGX8veVMML3lPQyNbTMmkcoj98NdpCAeH2Nq3h9z6fF5XSh5WJSA7xBJBcog8OEScHDJ3h0fKNJfYPjgsLA59TUMxfE3TsMZwh9gPL5fSIYJDbB0cEl5c01y2WkScS7GCsDqRWaLuh8iDQ8ThsQU1D4/xi/fvhxg/OCws4x++7MGdCJmYorhG7Er4SQk6SvCIzYNHwsseqxqQPWKZYHUid/3yiDx4RFzfFeNy2g03Dz8NUuH7HjF+8FhYPIZcxBghF0MMl0gx5K5W6xrEwSFhab2X1ouP8i+rGpAdYpkgOUQeHCJODpnLJVLrmiOlmtbv3j2xsDgM6xqMEdY1IYavayiGXKrlEHFwSNgdIl4umV5WOSA7xDpBcog8OEScHDJ3h0dqNa3fPYeFxWFY12CMMJuGGJ6HFEMslEPEwSFhaV15SHh5XVPlgOwQ6wSrE9kc1VyKPDhEHF5PpObhNeHi/bkU44e5tPBxhxgjOAwx3CHFEAvlEHFwSFhal0PEq8W/ZnJZ5YDsEOsEySHy4BBxcsjc16ZHajWt3708LCwO9Ssttc/HGP7lx2loeH9x6nMpxfC5FHFwSNgdEl7cI14t1WoaOAxScEjcHRIODoWbw+LdPKT2nocNq0OZSjYDxfA1TYphecgxxMKOD+EOqbWvSwnXL4keFoa8R7xqBYm0v2ig6xB5cIg4OWTuDo/Uaqh7wWGFF4fh53koSPh5nmlwOBPr98IPIzmVXrf12iCMVPgGG/HgEZsHj4hXJ/NFJB5bYSN6xFJCykXkwSPi5JG5ezxSr7nC9sFjYfHoz6Aohj+DalhjzOnwVSL2Q7dRlYuIg0PCksl7br38F0iuWlEiOsRaQXKIPDhEnBwyd4dH6jWt34epIjgsLOPv+wuK4fuLaWg4E1fuEPvhj4LpEMEhtg55iPhsngQkDVtFIirEMsHqRC6R6+EKeVCIOJRrqHko1xTv3xIxflBYWBSm6RSDpOk0RAnTKUXR1VOlIvKgkbCMc6Ui4tWw6LHVJKJHrCQkj8iDR8TJI3NZdqyHqyPlmuLdVCwsHr1cQzHC0ibEmO9KX6dT7IeXTukQwSG2DqlIePmWWBWB7BBLBckh8uAQcXLI3B0eKddcYfuQi4XVobykV8tTjOFbjIY1hk+nFMO2GHSI4BBbB4eIF78AdVUFgawQKwVJIfKgEHFSyNwVHqnWtH737oiFZfj9iT7F8Cf609DIHdHTEPvhT/TpEEEhtg4KEdd3Hg/rYrklVkEgO+RKgUzVdUtEHhwiTg6Zu8Mj1Ro+vGTH7dQ7cegVN4rh1ZqGNYY7xPPwJ4l0iOAQWweHiJdXNVUPyAqxUJDSEHlQiDgpZO4KjxRrrrB9mEkLy/CHX7WhIOFXbRq3KHIx1yYRuxJ+r0a4TOj33D545PALT4THk4WKzQQOE5aLZG4iGbtI5Sqy8d7ylNubyAmLAnu7RmLMs9W0YrmLMaSfW4khG6WdYMnke8FyiewZr5b+yMB40kobYWk6gdnhMF8D0xleMw8OsdAw6vjdSHN727TxvkOKr/PpFF4c+hNh7oT//F+OIiJKI3bFnwgztzlVsHvE6KthPlO6L44nrSwRPWIxYTXIwqs8Ig8eEfuTKG7uT4Qb73vE+CEXC6vHUTJlI53QIa5sTFFkpMsjdsUnVeU6qTK3SZVxvf6YFzjjSatvRJFYMkgikQeRiJNI5jKjrVu/+iKxfRBZWERa2WY693nOkSmnNIYYcz487xUlhlzuNalSNyWXa1IlPDuagtekSnjpr++MJ1UWyA65XiC9q2REHhwiTg6Zu8N+3UYOL0N7+3xavEmw8inHsPJpjCEHqkzE87DyKWPN9nKIrUMeEoYlsEyorTAR8xDrBSkPkQeHiJND5u6wX7MZT7B9yMPCkodee+MgXnubuEax2ptEsdob8+CRzsRzEfFqmAdKPLbiRPSINYPkEXnwiDh5ZD53b5pKaj7t120a72z6JywGdIDrvogxrG4TY3guUgyZsWo+RRwcEnaHiOtLkEv3xFbhiA6xaJAcIg8OESeHzN1hv3AznmD7kIuF1aFsEsohxrD66YQ1htzVaj6lGGKhHCIODglL67onIl7B16wlD1t1IjrEokFyiDw4RJwcMneH/cLNeILtg8PCMv5WuOEYVriZsMZwh9gPuGtN00k5RBwcEnaHiGEiF4WtNhEVYr0gKUQeFCJOCpm7wn7hZjzB9kFhYRl+q59yDKufTlhjuELsh9VP+RBBIbYOyxrEK/hFCnY4LNVsGpjX3oN0/nok7g4Z+35fuDks3t1ecHu5S91OvZPxD8saChKWNY1rFMiGlx0GR9G77k5GSgbyXrClIkVfDTMXj1UWiLk4cL1ADl8ekQePhINH5u7xSN2GD+8eK7wY8OmUYvh02rDGkGHY8jD4dEqH8FxkPDt62SYSXsEgi8NWlkjz6YCViFXIReQQfjr825Gah9qbcHd4pGbD7d1hOy3eJvp8SjF8Pm1YY7hDHAafT+kQwSG29vmUWi/9uetxaCWJqBArBUkh8qCQcEhD5q7wSLWm9fsw2/stcTotVqjz3GY690MM312kGHKtVBpiP+CrEi+rGsJBIbYOChHXLywu7C6GKghkh1gpSA6RB4eEg0Pm7vBItab1+zD+wWFhSSF/HjVSEH8eNXGLIhNeacSuhNKpcCudEg8iOfzcXObTVtuIyUilgnFuP11mdU9EHkQi9h8/4eb+I0SN99c2GD+ILCwK7DUb7oNvE9sZagyfT7Ef9poNHyIkI7YODhEP8OekxGFVBLJDLBWsgkPkwSHi5JC5J+ORcs2A7YPDwjL+YV2DMcK6JsRwhxRDErXWpoiDQ8LSes+tF/+OyThURSA7pFJBcIg8OEScHDJ3h0fKNa3fvQm1sDqUqaRuihjDy9/T0PCN1f74vMSYi2Jfb4p4iOCQsDtEXF8eWbopVkUgO8RSQcpD5MEh4uSQuTs8Uq4ZsH3Iw8LiMO0TMUjaJ4YoYZ9IUXT9VLmIPHgkPHuaroLKRcSrcX5YJvNpK27EeyLVC0IuIg8eESePzN3jkZrNgO2Dx8Lq0Z8LU5C0uElRZKRrcYNdSYsb5jIl1IYfebgxIl78xeFxXCrcNHCYtUJCEneRhINI4SayeHdxQ+1dZMMi0p8LUwx7nf95aHhStdf5pw/Nw2STKh3Ck5GxXCJ7Dr70y27j2AoTKRcbmPumg3Q9NTzwoBCb+zcyuLl/07TxvkKMr727fT4tHv7wrg2dY3jXZhocjWLLG4kiInZ8qkEjnYm0Lo2Ml+bUsRUnokcsKax0pMoj8uARcfLIfN7PTreEdQvf94jttXflsbCk4gC/QDEdZMPnMOgu4S5GgVdBpyhbiaJvEZRH6qpcBveC3SO1XvqxzHGs+kD2iIWDle7cr6eGvXzE5v6LNtzc/8hx432PGD94bKclmeT3xnbyh3MI98ZpcDSKjHR5pCj2hxOV272R2vu9kfDiV92qxLkkEgsHSSTykJCIk0jmnpBHKjit3wcHQWRhEanXYuUjxZDbc6VjiCHPmMsixZDTqGQk7MlIWC6RmlQRD3Bz54Xq2CoUcVLFwkFyiDw4RJwcMpeTr0n1SPGm9bvnsLA4DBsOChI2HNPgSDL6hoOj+IaDeLg50pm4R8QreGNXPLYqRfSItYXkEXnwiDh5ZO4ejxRwRmwfcrGwePQiHMXwIlzDGkOyqXIR+6G318pFxMEhYXfIeF4Fi8OqEWSHWDxIDpEHh4iTQ+bu8EgBZ8T2wWFhGX8vwlEML8I1rDHcIfbDHy7SIYJDbB3uiYhXy4ubqg9kh1w4kEGuxQ3y4JAwvO4zrexupDm8h/B1kXqkgMOHlwdGtUhtp8Uzoa4e656IffQiXIohB6o8pBhzpkynUXmIODgk7HlIeOkvY4xjlQayQ6wZrHRxVw6RB4eEg0PmconUPfFI8YYPL0NbDiu8OAxPpihIWqCmKDLSpRFPJRRvhPsCFduHZES8guuAJ9TVUvGmgcPqIYgk7iIZu0jhJrJ4d6fB7U1kwyrS/rL3SEHC4iZF8cUNR/HFDXEQMeXrPXfCPVLrFXDxWAWCmJArrBwkj8iDR8LBI3P3eKSCQ93zG2PD4tHf2KAY/sZGimE3Ro4hybobCQeHNArSes+tV7AXFYetzJEWqCusGiSHyINDwsEhc3d4pHpD3QsOK7w49AUqxfAFasMawx3iefgClQ4RHGJryLMpTcshYZgFxGErcUSHWI9YwWZzin89rpAHh4j9z7Nz8/oW7eHh2RR+3Xh/PsX4wWFhGX/f8PMp2Ia/YY1hG36OIZdi5SF1U66AmksJyyCUQ8TLRZtV1QWyQywYJIfIg0PEySFz6X45PFK0af0+3LKDw8Iy/r5ApRi+QJ2GRha5cvPdtn7O/fAvSREOeYitQx4iXn7Sv2rVjZiHVCwIeYg8OEScHDJ3h0eKNq3fPYeFxWEo2lCQtK4JUWBGm6aM0ohd8d97Yx48YvPgEfEKHp3JfFp1gewRCwYpF5EHj4iTR+bu8UjRZoXtQy4WFo+6cNyMFMNfY2xYY3guYj/8NUY6RHCIrYNDxAPMFuKwVSZiLlLBIOQi8uAQcXLI3B0eKdqssH1wWFjG34s2FMOLNg1rDLmrVSJiP7xoQzg4xNbBIeLFPw09rqoukB1iwWClT7drXYM8OEQcvmFDzcO3+Iv31zUYPzgsLOMfnixyJ3Rlefc8OHxXHPzJIkfRW2+tbairchXU2oawXMy1tkG8/PbUqtUmYi5SvSB4RB48Ik4emcvisNY2Rwo3rd+9+2Jh9RiSEYOEJ/3T4KhHEVHpyFHERHlEHvKRsLQuj4hX8OuOz3Pqmy+/PDw83bx7evf9t7+9+/nh/t3nnz/8+uXVx4efanhOvqls/vzh51++/u+nx9+mf62b7V8fn54eP339r18e3v348Ln9V62Jf3p8fPr6H2++//aZ/Wn6x/rPN78/fv7bdNjv/z9QSwMECgAAAAAAh07iQAAAAAAAAAAAAAAAAAkAAAB4bC90aGVtZS9QSwMEFAAAAAgAh07iQHwoAKTfBQAAKBkAABMAAAB4bC90aGVtZS90aGVtZTEueG1s7VlNbxs3EL0X6H9Y7L2RZOvDMiIHtj7iNnYSREqKHKldapcRd7kgKTu6FcmxQIGiadFLgd56KNAGaIDm0l/jNkWb/ogOuasVKVG1Y/iQBrEvEvfN8HFm+IZcXb/xOKHeCeaCsLTj165VfQ+nAQtJGnX8+6PBRzu+JyRKQ0RZijv+HAv/xt6HH1xHuzLGCfbAPhW7qOPHUma7lYoIYBiJayzDKTybMJ4gCV95VAk5OgW/Ca1sVavNSoJI6nspSsDtncmEBNjfW7jtU/CdSqEGAsqHyilex4bTmkKIuehS7p0g2vFhhpCdjvBj6XsUCQkPOn5V//mVvesVtFsYUbnB1rAb6L/CrjAIp1t6Th6Ny0nr9Ua9uV/61wAq13H9Vr/Zb5b+NAAFAaw052L6bBy0D3qNAmuA8o8O371Wb7tm4Q3/22uc9xvq38JrUO6/voYfDLoQRQuvQTm+sYav11tb3bqF16Ac31zDt6r7vXrLwmtQTEk6XUNXG83t7mK1JWTC6KET3m7UB62twvkSBdVQVpeaYsJSuanWEvSI8QEAFJAiSVJPzjM8QQHUbxdRMubEOyJRLNU0aBcj43k+FIi1ITWjJwJOMtnxP8kQ7Iil11cvX549eXH25Nezp0/PnvxserfsDlEamXavf/jyn+8+8/7+5fvXz77Op17FCxP/x0+f//7bV24gbCOD0DfP/3zx/NW3X/z14zMHfJ+jsQkfcRQSCcqCqKeekcBhdIjH3DIiCRbebXzq3WMJxEMH06I/ihGxLFAMSAewL2MLeHuOqAt3gO34PeAgIi7gzdkji+sw5jNJHDPfihMLeMwYPWDcuZxbai4jyKNZGrkn5zMTdw+hE9fcXZRa2e3PMlBP4nLZjbFF8y5FqUQRTrH01DM2xdixuoeEWHE9JgFngk2k95B4BwhS7jAakbFVS0ujQ5JAXuYugpBqKzbHD7wDRl3ue/jERsKeQNTFA1MrjDfRTKLE5XKEEmoG/AjJ2EVyOOeBiesLCZmOMGVeP8RCuGzucFivkfRbICDutB/TeWIjuSRTl88jxJiJ7LFpN0ZJ5sIOSRqb2I/FFEoUeXeZdMGPmb1D1HfIA0o3pvsBwVa6R+du6/ugnSalZYGoJzPuyOVNzKz6Hc7pBGGtGSDtlmInJD1XvvMZrl64HczfKcne58S91f5/Qt1Ds/Quhr2x3nbe6/R7nfbfeZ3etJevXp2XggxarQ54+clbn8OTjcfwCaF0KOcUHwl9EhfQhsIBDCo7ffnE5bUsi+Gj2skwgYWL4GCqbDzO5KdExsMYZXCKr/nKSSQK15HwMibg9qiHnb4Vns6SYxbmt89aTd00c/EQSC7Hq41yHG4OMkc3W8sbVeles430zXdBQNm+CQljMpvEtoNEazGogqTv2RA0Bwm9sith0Xaw2FHuF6laYwHUyqzAOcmD01XHb9TBBIzg+oQoDlWe8lQvsquTeZWZ3hRMqwKq8HKjqIBlptuK68blqdXlpXaBTFskjHKzSejI6B4mYhTiojrV6EVovGmu28uUWvRUKIpYGDRaO//F4rK5BrtVbaCpqRQ09U47fnO7ASUToKzjT+AWDx+TDGpHqPMtohG8BAskzzf8ZZQl40L2kIjzgGvRydUgIRJzj5Kk46vll2mgqdYQza22BYLw1pJrg6y8beQg6XaS8WSCA2mm3RhRkc6/gsLnWuF8qs0vD1aWbAbpHsbhqTemM34PQYk1WjUVwJAIeNVTy6MZEng7WQrZsv5WGlMhu+brQV1D+TiiWYyKjmKKeQ7XUl7S0d/KGBjfijVDQI2QFI1wHKlmaQbV6qZl18g5bOy65xupyBmiueyZlqqorulWMWuGRRtYieXlmrzBahFiaJdmh8+le1Vy2wutWzknlF0CAl7Gz9F1L9AQDGrLySxqivG6DCvNLkbt3rFY4DnULtIkDNVvLtyuxK3sEc7pYPBSnR/sVqsWhiaLc6WOtP4Bw/ylgY0fgXj04J3ujEqRC4QG7f0LUEsDBBQAAAAIAIdO4kBSUqorKAsAAPopAAAUAAAAeGwvc2hhcmVkU3RyaW5ncy54bWyVWl1TFckZvk9V/gPF1SYVpbvnqyelbG3hLhg2mlq13MrNFqVErVU0gqnkTl0+d0GIoICAgoqaUhCQuHAAuchfOTNzztX+hTxz5pxx6GcOx7W2LHe63+73eb/ft8+xz/957WrTP7pv9l653nO8WR4VzU3dPReuX7zSc+l487mzXx3RzU29fV09F7uuXu/pPt78r+7e5s9bf/ubY729fU2g7ek93ny5r+/GH1taei9c7r7W1Xv0+o3uHqz87frNa119+N+bl1p6b9zs7rrYe7m7u+/a1RYlhNtyretKT3PTheu3evqONytfWM1Nt3qu/P1Wd1vyybKc5tZjvVdaj/W1loeGSpsrwdiDaPdhMP7zsZa+1mMt8VKyjIVwbDVa3wke/2SuFXcmg8Ik6KLFO/lrwcRY9HKN1j7MBYWp4MFgHdLacj51afNlMHnn5Anz1OR7Pg3uyqU503mu6eSJz4pbY8HS62B4trhVEL8zDw4XloK9pzkYo9X10st+czsuikZG8/lIhB0+WCsPjZt0xRrsaGm1tPq8zqatsXBnqfT+XXHrdlR4Gdx7EswtfhbdWQsKL9IDYiyDs4QDKKu0hdFfS1t+2l9aXQqG16DzcPp9eXrzl93h4s5A8PC/ODMYHvx4+f4A7v9DuLgb7I5Dnt/iz5HKf7/sjpiYcWxUeAHyaKc/x/j+cvqUcoWvtOMJS/m2Fp4yj4jmNoOB5USw5lpnxykppPk1GLtX3ILFT4czo6AuTSzDPErvBwDN3BpuPwxGp4O5vWB1IVxajtbfhfMj5dmJYOBNML4VvO0PplZNGs+zlHYtz3Is31zLnhS92in9uB7t3yluzeOSaHwsGl/EDdHAarSxHMwPRhv3o413+CJFZ3t5eQVfo0eDwep8sDcZrDwLH65hTYnw4XPzGt/Xtm+7nta+Za65vpSIEUJIW9nmIskqZdLc6WvzS4JbaMd3XHMtF3e08aF8e6S4tVD6aRpIYoU83I7Wd6uIK/DvwzbCmXufgNi3hIChOPIwxNIzOXPoC9Rnay2la7uOuTsXR/D8JVgON7ajjRn8w/n+UvJFCWUlSjoIDQprwqb/TcvSU4qpnuNAc5b0lUvKSFWHg0nEUrJGFLzHtgX0TULJIknYTVVdHvp3+G4NPEeze8HAWvnFbEUj31/6fcxwoiDgKm/MJ4RNUtRFY7k+ko3yPO8QNLZNi2yasXkpz3WFZR8KJoWROFTCfeJiVZzkX05nezT/JPpPIRgdKD0bkPkuBW9yXMd3bQpBqV6kLYRpMmxynpAWzBROerhaUiSpi8SCTkJS+cE+/KNmZ7CorIkdphDpwR5wuVZkLikMIXyC4VEs87SnLVvjQEVrWetKYZT23kIbpc0lmJOCAzTFf5G4hKs9ZUnHsjxiIuVQOg7FLsVhh/OHQ6ye7+hsE4iGJiNJlghXXoTrI0mWKM8NosbIyRKxabqu5diOQ0LNSqJYeBOsr1fzyPoTHJwosPx6Jnr9NqtBiCp69zaO+9nIlzVSk11fuzYih/Jsi9zjo9ikonBH1pzl2LxFChJ7EvY9ZGnr0KOiqX5E+zRKFndnSpuvEvxZ5DCJaGCjuDOFhIc9IMmiruOavu86WoicgP0RuqUJOmFxyeIS1XoQrKS1rKBK+4+D7c1wugDbTqCFs4+SUJmgqyL9caN8ZzK2+2D1fTT1Kq6B8ffccxgWIo+TG3m0jyCuUf5wPZHCU5LjjE3py/Us27Ydy0ZiMFWbRZM11AqzlQwHCCh3UdhV2EzAJXEIoCvOnJ/SXA9WaSMTuZrcIwWAkoRckwN9RR3IjAg8tDsLIDG2aPR1NDL7MX9l7Sxc+BA+eBZU9FG+fTeYGI7u3o+LrEwiyK+tPMfTru9bnmT7SWurHP48Tf6R+I6jpNLktAwn9Z2sRSVqSF0mDhlJnA3Gn4X9TxrD8fHH84XwOMKnypG2RfHRJTSuCxyedqTLUSaLJnGFxMaSf8MfaoYUV38J06g16pdJrqul8pWNcEdaQE7SyCAatYddz+AAWvnkH5JTSBIAkBFdj+JHFlR5YRKGlsnUh1Z5CJbadhCtNZ+aSl1on2QsFYWhihEpeLXDzVGWw6xTh5+QfVAV/ZrkY/uOLx1JMk3hSPQdZtBheaPAk0Ir6Tq8O4uGjSgujlBrwH6S7AmvRpt3SC3kuugqhaPQJJGcbd+XMB8lbVeRa1YhwYYsrhu4aUCvhVrPkbBYMscspKyCYjDZcJWt95KewhQlPAL9D1zQ8yk0pjoQgGsSotQiFzILJ1c4pNi2s+fym+vS8n44PFH+Ya9Bc+0pJT30JrZ1eLxIC0h0JdG9EYgJnpYGDk6ycQlR6SKzcbJ+KEFOVMKF3QnNQa4W0BEfKWOSRNj4TTnawidZnzl7+psvv0NW8TmhVIrQeTRkxe1qEVp3VEFKt4i/OFI4vrZ8j4N31hBTgR/Soac9U702vU6pBj9ALeBiomPaYWqk6E5ISC55DhstN8Cm+OHOdHLHV1/mm3HcM04Ml+4uNzJj5Dzla+miZzcx5Uu1MulJyhJ1NK4FK+VVMuupDoPigipeMg+UKJNQ5qIO1yySjxJ0LAq1JG8WDteXfzr553zhxK61/qQ8/eoThINaCMMm1k5qZqWhnewgqAK8Lnx0h9L2PcEmnIFvE1oYFcmS1GWIBDla0p4T7RAJuRYcFSKB8kr3HjcQCWdw7mUlM0sKtThBEv/KJ0Gc6mzPV2lseYBQeNOIf3Zdzp8u+RmFT8mpiGOsR5I+iFFjJMxdRce5v+ZjjM32h8XyzLsGGFGCmNZiuYTAYCUeTlEGOX/u23xWIO5werE8tdSIFbpW0SUmIxiU0x7u+Ewqpdk0OSUxFU+xaA+mI6Y8uTQ3qYTL5WGSLFEFCyen20/SZTAzEgxsZsX6Rc7QxrgNUye+7YuvT7cfqTscmo8vWn2UvegT7kHRSb7Rdqaukayg8gs3ZhtcIn3WN4UQ1oHkOR+qXlNTFvkCNxqSax9ud02Rw1/osprIKe4mETbY3g9+PhBh83Rrk8+YV9suJ2vZ0MPBLxcQ6ENNiRm3OXiJoT0d7R31A8PCioEyx7D4ocO8Fq0AhU+8kpjcOhYlCQx1zV3G4bbtcxyqeWfcUpHRVJxzJTtQrVvLKmLbJq65lzI5RFFGUv/6/Hdnz7Z1ttdxarQuGBrhLbA8NBYUBr850ZYjeJ6F5NxMFig5lEr2Ix4gG2dbQnOH6VF0NaiU1rxHUsxw6EvtHAwX8ALrojHnSEOqMYjw3sGhx9KNyDBO4uqlIVXl7aye7VZRxHvq2ndtj8LznXmO04hnCy9z5Exci3O/izbYvOygFOOhbf2UmTCNUQYmSuY5/B6At01zE2vVuF7hyZGo+FHPpBJ45jLvcklCBhWeXvn9j/ZgdGOebOwRtmJfqe1RFYt2hBL8lnpwD57SUW2Yd9V1uUQX6M/wAwCTiN8OJY+XFNldjZ/a0TZ+XGAezXImqpycx+PHGlUiH1vjSZM0aOzxdEPztT0XA0KTZ37iNk+2c/o8svAaUVU8nspp29gta1RVoB5GPMRgbY+sGIuFn01wIjq4R/loAuoaeHJOPKarXzTX9gA6hWN+KDduR4DmIt7cIxQ348YeNNl8u7HHwny6rmlUUaAS4CfX2jmiItW4pmL3ktx5WzyfM07SOuf1U3N3mvNYZp6E1ypyeVk/UlSh4BmUC2EUU3wUj7gUP3cZTOFdhesyi2cdirs/OgnTYtMbLW5MTDKMj4nM2FP5jQQdzXAlp1fjJPwKh1/5eA4NmZvX4fXA/GSebeeU5FJ/ChmFH5n9kVULfrvZ+n9QSwMEFAAAAAgAh07iQL40tkKRAgAA0AUAAA8AAAB4bC93b3JrYm9vay54bWylVE1v00AQvSPxH6y9J2vnoyRWnCpfFpXaEoXQglQJbexNvOp61+yucSvEtXDizLUS53LiAvydUvgXjO0kLRRVAS7enfHsm5n3ZrezfRJz6yVVmknhIadqI4uKQIZMLDz0ZOpXWsjShoiQcCmoh06pRtvd+/c6mVTHMymPLQAQ2kORMYmLsQ4iGhNdlQkV8GcuVUwMmGqBdaIoCXVEqYk5rtn2Fo4JE6hEcNUmGHI+ZwEdyiCNqTAliKKcGChfRyzRK7RwViRaY2Z0Vs0SXQ0Epvm5moOXIasTcbAOvqOJmKjjNKkEMk4g6YxxZk6LMpAVB+7OQkhFZhyIOnGaK2TY3oKOWaCklnNTBShctnWLIcfGjlOS1O3MGacHpVAWSZJ9EudZOLI40WYUMkNDD9XBlBm9dkARKk36KePwt123awh319qNFRhQdo8bqgQxdCCFAV6XivwvIwX2IJKgmDWhL1KmKAxKTky3A18SuGSmx8REVqq4h4bu0VBmgksSHt2gjtzW5S/II0HeMIYmy0LK/e8Ndzv5KB8wmulrdnLTypgIZXbIQhN5qOZs2XBBSt9DyhaRgTtjN1p2keQGRjF8gFWslii0Gj/69v7d1Zezq/OL7xcfLt+e/Tj/dPnx6+Wbz3DF8luxAxI5oJfLYKN2QqdAXUEFhAdjZeVLEdh27Fo7j6AnZlebYgUimYde9Zutvl1v1yoN3/ErDadtV/r9rUalOfTrzQfOcDBq+q/XFOeI838c0BYuTlNiUhA317Ww3fzrL71r57x0LOn4RUR3MsxbWZ6+K/AxvEycbhjsH2wYONjfm+5tGLs7mj4/9DcN7u31h73N43uTSe/ZdPR0lQL/kVAMmsMkr5THq8e4+xNQSwME</t>
  </si>
  <si>
    <t>FAAAAAgAh07iQCMYoy7HDAAAwWAAAA0AAAB4bC9zdHlsZXMueG1s3V1tj9tIHX+PxHewUsELRJrYcR68t9mym11LJ1WoYgtCAlQ5ibNr4cQ5x2l3D51U6JXCoSKhAoXTSRx3KuUFXeBAXHVce1+mSXdf8RX4z4ztmbHHD91uEud2pa7jzP/5N/Of525eORra0k3TnVjOqF2SL1dLkjnqOX1rdNAuffe6Xm6VpIlnjPqG7YzMdunYnJSubH31K5sT79g29w9N05OAxWjSLh163nijUpn0Ds2hMbnsjM0RfDNw3KHhwUf3oDIZu6bRnyCioV1RqtVGZWhYoxLhsDHs5WEyNNwfT8flnjMcG57VtWzLO8a8StKwt/Hmwchxja4Nqh65WsAZHmOsh1bPdSbOwLsMrCrOYGD1zJiGcqPimjct5B2ttLU5mg71oTeRes505LVLavhKIt+82YeXckkiRnecPqhxQ/qGdOmbly5Vb0hvoOcfltlPX39r6nhvlMkfXOJbN6RSJRDF8lWifAnR/754RB5YMbGvWKmxL8mLXErUokr4Ui9XI/bRFxz3K1fSjVSj/GPKYu8F3GPf+nYmfp+iTMWP7tbmwBnRICsKRBm92dqcvC3dNGyoJjKKUM+xHVeyRn3zyIS4t3DUjKFJysxOfvXi2QNc7tBwJ1BNCGlNRe9wJfFLDi2ALHpZIVLIv11UKpCHaUY5eXNsQhaMyh5UUAAmfpOXabbCU1ZhRpp70G2XdL0KP7qOzMwUWc3noQyBLRDYwqwuSqDIl751xL6LtI6LP8YWwZsfvFouWXJetFnpwWvq6DeXyJzB48yrI86LNI+Thl23NGlMTVhM6FJQWdNrerOxsLAxpvnVAAmsLQ4ncYH6dnO3eqGVnIOKQKCOfi7SpSnxW551r5QSclbxFMOg5ydfbNhShGkdyAQXWgtShTXqi7fMD9eFAl9k1MXCAndMJtCZsmw77ENDhiJvtjahP++Z7kiHryX/+frxGHoqIxh6oCpXQZSZpQ9c41hWcE7JRzBxbKuPtDjo8F066PqB1G70dQN3xyqMunlVi0oKew+63uksS1ano2lLkqXo8LscWdt19LscWZ3Gnt7ZW44sQEZzebL2drRF49BvU3AdWmDVCsVInoXG6tXLTU3TWnKj1Wppak1evvw6yNdqLa2hgBrVRUM1bn8NxDfr9VZd1hRVXnQT4Mtfkpn10mrDzMhfSZgZ+SsJM+5eLb42N1YcZkb+SsLMyF9JmJsLznl+o9FccZgZ+SsJMyN/JWHG002Lr82wtLDS3MzIX0mYGfkrCfOSugCwCrPSMDPyVxJmRv5rhhkPZ2EA3XXcPizZSf4ylFyFwSt5t7VpmwMPBq2udXCI/nrOGA1hHc+DRa6tzb5lHDgjw4bHSkAR/EWUsNYHy3rtkncIy3LBnKwx9Rx/uaCCCvncM8tiHbAKmUVBzUDLzLLEmHPa4o+4dxT0i7JZpkVxigy74gRZ1sUp8toIBogiHfhwaPat6TAMZDgmIOFHmMh24zlFhHVeRcMutalWm2pdaRCf5zUvsIODo+8tuiaRN4QMRb4QMgQ5Q8hQXISNdD49r40MRT4bGYKcNjIUr2pj35nC0nyIRz+SDENB85JJE7czk0RgaSZNXlsz6otYjq7DciVebYBm+Tz1UlhTuPqebTNXPE0NP3VAJuqZtr2PUsb3B2E6UtFOiaMBs3UBNpWgRW20OwJtYoBJXPQIb0nqIR+2Ng3bOhgNzREslZuuZ/XQUnsPPpoubqiPBhG2Kt6MkMVXMsZj+1gH+Vgk+QQq0E87OJ3Sz9uBHvTVNdfxzJ6HN8mgbPvKquJ9DWuhKnRXsoNVDKfinTZr4VQVb95ZC1WZyorql7iykvh/ezrsmq6Od3jRuoLWb+inJVQuRmNUzdZLY6ZBBHfTBhHe46Yqwcdcc7aABovxKcwtrplPYZpszTSGGZ810xgmL4QaA4jTcMu1DYvFLUpkoragOBrCwF2sIjRjBXFiooqgem4Vl5sDYHdm6FVwJG1SoSFLUXmxYJSZdh70oEpBW7U6pZgEzym1Uk8xORycQz0FbeTqPAUeETYm0AymKKUvsbmTk7IetINFUZFJc/BIQ5vemOwsfnzGdHdkJrPBY0GVZJIbPBZTSYVJbyiPFFRLJl2g1LEGWkIuKaiWbMS54Qx8kdII7Sy1hnO45HoIhdKSxSWXnQurJZeuC6UlKBOkb7mwmYfDZWFTj8Lisri5h9ES+bX47SXy6xpoWdzcw0a8uLmH1bK4uYdpL2En/Trgsri5h414cXMPq2Vxcw+Ly+LmHkbLWnFzDxPxGjwXNPewWhY397ARX3nuqbCr8mSNnlmer6WszjNmRHF7NPDX7PEwjiyny+dZCUczF/5mgNzi+EUwgASnBPnEzN/ijRRJOxAYQHF4gvdiG31heCovEB0MWIPPnHB2e8Ch41pvg7nMXob47gbplmuMr5tHsEOB7AFBWx1wFCFuzCYLfotFGGUJHXBvl2ZPn54+fpexoju1bNh5SeIG21JiBPfvvHh2f/aLn5+9/9uADAxiyMhR6WCPhy/n9N+PZ09/GhAgH1I5+FRNVM7LPz4HIfO/h0JQDaE0+IhIlGbG6PaD6o8CaajHRCnxqYMoJVGPoUH9F0qDt7DHaP5z9+zB8/mvHwVyUG+C0pDj9xE3zD795PTki7OHJy/ff/c0So/yPKXHG22jMuf/+uvZvfcCgSjlUgKYLRPE6/TJX2a/eW/++3vzD/4W0KEkyNBh+MQkfXjv7KM/BBR4Jo4hEbr/9PHHoNz89mNeGp4fo7R1IT7mWJwESCL1CS19sDoKo+YTQVGfiMcIDNoFDvGJoKhPxMMDZnKTiaCoT8TjgxyMirrw9PmD2d0QHWiqnbEIxpcCOYjk3mehFB4RMNgTkZz8+eXJw5CExwQ5jBpVbP7x7fmfHs3u/2529878w89DWh4XijBQBPIxWjxcpkFWhHV6/s9789v/DcThsStDIsTU7NGzsDwPCUUIidmnJ2F5Hg2KEA1nt3/24umTkITHgiLEwuzzz07/cQcwPnvy8OyjD05/+QmFLR73MDYJK7FS/ZpUllLZ8FiB/qAg8Go2Gx4/0GETsGlks+ExVcPbcaOYEpgT1kuFB1ZNCKxEr4RscLeYOpdcUxLVI9ErlE0kXQlxl+gVygaemPpcE8MxjpWw4QE3cAyE+Ez0CmXDY7YmxGyiVygbvkWrCZGb6BXKhkeuKkSuACthy1rjMQsXYwkwm+gVyobHLGylE7BJ9AplwyMXNo8K2CR6JWQDbmBDrQpbR4FXICYk36D7wRiwqULMJnqFsuExqwoxm+gVyoZHripEbqJXKBvwD2uUELkCrwDEfK8AK5aBELOJXqFseMzWhZhN9AplwyO3LkRuolcoGx65dXL4IWzmoGvfP6L7pqGPg19kXnARvUUi3LcdnrlIOeqeq7DwbosKKLs2CsKQCw4U+Xeu4ZqOr/bwrcfx9O9JY81aNBWZY+GOREXOA4Thgcapgrfsh+e08iuKUR9cAwfj1pSrVRKxBPKDE6CcTqJbT2Ka9ZKcHTgg8awZJ0twGoQ7CcQVjh8DSS4rOAuRXDg4CUGH8umHLcJaKDjtV6FMmBN4rP/OGa5Q6EKqfhA24orXMD/wZT5QvyaEvzQ+SaxOLHBw25VYckURTNQnpnmutjqwAupvOgjD1jMPYlHhVGAWsk6yHiy8gvkTK9qmcZ58tZzKngm8UA1R45877aRySYXql8XReertebyEag30uz10RTQ+uBjOqcN4qm8OjKntXQ+/bJfo8zXXhFt8aze2e+hMIgzi/NLXrJuOh1m1S/SZlFbC0qxIfx49hfUY8cRnqPwj/jAegTusN6YWnJv8SV3b3Wm0lE65rmpqWd3b3StvN6qtcrXa0fbqelXXlNo7MJagRu7ZcOMvnKv08HV6tw4d28TSwQgy/MKjx6Tyh3Bpt+l+x7kVFsdj1qTingOrHWxpPEROKj2w3InXcezpEO4B97XBQ/MkAtuIlcfjqqTyWACos++51tgMZeAhQCoNUSpCRrrWlI71sh/XZBBImI6NK5qMp4FVGk2t0eq0yg1d3y2rnVqjvN3pyGVtb1vWd+VWq97ZTgtsPFAwUw3ZjarLAyEWKTk1sEmezBvfiCvl1DBjYfvTblzH1GhPzJ4z6gvpsiOOUDLtIi/C9fcUKTjmST4kAsWUeBIjiXBsHJi6Zdr9q0bXtCehODx1kkn0PcOewlX8QY3B0zYVSoUGj2ErBu0drC1encCIGP5KU9eCRmRvp6nt7ulKuVXdaZXVmlkva/WdXWhTOju7u7pWVaqddwCc6G7/jSNZPd/9+VWtopE7/uHstqxuTGy4Zd/1G16/Ad2n79ol5sNVdIUJGamD2mBRYERlEv7fA1v/B1BLAwQKAAAAAACHTuJAAAAAAAAAAAAAAAAABgAAAF9yZWxzL1BLAwQUAAAACACHTuJAezh2vP8AAADfAgAACwAAAF9yZWxzLy5yZWxzrZLPSsQwEMbvgu8Q5r5NdxUR2XQvIuxNZH2AmEz/0CYTklntvr1BUSzUugePmfnmm998ZLsb3SBeMaaOvIJ1UYJAb8h2vlHwfHhY3YJIrL3VA3lUcMIEu+ryYvuEg+Y8lNouJJFdfFLQMoc7KZNp0elUUECfOzVFpzk/YyODNr1uUG7K8kbGnx5QTTzF3iqIe7sGcTiFvPlvb6rrzuA9maNDzzMr5FSRnXVskBWMg3yj2L8Q9UUGBjnPcnU+y+93SoesrWYtDUVchZhTitzlXL9xLJnHXE4fiiWgzflA09PnwsGR0Vu0y0g6hCWi6/8kMsfE5JZ5PjVfSHLyLat3UEsDBAoAAAAAAIdO4kAAAAAAAAAAAAAAAAAJAAAAeGwvX3JlbHMvUEsDBBQAAAAIAIdO4kDIbNly7AAAALoCAAAaAAAAeGwvX3JlbHMvd29ya2Jvb2sueG1sLnJlbHOtkk1qwzAQhfeF3kHMvpadllJK5GxKIdvWPYCQxpaJLQnN9Me3r3AhcSCkG28Ebwa9981I293POIgvTNQHr6AqShDoTbC97xR8NK93TyCItbd6CB4VTEiwq29vtm84aM6XyPWRRHbxpMAxx2cpyTgcNRUhos+dNqRRc5apk1Gbg+5QbsryUaalB9RnnmJvFaS9fQDRTDEn/+8d2rY3+BLM54ieL0RI4mnIA4hGpw5ZwZ8uMiPIy/H3q8Y7ndC+c8rbXVIsy9dgNmvCcH4jPK1ilnI+q2sM1ZoM3yEdyCHyieNYIjl3jjDy7MfVv1BLAwQUAAAACACHTuJAqPFac2cBAAANBQAAEwAAAFtDb250ZW50X1R5cGVzXS54bWytlMtOAjEUhvcmvsOkWzNTcGGMYWDhZakk4gPU9sA09JaegvD2nilgAkGBjJtJOu35v//8vQxGK2uKJUTU3tWsX/VYAU56pd2sZh+Tl/KeFZiEU8J4BzVbA7LR8PpqMFkHwIKqHdasSSk8cI6yASuw8gEczUx9tCLRMM54EHIuZsBve707Lr1L4FKZWg02HDzBVCxMKp5X9HvjJIJBVjxuFrasmokQjJYikVO+dOqAUm4JFVXmNdjogDdkg/GjhHbmd8C27o2iiVpBMRYxvQpLNrjychx9QE6Gqr9Vjtj006mWQBoLSxFU0LasQJWBJCEmDT+e/2RLH+Fy+C6jtvpi4gKTt5czDxqWWeZM+MpwbEQE9Z4inUjsTMcQQShsAJI11Z727qgci731kdYG/t1AFj1BTnSpgOdvv3MAWeYE8MvH+af3886ww7Qp9coK7c7g5y1C2n2q6d71vpG2vyy888HzYzb8BlBLAQIUABQAAAAIAIdO4kCo8VpzZwEAAA0FAAATAAAAAAAAAAEAIAAAAGlnAABbQ29udGVudF9UeXBlc10ueG1sUEsBAhQACgAAAAAAh07iQAAAAAAAAAAAAAAAAAYAAAAAAAAAAAAQAAAA0mQAAF9yZWxzL1BLAQIUABQAAAAIAIdO4kB7OHa8/wAAAN8CAAALAAAAAAAAAAEAIAAAAPZkAABfcmVscy8ucmVsc1BLAQIUAAoAAAAAAIdO4kAAAAAAAAAAAAAAAAAJAAAAAAAAAAAAEAAAAAAAAABkb2NQcm9wcy9QSwECFAAUAAAACACHTuJAxgDuwU4BAABIAgAAEAAAAAAAAAABACAAAAAnAAAAZG9jUHJvcHMvYXBwLnhtbFBLAQIUABQAAAAIAIdO4kAX6W2EUwEAAGQCAAARAAAAAAAAAAEAIAAAAKMBAABkb2NQcm9wcy9jb3JlLnhtbFBLAQIUABQAAAAIAIdO4kCxF3EfQwEAAIQCAAATAAAAAAAAAAEAIAAAACUDAABkb2NQcm9wcy9jdXN0b20ueG1sUEsBAhQACgAAAAAAh07iQAAAAAAAAAAAAAAAAAMAAAAAAAAAAAAQAAAAmQQAAHhsL1BLAQIUAAoAAAAAAIdO4kAAAAAAAAAAAAAAAAAJAAAAAAAAAAAAEAAAAB5mAAB4bC9fcmVscy9QSwECFAAUAAAACACHTuJAyGzZcuwAAAC6AgAAGgAAAAAAAAABACAAAABFZgAAeGwvX3JlbHMvd29ya2Jvb2sueG1sLnJlbHNQSwECFAAUAAAACACHTuJAUlKqKygLAAD6KQAAFAAAAAAAAAABACAAAADISQAAeGwvc2hhcmVkU3RyaW5ncy54bWxQSwECFAAUAAAACACHTuJAIxijLscMAADBYAAADQAAAAAAAAABACAAAADgVwAAeGwvc3R5bGVzLnhtbFBLAQIUAAoAAAAAAIdO4kAAAAAAAAAAAAAAAAAJAAAAAAAAAAAAEAAAAJFDAAB4bC90aGVtZS9QSwECFAAUAAAACACHTuJAfCgApN8FAAAoGQAAEwAAAAAAAAABACAAAAC4QwAAeGwvdGhlbWUvdGhlbWUxLnhtbFBLAQIUABQAAAAIAIdO4kC+NLZCkQIAANAFAAAPAAAAAAAAAAEAIAAAACJVAAB4bC93b3JrYm9vay54bWxQSwECFAAKAAAAAACHTuJAAAAAAAAAAAAAAAAADgAAAAAAAAAAABAAAAC6BAAAeGwvd29ya3NoZWV0cy9QSwECFAAUAAAACACHTuJA+7KqKnU+AACIqgEAGAAAAAAAAAABACAAAADmBAAAeGwvd29ya3NoZWV0cy9zaGVldDEueG1sUEsFBgAAAAARABEABwQAAAFpAAAAA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</si>
</sst>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8372F"/>
    </font>
  </fonts>
  <fills count="4">
    <fill>
      <patternFill patternType="none"/>
    </fill>
    <fill>
      <patternFill patternType="gray125"/>
    </fill>
    <fill>
      <patternFill patternType="solid">
        <fgColor rgb="FF244F45"/>
      </patternFill>
    </fill>
    <fill>
      <patternFill patternType="solid">
        <fgColor rgb="FFE4EEE9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0DC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0" fontId="2" fillId="3" borderId="0" xfId="0" applyFont="1" applyFill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64" customWidth="1"/>
    <col min="3" max="3" width="14" customWidth="1"/>
    <col min="4" max="4" width="12" customWidth="1"/>
    <col min="5" max="6" width="10" customWidth="1"/>
    <col min="7" max="9" width="13" customWidth="1"/>
    <col min="10" max="10" width="20" customWidth="1"/>
    <col min="11" max="12" width="15" customWidth="1"/>
    <col min="13" max="14" width="16" customWidth="1"/>
    <col min="15" max="15" width="15" customWidth="1"/>
    <col min="16" max="16" width="12" style="1" customWidth="1"/>
    <col min="17" max="17" width="16" customWidth="1"/>
    <col min="18" max="18" width="12" style="1" customWidth="1"/>
    <col min="19" max="19" width="24" customWidth="1"/>
  </cols>
  <sheetData>
    <row r="1" ht="32" customHeight="1" spans="1:1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3" t="s">
        <v>17</v>
      </c>
      <c r="S1" s="2" t="s">
        <v>18</v>
      </c>
    </row>
    <row r="2" ht="23" customHeight="1" spans="1:19" s="4" customFormat="1" x14ac:dyDescent="0.25">
      <c r="A2" s="5" t="s">
        <v>19</v>
      </c>
      <c r="B2" s="6" t="s">
        <v>20</v>
      </c>
      <c r="C2" s="5" t="s">
        <v>21</v>
      </c>
      <c r="D2" s="5" t="s">
        <v>22</v>
      </c>
      <c r="E2" s="5">
        <v>2.5</v>
      </c>
      <c r="F2" s="5">
        <v>1</v>
      </c>
      <c r="G2" s="5">
        <v>0</v>
      </c>
      <c r="H2" s="5">
        <v>0</v>
      </c>
      <c r="I2" s="5">
        <v>111</v>
      </c>
      <c r="J2" s="5">
        <v>111</v>
      </c>
      <c r="K2" s="5">
        <v>0</v>
      </c>
      <c r="L2" s="5">
        <v>9</v>
      </c>
      <c r="M2" s="5">
        <v>21</v>
      </c>
      <c r="N2" s="5">
        <v>53</v>
      </c>
      <c r="O2" s="5">
        <v>173</v>
      </c>
      <c r="P2" s="7">
        <f>O2*E2/1000</f>
        <v>0.4325</v>
      </c>
      <c r="Q2" s="5">
        <f>MIN(INT(O2/F2)*F2,ROUNDUP(MAX(0,(N2*0.5+(L2/7*30)*0.3+(K2*30)*0.2)*0.8-I2)/F2,0)*F2)</f>
        <v>0</v>
      </c>
      <c r="R2" s="7">
        <f>Q2*E2/1000</f>
        <v>0</v>
      </c>
      <c r="S2" s="5" t="s">
        <v>23</v>
      </c>
    </row>
    <row r="3" ht="23" customHeight="1" spans="1:19" s="4" customFormat="1" x14ac:dyDescent="0.25">
      <c r="A3" s="5" t="s">
        <v>19</v>
      </c>
      <c r="B3" s="6" t="s">
        <v>24</v>
      </c>
      <c r="C3" s="5" t="s">
        <v>21</v>
      </c>
      <c r="D3" s="5" t="s">
        <v>22</v>
      </c>
      <c r="E3" s="5">
        <v>10</v>
      </c>
      <c r="F3" s="5">
        <v>1</v>
      </c>
      <c r="G3" s="5">
        <v>0</v>
      </c>
      <c r="H3" s="5">
        <v>0</v>
      </c>
      <c r="I3" s="5">
        <v>27</v>
      </c>
      <c r="J3" s="5">
        <v>26</v>
      </c>
      <c r="K3" s="5">
        <v>2</v>
      </c>
      <c r="L3" s="5">
        <v>22</v>
      </c>
      <c r="M3" s="5">
        <v>41</v>
      </c>
      <c r="N3" s="5">
        <v>61</v>
      </c>
      <c r="O3" s="5">
        <v>37</v>
      </c>
      <c r="P3" s="7">
        <f>O3*E3/1000</f>
        <v>0.37</v>
      </c>
      <c r="Q3" s="5">
        <f>MIN(INT(O3/F3)*F3,ROUNDUP(MAX(0,(N3*0.5+(L3/7*30)*0.3+(K3*30)*0.2)*0.8-I3)/F3,0)*F3)</f>
        <v>30</v>
      </c>
      <c r="R3" s="7">
        <f>Q3*E3/1000</f>
        <v>0.3</v>
      </c>
      <c r="S3" s="5" t="s">
        <v>23</v>
      </c>
    </row>
    <row r="4" ht="23" customHeight="1" spans="1:19" s="4" customFormat="1" x14ac:dyDescent="0.25">
      <c r="A4" s="5" t="s">
        <v>19</v>
      </c>
      <c r="B4" s="6" t="s">
        <v>25</v>
      </c>
      <c r="C4" s="5" t="s">
        <v>21</v>
      </c>
      <c r="D4" s="5" t="s">
        <v>22</v>
      </c>
      <c r="E4" s="5">
        <v>5</v>
      </c>
      <c r="F4" s="5">
        <v>1</v>
      </c>
      <c r="G4" s="5">
        <v>0</v>
      </c>
      <c r="H4" s="5">
        <v>0</v>
      </c>
      <c r="I4" s="5">
        <v>133</v>
      </c>
      <c r="J4" s="5">
        <v>133</v>
      </c>
      <c r="K4" s="5">
        <v>5</v>
      </c>
      <c r="L4" s="5">
        <v>21</v>
      </c>
      <c r="M4" s="5">
        <v>37</v>
      </c>
      <c r="N4" s="5">
        <v>87</v>
      </c>
      <c r="O4" s="5">
        <v>125</v>
      </c>
      <c r="P4" s="7">
        <f>O4*E4/1000</f>
        <v>0.625</v>
      </c>
      <c r="Q4" s="5">
        <f>MIN(INT(O4/F4)*F4,ROUNDUP(MAX(0,(N4*0.5+(L4/7*30)*0.3+(K4*30)*0.2)*0.8-I4)/F4,0)*F4)</f>
        <v>0</v>
      </c>
      <c r="R4" s="7">
        <f>Q4*E4/1000</f>
        <v>0</v>
      </c>
      <c r="S4" s="5" t="s">
        <v>23</v>
      </c>
    </row>
    <row r="5" ht="23" customHeight="1" spans="1:19" s="4" customFormat="1" x14ac:dyDescent="0.25">
      <c r="A5" s="5" t="s">
        <v>19</v>
      </c>
      <c r="B5" s="6" t="s">
        <v>26</v>
      </c>
      <c r="C5" s="5" t="s">
        <v>21</v>
      </c>
      <c r="D5" s="5" t="s">
        <v>22</v>
      </c>
      <c r="E5" s="5">
        <v>10</v>
      </c>
      <c r="F5" s="5">
        <v>1</v>
      </c>
      <c r="G5" s="5">
        <v>0</v>
      </c>
      <c r="H5" s="5">
        <v>16.4</v>
      </c>
      <c r="I5" s="5">
        <v>56</v>
      </c>
      <c r="J5" s="5">
        <v>54</v>
      </c>
      <c r="K5" s="5">
        <v>1</v>
      </c>
      <c r="L5" s="5">
        <v>8</v>
      </c>
      <c r="M5" s="5">
        <v>14</v>
      </c>
      <c r="N5" s="5">
        <v>19</v>
      </c>
      <c r="O5" s="5">
        <v>0</v>
      </c>
      <c r="P5" s="7">
        <f>O5*E5/1000</f>
        <v>0</v>
      </c>
      <c r="Q5" s="5">
        <f>MIN(INT(O5/F5)*F5,ROUNDUP(MAX(0,(N5*0.5+(L5/7*30)*0.3+(K5*30)*0.2)*0.8-I5)/F5,0)*F5)</f>
        <v>0</v>
      </c>
      <c r="R5" s="7">
        <f>Q5*E5/1000</f>
        <v>0</v>
      </c>
      <c r="S5" s="5" t="s">
        <v>23</v>
      </c>
    </row>
    <row r="6" ht="23" customHeight="1" spans="1:19" s="4" customFormat="1" x14ac:dyDescent="0.25">
      <c r="A6" s="5" t="s">
        <v>19</v>
      </c>
      <c r="B6" s="6" t="s">
        <v>27</v>
      </c>
      <c r="C6" s="5" t="s">
        <v>21</v>
      </c>
      <c r="D6" s="5" t="s">
        <v>22</v>
      </c>
      <c r="E6" s="5">
        <v>10</v>
      </c>
      <c r="F6" s="5">
        <v>1</v>
      </c>
      <c r="G6" s="5">
        <v>0</v>
      </c>
      <c r="H6" s="5">
        <v>8.94</v>
      </c>
      <c r="I6" s="5">
        <v>88</v>
      </c>
      <c r="J6" s="5">
        <v>88</v>
      </c>
      <c r="K6" s="5">
        <v>3</v>
      </c>
      <c r="L6" s="5">
        <v>10</v>
      </c>
      <c r="M6" s="5">
        <v>19</v>
      </c>
      <c r="N6" s="5">
        <v>54</v>
      </c>
      <c r="O6" s="5">
        <v>5</v>
      </c>
      <c r="P6" s="7">
        <f>O6*E6/1000</f>
        <v>0.05</v>
      </c>
      <c r="Q6" s="5">
        <f>MIN(INT(O6/F6)*F6,ROUNDUP(MAX(0,(N6*0.5+(L6/7*30)*0.3+(K6*30)*0.2)*0.8-I6)/F6,0)*F6)</f>
        <v>0</v>
      </c>
      <c r="R6" s="7">
        <f>Q6*E6/1000</f>
        <v>0</v>
      </c>
      <c r="S6" s="5" t="s">
        <v>23</v>
      </c>
    </row>
    <row r="7" ht="23" customHeight="1" spans="1:19" s="4" customFormat="1" x14ac:dyDescent="0.25">
      <c r="A7" s="5" t="s">
        <v>19</v>
      </c>
      <c r="B7" s="6" t="s">
        <v>28</v>
      </c>
      <c r="C7" s="5" t="s">
        <v>21</v>
      </c>
      <c r="D7" s="5" t="s">
        <v>22</v>
      </c>
      <c r="E7" s="5">
        <v>5</v>
      </c>
      <c r="F7" s="5">
        <v>1</v>
      </c>
      <c r="G7" s="5">
        <v>0</v>
      </c>
      <c r="H7" s="5">
        <v>0</v>
      </c>
      <c r="I7" s="5">
        <v>508</v>
      </c>
      <c r="J7" s="5">
        <v>505</v>
      </c>
      <c r="K7" s="5">
        <v>30</v>
      </c>
      <c r="L7" s="5">
        <v>132</v>
      </c>
      <c r="M7" s="5">
        <v>310</v>
      </c>
      <c r="N7" s="5">
        <v>544</v>
      </c>
      <c r="O7" s="5">
        <v>347</v>
      </c>
      <c r="P7" s="7">
        <f>O7*E7/1000</f>
        <v>1.735</v>
      </c>
      <c r="Q7" s="5">
        <f>MIN(INT(O7/F7)*F7,ROUNDUP(MAX(0,(N7*0.5+(L7/7*30)*0.3+(K7*30)*0.2)*0.8-I7)/F7,0)*F7)</f>
        <v>0</v>
      </c>
      <c r="R7" s="7">
        <f>Q7*E7/1000</f>
        <v>0</v>
      </c>
      <c r="S7" s="5" t="s">
        <v>23</v>
      </c>
    </row>
    <row r="8" ht="23" customHeight="1" spans="1:19" s="4" customFormat="1" x14ac:dyDescent="0.25">
      <c r="A8" s="5" t="s">
        <v>19</v>
      </c>
      <c r="B8" s="6" t="s">
        <v>29</v>
      </c>
      <c r="C8" s="5" t="s">
        <v>21</v>
      </c>
      <c r="D8" s="5" t="s">
        <v>22</v>
      </c>
      <c r="E8" s="5">
        <v>25</v>
      </c>
      <c r="F8" s="5">
        <v>1</v>
      </c>
      <c r="G8" s="5">
        <v>0</v>
      </c>
      <c r="H8" s="5">
        <v>0</v>
      </c>
      <c r="I8" s="5">
        <v>95</v>
      </c>
      <c r="J8" s="5">
        <v>92</v>
      </c>
      <c r="K8" s="5">
        <v>1</v>
      </c>
      <c r="L8" s="5">
        <v>18</v>
      </c>
      <c r="M8" s="5">
        <v>37</v>
      </c>
      <c r="N8" s="5">
        <v>69</v>
      </c>
      <c r="O8" s="5">
        <v>239</v>
      </c>
      <c r="P8" s="7">
        <f>O8*E8/1000</f>
        <v>5.975</v>
      </c>
      <c r="Q8" s="5">
        <f>MIN(INT(O8/F8)*F8,ROUNDUP(MAX(0,(N8*0.5+(L8/7*30)*0.3+(K8*30)*0.2)*0.8-I8)/F8,0)*F8)</f>
        <v>0</v>
      </c>
      <c r="R8" s="7">
        <f>Q8*E8/1000</f>
        <v>0</v>
      </c>
      <c r="S8" s="5" t="s">
        <v>23</v>
      </c>
    </row>
    <row r="9" ht="23" customHeight="1" spans="1:19" s="4" customFormat="1" x14ac:dyDescent="0.25">
      <c r="A9" s="5" t="s">
        <v>19</v>
      </c>
      <c r="B9" s="6" t="s">
        <v>30</v>
      </c>
      <c r="C9" s="5" t="s">
        <v>21</v>
      </c>
      <c r="D9" s="5" t="s">
        <v>22</v>
      </c>
      <c r="E9" s="5">
        <v>10</v>
      </c>
      <c r="F9" s="5">
        <v>1</v>
      </c>
      <c r="G9" s="5">
        <v>0</v>
      </c>
      <c r="H9" s="5">
        <v>0</v>
      </c>
      <c r="I9" s="5">
        <v>117</v>
      </c>
      <c r="J9" s="5">
        <v>116</v>
      </c>
      <c r="K9" s="5">
        <v>4</v>
      </c>
      <c r="L9" s="5">
        <v>44</v>
      </c>
      <c r="M9" s="5">
        <v>62</v>
      </c>
      <c r="N9" s="5">
        <v>105</v>
      </c>
      <c r="O9" s="5">
        <v>48</v>
      </c>
      <c r="P9" s="7">
        <f>O9*E9/1000</f>
        <v>0.48</v>
      </c>
      <c r="Q9" s="5">
        <f>MIN(INT(O9/F9)*F9,ROUNDUP(MAX(0,(N9*0.5+(L9/7*30)*0.3+(K9*30)*0.2)*0.8-I9)/F9,0)*F9)</f>
        <v>0</v>
      </c>
      <c r="R9" s="7">
        <f>Q9*E9/1000</f>
        <v>0</v>
      </c>
      <c r="S9" s="5" t="s">
        <v>23</v>
      </c>
    </row>
    <row r="10" ht="23" customHeight="1" spans="1:19" s="4" customFormat="1" x14ac:dyDescent="0.25">
      <c r="A10" s="5" t="s">
        <v>19</v>
      </c>
      <c r="B10" s="6" t="s">
        <v>31</v>
      </c>
      <c r="C10" s="5" t="s">
        <v>21</v>
      </c>
      <c r="D10" s="5" t="s">
        <v>22</v>
      </c>
      <c r="E10" s="5">
        <v>5</v>
      </c>
      <c r="F10" s="5">
        <v>5</v>
      </c>
      <c r="G10" s="5">
        <v>0</v>
      </c>
      <c r="H10" s="5">
        <v>9.94</v>
      </c>
      <c r="I10" s="5">
        <v>39</v>
      </c>
      <c r="J10" s="5">
        <v>39</v>
      </c>
      <c r="K10" s="5">
        <v>1</v>
      </c>
      <c r="L10" s="5">
        <v>3</v>
      </c>
      <c r="M10" s="5">
        <v>6</v>
      </c>
      <c r="N10" s="5">
        <v>14</v>
      </c>
      <c r="O10" s="5">
        <v>15</v>
      </c>
      <c r="P10" s="7">
        <f>O10*E10/1000</f>
        <v>0.075</v>
      </c>
      <c r="Q10" s="5">
        <f>MIN(INT(O10/F10)*F10,ROUNDUP(MAX(0,(N10*0.5+(L10/7*30)*0.3+(K10*30)*0.2)*0.8-I10)/F10,0)*F10)</f>
        <v>0</v>
      </c>
      <c r="R10" s="7">
        <f>Q10*E10/1000</f>
        <v>0</v>
      </c>
      <c r="S10" s="5" t="s">
        <v>23</v>
      </c>
    </row>
    <row r="11" ht="23" customHeight="1" spans="1:19" s="4" customFormat="1" x14ac:dyDescent="0.25">
      <c r="A11" s="5" t="s">
        <v>19</v>
      </c>
      <c r="B11" s="6" t="s">
        <v>32</v>
      </c>
      <c r="C11" s="5" t="s">
        <v>21</v>
      </c>
      <c r="D11" s="5" t="s">
        <v>22</v>
      </c>
      <c r="E11" s="5">
        <v>2.5</v>
      </c>
      <c r="F11" s="5">
        <v>1</v>
      </c>
      <c r="G11" s="5">
        <v>0</v>
      </c>
      <c r="H11" s="5">
        <v>0</v>
      </c>
      <c r="I11" s="5">
        <v>246</v>
      </c>
      <c r="J11" s="5">
        <v>246</v>
      </c>
      <c r="K11" s="5">
        <v>0</v>
      </c>
      <c r="L11" s="5">
        <v>4</v>
      </c>
      <c r="M11" s="5">
        <v>22</v>
      </c>
      <c r="N11" s="5">
        <v>54</v>
      </c>
      <c r="O11" s="5">
        <v>0</v>
      </c>
      <c r="P11" s="7">
        <f>O11*E11/1000</f>
        <v>0</v>
      </c>
      <c r="Q11" s="5">
        <f>MIN(INT(O11/F11)*F11,ROUNDUP(MAX(0,(N11*0.5+(L11/7*30)*0.3+(K11*30)*0.2)*0.8-I11)/F11,0)*F11)</f>
        <v>0</v>
      </c>
      <c r="R11" s="7">
        <f>Q11*E11/1000</f>
        <v>0</v>
      </c>
      <c r="S11" s="5" t="s">
        <v>23</v>
      </c>
    </row>
    <row r="12" ht="23" customHeight="1" spans="1:19" s="4" customFormat="1" x14ac:dyDescent="0.25">
      <c r="A12" s="5" t="s">
        <v>19</v>
      </c>
      <c r="B12" s="6" t="s">
        <v>33</v>
      </c>
      <c r="C12" s="5" t="s">
        <v>21</v>
      </c>
      <c r="D12" s="5" t="s">
        <v>22</v>
      </c>
      <c r="E12" s="5">
        <v>5</v>
      </c>
      <c r="F12" s="5">
        <v>1</v>
      </c>
      <c r="G12" s="5">
        <v>0</v>
      </c>
      <c r="H12" s="5">
        <v>0</v>
      </c>
      <c r="I12" s="5">
        <v>91</v>
      </c>
      <c r="J12" s="5">
        <v>91</v>
      </c>
      <c r="K12" s="5">
        <v>1</v>
      </c>
      <c r="L12" s="5">
        <v>20</v>
      </c>
      <c r="M12" s="5">
        <v>32</v>
      </c>
      <c r="N12" s="5">
        <v>71</v>
      </c>
      <c r="O12" s="5">
        <v>24</v>
      </c>
      <c r="P12" s="7">
        <f>O12*E12/1000</f>
        <v>0.12</v>
      </c>
      <c r="Q12" s="5">
        <f>MIN(INT(O12/F12)*F12,ROUNDUP(MAX(0,(N12*0.5+(L12/7*30)*0.3+(K12*30)*0.2)*0.8-I12)/F12,0)*F12)</f>
        <v>0</v>
      </c>
      <c r="R12" s="7">
        <f>Q12*E12/1000</f>
        <v>0</v>
      </c>
      <c r="S12" s="5" t="s">
        <v>23</v>
      </c>
    </row>
    <row r="13" ht="23" customHeight="1" spans="1:19" s="8" customFormat="1" x14ac:dyDescent="0.25">
      <c r="A13" s="9" t="s">
        <v>34</v>
      </c>
      <c r="B13" s="9" t="s">
        <v>23</v>
      </c>
      <c r="C13" s="9" t="s">
        <v>23</v>
      </c>
      <c r="D13" s="9" t="s">
        <v>23</v>
      </c>
      <c r="E13" s="9" t="s">
        <v>23</v>
      </c>
      <c r="F13" s="9" t="s">
        <v>23</v>
      </c>
      <c r="G13" s="9" t="s">
        <v>23</v>
      </c>
      <c r="H13" s="9" t="s">
        <v>23</v>
      </c>
      <c r="I13" s="9" t="s">
        <v>23</v>
      </c>
      <c r="J13" s="9" t="s">
        <v>23</v>
      </c>
      <c r="K13" s="9" t="s">
        <v>23</v>
      </c>
      <c r="L13" s="9" t="s">
        <v>23</v>
      </c>
      <c r="M13" s="9" t="s">
        <v>23</v>
      </c>
      <c r="N13" s="9" t="s">
        <v>23</v>
      </c>
      <c r="O13" s="9">
        <f>SUM(O2:O12)</f>
        <v>1013</v>
      </c>
      <c r="P13" s="10">
        <f>SUM(P2:P12)</f>
        <v>9.862499999999999</v>
      </c>
      <c r="Q13" s="9">
        <f>SUM(Q2:Q12)</f>
        <v>30</v>
      </c>
      <c r="R13" s="10">
        <f>SUM(R2:R12)</f>
        <v>0.3</v>
      </c>
      <c r="S13" s="9" t="s">
        <v>23</v>
      </c>
    </row>
    <row r="14" ht="23" customHeight="1" spans="1:19" s="4" customFormat="1" x14ac:dyDescent="0.25">
      <c r="A14" s="5" t="s">
        <v>35</v>
      </c>
      <c r="B14" s="6" t="s">
        <v>20</v>
      </c>
      <c r="C14" s="5" t="s">
        <v>21</v>
      </c>
      <c r="D14" s="5" t="s">
        <v>22</v>
      </c>
      <c r="E14" s="5">
        <v>2.5</v>
      </c>
      <c r="F14" s="5">
        <v>1</v>
      </c>
      <c r="G14" s="5">
        <v>0</v>
      </c>
      <c r="H14" s="5">
        <v>0</v>
      </c>
      <c r="I14" s="5">
        <v>54</v>
      </c>
      <c r="J14" s="5">
        <v>54</v>
      </c>
      <c r="K14" s="5">
        <v>0</v>
      </c>
      <c r="L14" s="5">
        <v>3</v>
      </c>
      <c r="M14" s="5">
        <v>8</v>
      </c>
      <c r="N14" s="5">
        <v>14</v>
      </c>
      <c r="O14" s="5">
        <v>23</v>
      </c>
      <c r="P14" s="7">
        <f>O14*E14/1000</f>
        <v>0.0575</v>
      </c>
      <c r="Q14" s="5">
        <f>MIN(INT(O14/F14)*F14,ROUNDUP(MAX(0,(N14*0.5+(L14/7*30)*0.3+(K14*30)*0.2)*0.8-I14)/F14,0)*F14)</f>
        <v>0</v>
      </c>
      <c r="R14" s="7">
        <f>Q14*E14/1000</f>
        <v>0</v>
      </c>
      <c r="S14" s="5" t="s">
        <v>23</v>
      </c>
    </row>
    <row r="15" ht="23" customHeight="1" spans="1:19" s="4" customFormat="1" x14ac:dyDescent="0.25">
      <c r="A15" s="5" t="s">
        <v>35</v>
      </c>
      <c r="B15" s="6" t="s">
        <v>24</v>
      </c>
      <c r="C15" s="5" t="s">
        <v>21</v>
      </c>
      <c r="D15" s="5" t="s">
        <v>22</v>
      </c>
      <c r="E15" s="5">
        <v>10</v>
      </c>
      <c r="F15" s="5">
        <v>1</v>
      </c>
      <c r="G15" s="5">
        <v>0</v>
      </c>
      <c r="H15" s="5">
        <v>2.66</v>
      </c>
      <c r="I15" s="5">
        <v>49</v>
      </c>
      <c r="J15" s="5">
        <v>49</v>
      </c>
      <c r="K15" s="5">
        <v>1</v>
      </c>
      <c r="L15" s="5">
        <v>5</v>
      </c>
      <c r="M15" s="5">
        <v>15</v>
      </c>
      <c r="N15" s="5">
        <v>30</v>
      </c>
      <c r="O15" s="5">
        <v>7</v>
      </c>
      <c r="P15" s="7">
        <f>O15*E15/1000</f>
        <v>0.07</v>
      </c>
      <c r="Q15" s="5">
        <f>MIN(INT(O15/F15)*F15,ROUNDUP(MAX(0,(N15*0.5+(L15/7*30)*0.3+(K15*30)*0.2)*0.8-I15)/F15,0)*F15)</f>
        <v>0</v>
      </c>
      <c r="R15" s="7">
        <f>Q15*E15/1000</f>
        <v>0</v>
      </c>
      <c r="S15" s="5" t="s">
        <v>23</v>
      </c>
    </row>
    <row r="16" ht="23" customHeight="1" spans="1:19" s="4" customFormat="1" x14ac:dyDescent="0.25">
      <c r="A16" s="5" t="s">
        <v>35</v>
      </c>
      <c r="B16" s="6" t="s">
        <v>25</v>
      </c>
      <c r="C16" s="5" t="s">
        <v>21</v>
      </c>
      <c r="D16" s="5" t="s">
        <v>22</v>
      </c>
      <c r="E16" s="5">
        <v>5</v>
      </c>
      <c r="F16" s="5">
        <v>1</v>
      </c>
      <c r="G16" s="5">
        <v>0</v>
      </c>
      <c r="H16" s="5">
        <v>4.93</v>
      </c>
      <c r="I16" s="5">
        <v>72</v>
      </c>
      <c r="J16" s="5">
        <v>72</v>
      </c>
      <c r="K16" s="5">
        <v>2</v>
      </c>
      <c r="L16" s="5">
        <v>12</v>
      </c>
      <c r="M16" s="5">
        <v>20</v>
      </c>
      <c r="N16" s="5">
        <v>43</v>
      </c>
      <c r="O16" s="5">
        <v>32</v>
      </c>
      <c r="P16" s="7">
        <f>O16*E16/1000</f>
        <v>0.16</v>
      </c>
      <c r="Q16" s="5">
        <f>MIN(INT(O16/F16)*F16,ROUNDUP(MAX(0,(N16*0.5+(L16/7*30)*0.3+(K16*30)*0.2)*0.8-I16)/F16,0)*F16)</f>
        <v>0</v>
      </c>
      <c r="R16" s="7">
        <f>Q16*E16/1000</f>
        <v>0</v>
      </c>
      <c r="S16" s="5" t="s">
        <v>23</v>
      </c>
    </row>
    <row r="17" ht="23" customHeight="1" spans="1:19" s="4" customFormat="1" x14ac:dyDescent="0.25">
      <c r="A17" s="5" t="s">
        <v>35</v>
      </c>
      <c r="B17" s="6" t="s">
        <v>26</v>
      </c>
      <c r="C17" s="5" t="s">
        <v>21</v>
      </c>
      <c r="D17" s="5" t="s">
        <v>22</v>
      </c>
      <c r="E17" s="5">
        <v>10</v>
      </c>
      <c r="F17" s="5">
        <v>1</v>
      </c>
      <c r="G17" s="5">
        <v>0</v>
      </c>
      <c r="H17" s="5">
        <v>5.13</v>
      </c>
      <c r="I17" s="5">
        <v>72</v>
      </c>
      <c r="J17" s="5">
        <v>72</v>
      </c>
      <c r="K17" s="5">
        <v>2</v>
      </c>
      <c r="L17" s="5">
        <v>14</v>
      </c>
      <c r="M17" s="5">
        <v>20</v>
      </c>
      <c r="N17" s="5">
        <v>38</v>
      </c>
      <c r="O17" s="5">
        <v>19</v>
      </c>
      <c r="P17" s="7">
        <f>O17*E17/1000</f>
        <v>0.19</v>
      </c>
      <c r="Q17" s="5">
        <f>MIN(INT(O17/F17)*F17,ROUNDUP(MAX(0,(N17*0.5+(L17/7*30)*0.3+(K17*30)*0.2)*0.8-I17)/F17,0)*F17)</f>
        <v>0</v>
      </c>
      <c r="R17" s="7">
        <f>Q17*E17/1000</f>
        <v>0</v>
      </c>
      <c r="S17" s="5" t="s">
        <v>23</v>
      </c>
    </row>
    <row r="18" ht="23" customHeight="1" spans="1:19" s="4" customFormat="1" x14ac:dyDescent="0.25">
      <c r="A18" s="5" t="s">
        <v>35</v>
      </c>
      <c r="B18" s="6" t="s">
        <v>27</v>
      </c>
      <c r="C18" s="5" t="s">
        <v>21</v>
      </c>
      <c r="D18" s="5" t="s">
        <v>22</v>
      </c>
      <c r="E18" s="5">
        <v>10</v>
      </c>
      <c r="F18" s="5">
        <v>1</v>
      </c>
      <c r="G18" s="5">
        <v>0</v>
      </c>
      <c r="H18" s="5">
        <v>0</v>
      </c>
      <c r="I18" s="5">
        <v>69</v>
      </c>
      <c r="J18" s="5">
        <v>69</v>
      </c>
      <c r="K18" s="5">
        <v>1</v>
      </c>
      <c r="L18" s="5">
        <v>10</v>
      </c>
      <c r="M18" s="5">
        <v>33</v>
      </c>
      <c r="N18" s="5">
        <v>61</v>
      </c>
      <c r="O18" s="5">
        <v>54</v>
      </c>
      <c r="P18" s="7">
        <f>O18*E18/1000</f>
        <v>0.54</v>
      </c>
      <c r="Q18" s="5">
        <f>MIN(INT(O18/F18)*F18,ROUNDUP(MAX(0,(N18*0.5+(L18/7*30)*0.3+(K18*30)*0.2)*0.8-I18)/F18,0)*F18)</f>
        <v>0</v>
      </c>
      <c r="R18" s="7">
        <f>Q18*E18/1000</f>
        <v>0</v>
      </c>
      <c r="S18" s="5" t="s">
        <v>23</v>
      </c>
    </row>
    <row r="19" ht="23" customHeight="1" spans="1:19" s="4" customFormat="1" x14ac:dyDescent="0.25">
      <c r="A19" s="5" t="s">
        <v>35</v>
      </c>
      <c r="B19" s="6" t="s">
        <v>28</v>
      </c>
      <c r="C19" s="5" t="s">
        <v>21</v>
      </c>
      <c r="D19" s="5" t="s">
        <v>22</v>
      </c>
      <c r="E19" s="5">
        <v>5</v>
      </c>
      <c r="F19" s="5">
        <v>1</v>
      </c>
      <c r="G19" s="5">
        <v>0</v>
      </c>
      <c r="H19" s="5">
        <v>0</v>
      </c>
      <c r="I19" s="5">
        <v>76</v>
      </c>
      <c r="J19" s="5">
        <v>74</v>
      </c>
      <c r="K19" s="5">
        <v>14</v>
      </c>
      <c r="L19" s="5">
        <v>175</v>
      </c>
      <c r="M19" s="5">
        <v>351</v>
      </c>
      <c r="N19" s="5">
        <v>513</v>
      </c>
      <c r="O19" s="5">
        <v>504</v>
      </c>
      <c r="P19" s="7">
        <f>O19*E19/1000</f>
        <v>2.52</v>
      </c>
      <c r="Q19" s="5">
        <f>MIN(INT(O19/F19)*F19,ROUNDUP(MAX(0,(N19*0.5+(L19/7*30)*0.3+(K19*30)*0.2)*0.8-I19)/F19,0)*F19)</f>
        <v>377</v>
      </c>
      <c r="R19" s="7">
        <f>Q19*E19/1000</f>
        <v>1.885</v>
      </c>
      <c r="S19" s="5" t="s">
        <v>23</v>
      </c>
    </row>
    <row r="20" ht="23" customHeight="1" spans="1:19" s="4" customFormat="1" x14ac:dyDescent="0.25">
      <c r="A20" s="5" t="s">
        <v>35</v>
      </c>
      <c r="B20" s="6" t="s">
        <v>29</v>
      </c>
      <c r="C20" s="5" t="s">
        <v>21</v>
      </c>
      <c r="D20" s="5" t="s">
        <v>22</v>
      </c>
      <c r="E20" s="5">
        <v>25</v>
      </c>
      <c r="F20" s="5">
        <v>1</v>
      </c>
      <c r="G20" s="5">
        <v>0</v>
      </c>
      <c r="H20" s="5">
        <v>0</v>
      </c>
      <c r="I20" s="5">
        <v>63</v>
      </c>
      <c r="J20" s="5">
        <v>63</v>
      </c>
      <c r="K20" s="5">
        <v>1</v>
      </c>
      <c r="L20" s="5">
        <v>12</v>
      </c>
      <c r="M20" s="5">
        <v>29</v>
      </c>
      <c r="N20" s="5">
        <v>57</v>
      </c>
      <c r="O20" s="5">
        <v>179</v>
      </c>
      <c r="P20" s="7">
        <f>O20*E20/1000</f>
        <v>4.475</v>
      </c>
      <c r="Q20" s="5">
        <f>MIN(INT(O20/F20)*F20,ROUNDUP(MAX(0,(N20*0.5+(L20/7*30)*0.3+(K20*30)*0.2)*0.8-I20)/F20,0)*F20)</f>
        <v>0</v>
      </c>
      <c r="R20" s="7">
        <f>Q20*E20/1000</f>
        <v>0</v>
      </c>
      <c r="S20" s="5" t="s">
        <v>23</v>
      </c>
    </row>
    <row r="21" ht="23" customHeight="1" spans="1:19" s="4" customFormat="1" x14ac:dyDescent="0.25">
      <c r="A21" s="5" t="s">
        <v>35</v>
      </c>
      <c r="B21" s="6" t="s">
        <v>30</v>
      </c>
      <c r="C21" s="5" t="s">
        <v>21</v>
      </c>
      <c r="D21" s="5" t="s">
        <v>22</v>
      </c>
      <c r="E21" s="5">
        <v>10</v>
      </c>
      <c r="F21" s="5">
        <v>1</v>
      </c>
      <c r="G21" s="5">
        <v>0</v>
      </c>
      <c r="H21" s="5">
        <v>0</v>
      </c>
      <c r="I21" s="5">
        <v>53</v>
      </c>
      <c r="J21" s="5">
        <v>53</v>
      </c>
      <c r="K21" s="5">
        <v>1</v>
      </c>
      <c r="L21" s="5">
        <v>14</v>
      </c>
      <c r="M21" s="5">
        <v>17</v>
      </c>
      <c r="N21" s="5">
        <v>45</v>
      </c>
      <c r="O21" s="5">
        <v>48</v>
      </c>
      <c r="P21" s="7">
        <f>O21*E21/1000</f>
        <v>0.48</v>
      </c>
      <c r="Q21" s="5">
        <f>MIN(INT(O21/F21)*F21,ROUNDUP(MAX(0,(N21*0.5+(L21/7*30)*0.3+(K21*30)*0.2)*0.8-I21)/F21,0)*F21)</f>
        <v>0</v>
      </c>
      <c r="R21" s="7">
        <f>Q21*E21/1000</f>
        <v>0</v>
      </c>
      <c r="S21" s="5" t="s">
        <v>23</v>
      </c>
    </row>
    <row r="22" ht="23" customHeight="1" spans="1:19" s="4" customFormat="1" x14ac:dyDescent="0.25">
      <c r="A22" s="5" t="s">
        <v>35</v>
      </c>
      <c r="B22" s="6" t="s">
        <v>31</v>
      </c>
      <c r="C22" s="5" t="s">
        <v>21</v>
      </c>
      <c r="D22" s="5" t="s">
        <v>22</v>
      </c>
      <c r="E22" s="5">
        <v>5</v>
      </c>
      <c r="F22" s="5">
        <v>5</v>
      </c>
      <c r="G22" s="5">
        <v>0</v>
      </c>
      <c r="H22" s="5">
        <v>56.64</v>
      </c>
      <c r="I22" s="5">
        <v>79</v>
      </c>
      <c r="J22" s="5">
        <v>79</v>
      </c>
      <c r="K22" s="5">
        <v>1</v>
      </c>
      <c r="L22" s="5">
        <v>1</v>
      </c>
      <c r="M22" s="5">
        <v>7</v>
      </c>
      <c r="N22" s="5">
        <v>11</v>
      </c>
      <c r="O22" s="5">
        <v>0</v>
      </c>
      <c r="P22" s="7">
        <f>O22*E22/1000</f>
        <v>0</v>
      </c>
      <c r="Q22" s="5">
        <f>MIN(INT(O22/F22)*F22,ROUNDUP(MAX(0,(N22*0.5+(L22/7*30)*0.3+(K22*30)*0.2)*0.8-I22)/F22,0)*F22)</f>
        <v>0</v>
      </c>
      <c r="R22" s="7">
        <f>Q22*E22/1000</f>
        <v>0</v>
      </c>
      <c r="S22" s="5" t="s">
        <v>23</v>
      </c>
    </row>
    <row r="23" ht="23" customHeight="1" spans="1:19" s="4" customFormat="1" x14ac:dyDescent="0.25">
      <c r="A23" s="5" t="s">
        <v>35</v>
      </c>
      <c r="B23" s="6" t="s">
        <v>32</v>
      </c>
      <c r="C23" s="5" t="s">
        <v>21</v>
      </c>
      <c r="D23" s="5" t="s">
        <v>22</v>
      </c>
      <c r="E23" s="5">
        <v>2.5</v>
      </c>
      <c r="F23" s="5">
        <v>1</v>
      </c>
      <c r="G23" s="5">
        <v>0</v>
      </c>
      <c r="H23" s="5">
        <v>0</v>
      </c>
      <c r="I23" s="5">
        <v>49</v>
      </c>
      <c r="J23" s="5">
        <v>49</v>
      </c>
      <c r="K23" s="5">
        <v>0</v>
      </c>
      <c r="L23" s="5">
        <v>5</v>
      </c>
      <c r="M23" s="5">
        <v>29</v>
      </c>
      <c r="N23" s="5">
        <v>39</v>
      </c>
      <c r="O23" s="5">
        <v>20</v>
      </c>
      <c r="P23" s="7">
        <f>O23*E23/1000</f>
        <v>0.05</v>
      </c>
      <c r="Q23" s="5">
        <f>MIN(INT(O23/F23)*F23,ROUNDUP(MAX(0,(N23*0.5+(L23/7*30)*0.3+(K23*30)*0.2)*0.8-I23)/F23,0)*F23)</f>
        <v>0</v>
      </c>
      <c r="R23" s="7">
        <f>Q23*E23/1000</f>
        <v>0</v>
      </c>
      <c r="S23" s="5" t="s">
        <v>23</v>
      </c>
    </row>
    <row r="24" ht="23" customHeight="1" spans="1:19" s="4" customFormat="1" x14ac:dyDescent="0.25">
      <c r="A24" s="5" t="s">
        <v>35</v>
      </c>
      <c r="B24" s="6" t="s">
        <v>33</v>
      </c>
      <c r="C24" s="5" t="s">
        <v>21</v>
      </c>
      <c r="D24" s="5" t="s">
        <v>22</v>
      </c>
      <c r="E24" s="5">
        <v>5</v>
      </c>
      <c r="F24" s="5">
        <v>1</v>
      </c>
      <c r="G24" s="5">
        <v>0</v>
      </c>
      <c r="H24" s="5">
        <v>0</v>
      </c>
      <c r="I24" s="5">
        <v>28</v>
      </c>
      <c r="J24" s="5">
        <v>28</v>
      </c>
      <c r="K24" s="5">
        <v>1</v>
      </c>
      <c r="L24" s="5">
        <v>24</v>
      </c>
      <c r="M24" s="5">
        <v>41</v>
      </c>
      <c r="N24" s="5">
        <v>82</v>
      </c>
      <c r="O24" s="5">
        <v>129</v>
      </c>
      <c r="P24" s="7">
        <f>O24*E24/1000</f>
        <v>0.645</v>
      </c>
      <c r="Q24" s="5">
        <f>MIN(INT(O24/F24)*F24,ROUNDUP(MAX(0,(N24*0.5+(L24/7*30)*0.3+(K24*30)*0.2)*0.8-I24)/F24,0)*F24)</f>
        <v>35</v>
      </c>
      <c r="R24" s="7">
        <f>Q24*E24/1000</f>
        <v>0.175</v>
      </c>
      <c r="S24" s="5" t="s">
        <v>23</v>
      </c>
    </row>
    <row r="25" ht="23" customHeight="1" spans="1:19" s="8" customFormat="1" x14ac:dyDescent="0.25">
      <c r="A25" s="9" t="s">
        <v>36</v>
      </c>
      <c r="B25" s="9" t="s">
        <v>23</v>
      </c>
      <c r="C25" s="9" t="s">
        <v>23</v>
      </c>
      <c r="D25" s="9" t="s">
        <v>23</v>
      </c>
      <c r="E25" s="9" t="s">
        <v>23</v>
      </c>
      <c r="F25" s="9" t="s">
        <v>23</v>
      </c>
      <c r="G25" s="9" t="s">
        <v>23</v>
      </c>
      <c r="H25" s="9" t="s">
        <v>23</v>
      </c>
      <c r="I25" s="9" t="s">
        <v>23</v>
      </c>
      <c r="J25" s="9" t="s">
        <v>23</v>
      </c>
      <c r="K25" s="9" t="s">
        <v>23</v>
      </c>
      <c r="L25" s="9" t="s">
        <v>23</v>
      </c>
      <c r="M25" s="9" t="s">
        <v>23</v>
      </c>
      <c r="N25" s="9" t="s">
        <v>23</v>
      </c>
      <c r="O25" s="9">
        <f>SUM(O14:O24)</f>
        <v>1015</v>
      </c>
      <c r="P25" s="10">
        <f>SUM(P14:P24)</f>
        <v>9.1875</v>
      </c>
      <c r="Q25" s="9">
        <f>SUM(Q14:Q24)</f>
        <v>412</v>
      </c>
      <c r="R25" s="10">
        <f>SUM(R14:R24)</f>
        <v>2.06</v>
      </c>
      <c r="S25" s="9" t="s">
        <v>23</v>
      </c>
    </row>
    <row r="26" ht="23" customHeight="1" spans="1:19" s="4" customFormat="1" x14ac:dyDescent="0.25">
      <c r="A26" s="5" t="s">
        <v>37</v>
      </c>
      <c r="B26" s="6" t="s">
        <v>20</v>
      </c>
      <c r="C26" s="5" t="s">
        <v>21</v>
      </c>
      <c r="D26" s="5" t="s">
        <v>22</v>
      </c>
      <c r="E26" s="5">
        <v>2.5</v>
      </c>
      <c r="F26" s="5">
        <v>1</v>
      </c>
      <c r="G26" s="5">
        <v>0</v>
      </c>
      <c r="H26" s="5">
        <v>0</v>
      </c>
      <c r="I26" s="5">
        <v>18</v>
      </c>
      <c r="J26" s="5">
        <v>17</v>
      </c>
      <c r="K26" s="5">
        <v>1</v>
      </c>
      <c r="L26" s="5">
        <v>15</v>
      </c>
      <c r="M26" s="5">
        <v>28</v>
      </c>
      <c r="N26" s="5">
        <v>70</v>
      </c>
      <c r="O26" s="5">
        <v>62</v>
      </c>
      <c r="P26" s="7">
        <f>O26*E26/1000</f>
        <v>0.155</v>
      </c>
      <c r="Q26" s="5">
        <f>MIN(INT(O26/F26)*F26,ROUNDUP(MAX(0,(N26*0.5+(L26/7*30)*0.3+(K26*30)*0.2)*0.8-I26)/F26,0)*F26)</f>
        <v>31</v>
      </c>
      <c r="R26" s="7">
        <f>Q26*E26/1000</f>
        <v>0.0775</v>
      </c>
      <c r="S26" s="5" t="s">
        <v>23</v>
      </c>
    </row>
    <row r="27" ht="23" customHeight="1" spans="1:19" s="4" customFormat="1" x14ac:dyDescent="0.25">
      <c r="A27" s="5" t="s">
        <v>37</v>
      </c>
      <c r="B27" s="6" t="s">
        <v>24</v>
      </c>
      <c r="C27" s="5" t="s">
        <v>21</v>
      </c>
      <c r="D27" s="5" t="s">
        <v>38</v>
      </c>
      <c r="E27" s="5">
        <v>10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9</v>
      </c>
      <c r="N27" s="5">
        <v>28</v>
      </c>
      <c r="O27" s="5">
        <v>0</v>
      </c>
      <c r="P27" s="7">
        <f>O27*E27/1000</f>
        <v>0</v>
      </c>
      <c r="Q27" s="5">
        <f>MIN(INT(O27/F27)*F27,ROUNDUP(MAX(0,(N27*0.5+(L27/7*30)*0.3+(K27*30)*0.2)*0.8-I27)/F27,0)*F27)</f>
        <v>0</v>
      </c>
      <c r="R27" s="7">
        <f>Q27*E27/1000</f>
        <v>0</v>
      </c>
      <c r="S27" s="5" t="s">
        <v>23</v>
      </c>
    </row>
    <row r="28" ht="23" customHeight="1" spans="1:19" s="4" customFormat="1" x14ac:dyDescent="0.25">
      <c r="A28" s="5" t="s">
        <v>37</v>
      </c>
      <c r="B28" s="6" t="s">
        <v>25</v>
      </c>
      <c r="C28" s="5" t="s">
        <v>21</v>
      </c>
      <c r="D28" s="5" t="s">
        <v>22</v>
      </c>
      <c r="E28" s="5">
        <v>5</v>
      </c>
      <c r="F28" s="5">
        <v>1</v>
      </c>
      <c r="G28" s="5">
        <v>0</v>
      </c>
      <c r="H28" s="5">
        <v>0</v>
      </c>
      <c r="I28" s="5">
        <v>26</v>
      </c>
      <c r="J28" s="5">
        <v>26</v>
      </c>
      <c r="K28" s="5">
        <v>2</v>
      </c>
      <c r="L28" s="5">
        <v>18</v>
      </c>
      <c r="M28" s="5">
        <v>30</v>
      </c>
      <c r="N28" s="5">
        <v>67</v>
      </c>
      <c r="O28" s="5">
        <v>11</v>
      </c>
      <c r="P28" s="7">
        <f>O28*E28/1000</f>
        <v>0.055</v>
      </c>
      <c r="Q28" s="5">
        <f>MIN(INT(O28/F28)*F28,ROUNDUP(MAX(0,(N28*0.5+(L28/7*30)*0.3+(K28*30)*0.2)*0.8-I28)/F28,0)*F28)</f>
        <v>11</v>
      </c>
      <c r="R28" s="7">
        <f>Q28*E28/1000</f>
        <v>0.055</v>
      </c>
      <c r="S28" s="5" t="s">
        <v>23</v>
      </c>
    </row>
    <row r="29" ht="23" customHeight="1" spans="1:19" s="4" customFormat="1" x14ac:dyDescent="0.25">
      <c r="A29" s="5" t="s">
        <v>37</v>
      </c>
      <c r="B29" s="6" t="s">
        <v>26</v>
      </c>
      <c r="C29" s="5" t="s">
        <v>21</v>
      </c>
      <c r="D29" s="5" t="s">
        <v>22</v>
      </c>
      <c r="E29" s="5">
        <v>10</v>
      </c>
      <c r="F29" s="5">
        <v>1</v>
      </c>
      <c r="G29" s="5">
        <v>0</v>
      </c>
      <c r="H29" s="5">
        <v>0</v>
      </c>
      <c r="I29" s="5">
        <v>49</v>
      </c>
      <c r="J29" s="5">
        <v>49</v>
      </c>
      <c r="K29" s="5">
        <v>1</v>
      </c>
      <c r="L29" s="5">
        <v>7</v>
      </c>
      <c r="M29" s="5">
        <v>17</v>
      </c>
      <c r="N29" s="5">
        <v>23</v>
      </c>
      <c r="O29" s="5">
        <v>0</v>
      </c>
      <c r="P29" s="7">
        <f>O29*E29/1000</f>
        <v>0</v>
      </c>
      <c r="Q29" s="5">
        <f>MIN(INT(O29/F29)*F29,ROUNDUP(MAX(0,(N29*0.5+(L29/7*30)*0.3+(K29*30)*0.2)*0.8-I29)/F29,0)*F29)</f>
        <v>0</v>
      </c>
      <c r="R29" s="7">
        <f>Q29*E29/1000</f>
        <v>0</v>
      </c>
      <c r="S29" s="5" t="s">
        <v>23</v>
      </c>
    </row>
    <row r="30" ht="23" customHeight="1" spans="1:19" s="4" customFormat="1" x14ac:dyDescent="0.25">
      <c r="A30" s="5" t="s">
        <v>37</v>
      </c>
      <c r="B30" s="6" t="s">
        <v>27</v>
      </c>
      <c r="C30" s="5" t="s">
        <v>21</v>
      </c>
      <c r="D30" s="5" t="s">
        <v>22</v>
      </c>
      <c r="E30" s="5">
        <v>10</v>
      </c>
      <c r="F30" s="5">
        <v>1</v>
      </c>
      <c r="G30" s="5">
        <v>0</v>
      </c>
      <c r="H30" s="5">
        <v>0</v>
      </c>
      <c r="I30" s="5">
        <v>28</v>
      </c>
      <c r="J30" s="5">
        <v>28</v>
      </c>
      <c r="K30" s="5">
        <v>1</v>
      </c>
      <c r="L30" s="5">
        <v>14</v>
      </c>
      <c r="M30" s="5">
        <v>26</v>
      </c>
      <c r="N30" s="5">
        <v>61</v>
      </c>
      <c r="O30" s="5">
        <v>0</v>
      </c>
      <c r="P30" s="7">
        <f>O30*E30/1000</f>
        <v>0</v>
      </c>
      <c r="Q30" s="5">
        <f>MIN(INT(O30/F30)*F30,ROUNDUP(MAX(0,(N30*0.5+(L30/7*30)*0.3+(K30*30)*0.2)*0.8-I30)/F30,0)*F30)</f>
        <v>0</v>
      </c>
      <c r="R30" s="7">
        <f>Q30*E30/1000</f>
        <v>0</v>
      </c>
      <c r="S30" s="5" t="s">
        <v>23</v>
      </c>
    </row>
    <row r="31" ht="23" customHeight="1" spans="1:19" s="4" customFormat="1" x14ac:dyDescent="0.25">
      <c r="A31" s="5" t="s">
        <v>37</v>
      </c>
      <c r="B31" s="6" t="s">
        <v>28</v>
      </c>
      <c r="C31" s="5" t="s">
        <v>21</v>
      </c>
      <c r="D31" s="5" t="s">
        <v>22</v>
      </c>
      <c r="E31" s="5">
        <v>5</v>
      </c>
      <c r="F31" s="5">
        <v>1</v>
      </c>
      <c r="G31" s="5">
        <v>0</v>
      </c>
      <c r="H31" s="5">
        <v>0</v>
      </c>
      <c r="I31" s="5">
        <v>83</v>
      </c>
      <c r="J31" s="5">
        <v>82</v>
      </c>
      <c r="K31" s="5">
        <v>12</v>
      </c>
      <c r="L31" s="5">
        <v>147</v>
      </c>
      <c r="M31" s="5">
        <v>319</v>
      </c>
      <c r="N31" s="5">
        <v>500</v>
      </c>
      <c r="O31" s="5">
        <v>51</v>
      </c>
      <c r="P31" s="7">
        <f>O31*E31/1000</f>
        <v>0.255</v>
      </c>
      <c r="Q31" s="5">
        <f>MIN(INT(O31/F31)*F31,ROUNDUP(MAX(0,(N31*0.5+(L31/7*30)*0.3+(K31*30)*0.2)*0.8-I31)/F31,0)*F31)</f>
        <v>51</v>
      </c>
      <c r="R31" s="7">
        <f>Q31*E31/1000</f>
        <v>0.255</v>
      </c>
      <c r="S31" s="5" t="s">
        <v>23</v>
      </c>
    </row>
    <row r="32" ht="23" customHeight="1" spans="1:19" s="4" customFormat="1" x14ac:dyDescent="0.25">
      <c r="A32" s="5" t="s">
        <v>37</v>
      </c>
      <c r="B32" s="6" t="s">
        <v>29</v>
      </c>
      <c r="C32" s="5" t="s">
        <v>21</v>
      </c>
      <c r="D32" s="5" t="s">
        <v>22</v>
      </c>
      <c r="E32" s="5">
        <v>25</v>
      </c>
      <c r="F32" s="5">
        <v>1</v>
      </c>
      <c r="G32" s="5">
        <v>0</v>
      </c>
      <c r="H32" s="5">
        <v>0</v>
      </c>
      <c r="I32" s="5">
        <v>91</v>
      </c>
      <c r="J32" s="5">
        <v>91</v>
      </c>
      <c r="K32" s="5">
        <v>0</v>
      </c>
      <c r="L32" s="5">
        <v>12</v>
      </c>
      <c r="M32" s="5">
        <v>32</v>
      </c>
      <c r="N32" s="5">
        <v>55</v>
      </c>
      <c r="O32" s="5">
        <v>0</v>
      </c>
      <c r="P32" s="7">
        <f>O32*E32/1000</f>
        <v>0</v>
      </c>
      <c r="Q32" s="5">
        <f>MIN(INT(O32/F32)*F32,ROUNDUP(MAX(0,(N32*0.5+(L32/7*30)*0.3+(K32*30)*0.2)*0.8-I32)/F32,0)*F32)</f>
        <v>0</v>
      </c>
      <c r="R32" s="7">
        <f>Q32*E32/1000</f>
        <v>0</v>
      </c>
      <c r="S32" s="5" t="s">
        <v>23</v>
      </c>
    </row>
    <row r="33" ht="23" customHeight="1" spans="1:19" s="4" customFormat="1" x14ac:dyDescent="0.25">
      <c r="A33" s="5" t="s">
        <v>37</v>
      </c>
      <c r="B33" s="6" t="s">
        <v>30</v>
      </c>
      <c r="C33" s="5" t="s">
        <v>21</v>
      </c>
      <c r="D33" s="5" t="s">
        <v>22</v>
      </c>
      <c r="E33" s="5">
        <v>10</v>
      </c>
      <c r="F33" s="5">
        <v>1</v>
      </c>
      <c r="G33" s="5">
        <v>0</v>
      </c>
      <c r="H33" s="5">
        <v>0</v>
      </c>
      <c r="I33" s="5">
        <v>49</v>
      </c>
      <c r="J33" s="5">
        <v>49</v>
      </c>
      <c r="K33" s="5">
        <v>2</v>
      </c>
      <c r="L33" s="5">
        <v>22</v>
      </c>
      <c r="M33" s="5">
        <v>38</v>
      </c>
      <c r="N33" s="5">
        <v>72</v>
      </c>
      <c r="O33" s="5">
        <v>12</v>
      </c>
      <c r="P33" s="7">
        <f>O33*E33/1000</f>
        <v>0.12</v>
      </c>
      <c r="Q33" s="5">
        <f>MIN(INT(O33/F33)*F33,ROUNDUP(MAX(0,(N33*0.5+(L33/7*30)*0.3+(K33*30)*0.2)*0.8-I33)/F33,0)*F33)</f>
        <v>12</v>
      </c>
      <c r="R33" s="7">
        <f>Q33*E33/1000</f>
        <v>0.12</v>
      </c>
      <c r="S33" s="5" t="s">
        <v>23</v>
      </c>
    </row>
    <row r="34" ht="23" customHeight="1" spans="1:19" s="4" customFormat="1" x14ac:dyDescent="0.25">
      <c r="A34" s="5" t="s">
        <v>37</v>
      </c>
      <c r="B34" s="6" t="s">
        <v>31</v>
      </c>
      <c r="C34" s="5" t="s">
        <v>21</v>
      </c>
      <c r="D34" s="5" t="s">
        <v>22</v>
      </c>
      <c r="E34" s="5">
        <v>5</v>
      </c>
      <c r="F34" s="5">
        <v>5</v>
      </c>
      <c r="G34" s="5">
        <v>0</v>
      </c>
      <c r="H34" s="5">
        <v>26.89</v>
      </c>
      <c r="I34" s="5">
        <v>60</v>
      </c>
      <c r="J34" s="5">
        <v>59</v>
      </c>
      <c r="K34" s="5">
        <v>1</v>
      </c>
      <c r="L34" s="5">
        <v>6</v>
      </c>
      <c r="M34" s="5">
        <v>7</v>
      </c>
      <c r="N34" s="5">
        <v>14</v>
      </c>
      <c r="O34" s="5">
        <v>0</v>
      </c>
      <c r="P34" s="7">
        <f>O34*E34/1000</f>
        <v>0</v>
      </c>
      <c r="Q34" s="5">
        <f>MIN(INT(O34/F34)*F34,ROUNDUP(MAX(0,(N34*0.5+(L34/7*30)*0.3+(K34*30)*0.2)*0.8-I34)/F34,0)*F34)</f>
        <v>0</v>
      </c>
      <c r="R34" s="7">
        <f>Q34*E34/1000</f>
        <v>0</v>
      </c>
      <c r="S34" s="5" t="s">
        <v>23</v>
      </c>
    </row>
    <row r="35" ht="23" customHeight="1" spans="1:19" s="4" customFormat="1" x14ac:dyDescent="0.25">
      <c r="A35" s="5" t="s">
        <v>37</v>
      </c>
      <c r="B35" s="6" t="s">
        <v>32</v>
      </c>
      <c r="C35" s="5" t="s">
        <v>21</v>
      </c>
      <c r="D35" s="5" t="s">
        <v>22</v>
      </c>
      <c r="E35" s="5">
        <v>2.5</v>
      </c>
      <c r="F35" s="5">
        <v>1</v>
      </c>
      <c r="G35" s="5">
        <v>0</v>
      </c>
      <c r="H35" s="5">
        <v>0</v>
      </c>
      <c r="I35" s="5">
        <v>36</v>
      </c>
      <c r="J35" s="5">
        <v>36</v>
      </c>
      <c r="K35" s="5">
        <v>3</v>
      </c>
      <c r="L35" s="5">
        <v>9</v>
      </c>
      <c r="M35" s="5">
        <v>15</v>
      </c>
      <c r="N35" s="5">
        <v>25</v>
      </c>
      <c r="O35" s="5">
        <v>0</v>
      </c>
      <c r="P35" s="7">
        <f>O35*E35/1000</f>
        <v>0</v>
      </c>
      <c r="Q35" s="5">
        <f>MIN(INT(O35/F35)*F35,ROUNDUP(MAX(0,(N35*0.5+(L35/7*30)*0.3+(K35*30)*0.2)*0.8-I35)/F35,0)*F35)</f>
        <v>0</v>
      </c>
      <c r="R35" s="7">
        <f>Q35*E35/1000</f>
        <v>0</v>
      </c>
      <c r="S35" s="5" t="s">
        <v>23</v>
      </c>
    </row>
    <row r="36" ht="23" customHeight="1" spans="1:19" s="4" customFormat="1" x14ac:dyDescent="0.25">
      <c r="A36" s="5" t="s">
        <v>37</v>
      </c>
      <c r="B36" s="6" t="s">
        <v>33</v>
      </c>
      <c r="C36" s="5" t="s">
        <v>21</v>
      </c>
      <c r="D36" s="5" t="s">
        <v>22</v>
      </c>
      <c r="E36" s="5">
        <v>5</v>
      </c>
      <c r="F36" s="5">
        <v>1</v>
      </c>
      <c r="G36" s="5">
        <v>0</v>
      </c>
      <c r="H36" s="5">
        <v>11.76</v>
      </c>
      <c r="I36" s="5">
        <v>102</v>
      </c>
      <c r="J36" s="5">
        <v>102</v>
      </c>
      <c r="K36" s="5">
        <v>3</v>
      </c>
      <c r="L36" s="5">
        <v>17</v>
      </c>
      <c r="M36" s="5">
        <v>28</v>
      </c>
      <c r="N36" s="5">
        <v>62</v>
      </c>
      <c r="O36" s="5">
        <v>0</v>
      </c>
      <c r="P36" s="7">
        <f>O36*E36/1000</f>
        <v>0</v>
      </c>
      <c r="Q36" s="5">
        <f>MIN(INT(O36/F36)*F36,ROUNDUP(MAX(0,(N36*0.5+(L36/7*30)*0.3+(K36*30)*0.2)*0.8-I36)/F36,0)*F36)</f>
        <v>0</v>
      </c>
      <c r="R36" s="7">
        <f>Q36*E36/1000</f>
        <v>0</v>
      </c>
      <c r="S36" s="5" t="s">
        <v>23</v>
      </c>
    </row>
    <row r="37" ht="23" customHeight="1" spans="1:19" s="8" customFormat="1" x14ac:dyDescent="0.25">
      <c r="A37" s="9" t="s">
        <v>39</v>
      </c>
      <c r="B37" s="9" t="s">
        <v>23</v>
      </c>
      <c r="C37" s="9" t="s">
        <v>23</v>
      </c>
      <c r="D37" s="9" t="s">
        <v>23</v>
      </c>
      <c r="E37" s="9" t="s">
        <v>23</v>
      </c>
      <c r="F37" s="9" t="s">
        <v>23</v>
      </c>
      <c r="G37" s="9" t="s">
        <v>23</v>
      </c>
      <c r="H37" s="9" t="s">
        <v>23</v>
      </c>
      <c r="I37" s="9" t="s">
        <v>23</v>
      </c>
      <c r="J37" s="9" t="s">
        <v>23</v>
      </c>
      <c r="K37" s="9" t="s">
        <v>23</v>
      </c>
      <c r="L37" s="9" t="s">
        <v>23</v>
      </c>
      <c r="M37" s="9" t="s">
        <v>23</v>
      </c>
      <c r="N37" s="9" t="s">
        <v>23</v>
      </c>
      <c r="O37" s="9">
        <f>SUM(O26:O36)</f>
        <v>136</v>
      </c>
      <c r="P37" s="10">
        <f>SUM(P26:P36)</f>
        <v>0.585</v>
      </c>
      <c r="Q37" s="9">
        <f>SUM(Q26:Q36)</f>
        <v>105</v>
      </c>
      <c r="R37" s="10">
        <f>SUM(R26:R36)</f>
        <v>0.5075000000000001</v>
      </c>
      <c r="S37" s="9" t="s">
        <v>23</v>
      </c>
    </row>
    <row r="38" ht="23" customHeight="1" spans="1:19" s="4" customFormat="1" x14ac:dyDescent="0.25">
      <c r="A38" s="5" t="s">
        <v>40</v>
      </c>
      <c r="B38" s="6" t="s">
        <v>20</v>
      </c>
      <c r="C38" s="5" t="s">
        <v>21</v>
      </c>
      <c r="D38" s="5" t="s">
        <v>22</v>
      </c>
      <c r="E38" s="5">
        <v>2.5</v>
      </c>
      <c r="F38" s="5">
        <v>1</v>
      </c>
      <c r="G38" s="5">
        <v>0</v>
      </c>
      <c r="H38" s="5">
        <v>0</v>
      </c>
      <c r="I38" s="5">
        <v>117</v>
      </c>
      <c r="J38" s="5">
        <v>117</v>
      </c>
      <c r="K38" s="5">
        <v>0</v>
      </c>
      <c r="L38" s="5">
        <v>5</v>
      </c>
      <c r="M38" s="5">
        <v>6</v>
      </c>
      <c r="N38" s="5">
        <v>19</v>
      </c>
      <c r="O38" s="5">
        <v>0</v>
      </c>
      <c r="P38" s="7">
        <f>O38*E38/1000</f>
        <v>0</v>
      </c>
      <c r="Q38" s="5">
        <f>MIN(INT(O38/F38)*F38,ROUNDUP(MAX(0,(N38*0.5+(L38/7*30)*0.3+(K38*30)*0.2)*0.8-I38)/F38,0)*F38)</f>
        <v>0</v>
      </c>
      <c r="R38" s="7">
        <f>Q38*E38/1000</f>
        <v>0</v>
      </c>
      <c r="S38" s="5" t="s">
        <v>23</v>
      </c>
    </row>
    <row r="39" ht="23" customHeight="1" spans="1:19" s="4" customFormat="1" x14ac:dyDescent="0.25">
      <c r="A39" s="5" t="s">
        <v>40</v>
      </c>
      <c r="B39" s="6" t="s">
        <v>24</v>
      </c>
      <c r="C39" s="5" t="s">
        <v>21</v>
      </c>
      <c r="D39" s="5" t="s">
        <v>22</v>
      </c>
      <c r="E39" s="5">
        <v>10</v>
      </c>
      <c r="F39" s="5">
        <v>1</v>
      </c>
      <c r="G39" s="5">
        <v>0</v>
      </c>
      <c r="H39" s="5">
        <v>0</v>
      </c>
      <c r="I39" s="5">
        <v>11</v>
      </c>
      <c r="J39" s="5">
        <v>11</v>
      </c>
      <c r="K39" s="5">
        <v>0</v>
      </c>
      <c r="L39" s="5">
        <v>26</v>
      </c>
      <c r="M39" s="5">
        <v>35</v>
      </c>
      <c r="N39" s="5">
        <v>55</v>
      </c>
      <c r="O39" s="5">
        <v>29</v>
      </c>
      <c r="P39" s="7">
        <f>O39*E39/1000</f>
        <v>0.29</v>
      </c>
      <c r="Q39" s="5">
        <f>MIN(INT(O39/F39)*F39,ROUNDUP(MAX(0,(N39*0.5+(L39/7*30)*0.3+(K39*30)*0.2)*0.8-I39)/F39,0)*F39)</f>
        <v>29</v>
      </c>
      <c r="R39" s="7">
        <f>Q39*E39/1000</f>
        <v>0.29</v>
      </c>
      <c r="S39" s="5" t="s">
        <v>23</v>
      </c>
    </row>
    <row r="40" ht="23" customHeight="1" spans="1:19" s="4" customFormat="1" x14ac:dyDescent="0.25">
      <c r="A40" s="5" t="s">
        <v>40</v>
      </c>
      <c r="B40" s="6" t="s">
        <v>25</v>
      </c>
      <c r="C40" s="5" t="s">
        <v>21</v>
      </c>
      <c r="D40" s="5" t="s">
        <v>22</v>
      </c>
      <c r="E40" s="5">
        <v>5</v>
      </c>
      <c r="F40" s="5">
        <v>1</v>
      </c>
      <c r="G40" s="5">
        <v>0</v>
      </c>
      <c r="H40" s="5">
        <v>0</v>
      </c>
      <c r="I40" s="5">
        <v>49</v>
      </c>
      <c r="J40" s="5">
        <v>49</v>
      </c>
      <c r="K40" s="5">
        <v>2</v>
      </c>
      <c r="L40" s="5">
        <v>13</v>
      </c>
      <c r="M40" s="5">
        <v>27</v>
      </c>
      <c r="N40" s="5">
        <v>61</v>
      </c>
      <c r="O40" s="5">
        <v>30</v>
      </c>
      <c r="P40" s="7">
        <f>O40*E40/1000</f>
        <v>0.15</v>
      </c>
      <c r="Q40" s="5">
        <f>MIN(INT(O40/F40)*F40,ROUNDUP(MAX(0,(N40*0.5+(L40/7*30)*0.3+(K40*30)*0.2)*0.8-I40)/F40,0)*F40)</f>
        <v>0</v>
      </c>
      <c r="R40" s="7">
        <f>Q40*E40/1000</f>
        <v>0</v>
      </c>
      <c r="S40" s="5" t="s">
        <v>23</v>
      </c>
    </row>
    <row r="41" ht="23" customHeight="1" spans="1:19" s="4" customFormat="1" x14ac:dyDescent="0.25">
      <c r="A41" s="5" t="s">
        <v>40</v>
      </c>
      <c r="B41" s="6" t="s">
        <v>26</v>
      </c>
      <c r="C41" s="5" t="s">
        <v>21</v>
      </c>
      <c r="D41" s="5" t="s">
        <v>22</v>
      </c>
      <c r="E41" s="5">
        <v>10</v>
      </c>
      <c r="F41" s="5">
        <v>1</v>
      </c>
      <c r="G41" s="5">
        <v>0</v>
      </c>
      <c r="H41" s="5">
        <v>0</v>
      </c>
      <c r="I41" s="5">
        <v>37</v>
      </c>
      <c r="J41" s="5">
        <v>37</v>
      </c>
      <c r="K41" s="5">
        <v>0</v>
      </c>
      <c r="L41" s="5">
        <v>7</v>
      </c>
      <c r="M41" s="5">
        <v>15</v>
      </c>
      <c r="N41" s="5">
        <v>34</v>
      </c>
      <c r="O41" s="5">
        <v>21</v>
      </c>
      <c r="P41" s="7">
        <f>O41*E41/1000</f>
        <v>0.21</v>
      </c>
      <c r="Q41" s="5">
        <f>MIN(INT(O41/F41)*F41,ROUNDUP(MAX(0,(N41*0.5+(L41/7*30)*0.3+(K41*30)*0.2)*0.8-I41)/F41,0)*F41)</f>
        <v>0</v>
      </c>
      <c r="R41" s="7">
        <f>Q41*E41/1000</f>
        <v>0</v>
      </c>
      <c r="S41" s="5" t="s">
        <v>23</v>
      </c>
    </row>
    <row r="42" ht="23" customHeight="1" spans="1:19" s="4" customFormat="1" x14ac:dyDescent="0.25">
      <c r="A42" s="5" t="s">
        <v>40</v>
      </c>
      <c r="B42" s="6" t="s">
        <v>27</v>
      </c>
      <c r="C42" s="5" t="s">
        <v>21</v>
      </c>
      <c r="D42" s="5" t="s">
        <v>22</v>
      </c>
      <c r="E42" s="5">
        <v>10</v>
      </c>
      <c r="F42" s="5">
        <v>1</v>
      </c>
      <c r="G42" s="5">
        <v>0</v>
      </c>
      <c r="H42" s="5">
        <v>0</v>
      </c>
      <c r="I42" s="5">
        <v>59</v>
      </c>
      <c r="J42" s="5">
        <v>58</v>
      </c>
      <c r="K42" s="5">
        <v>2</v>
      </c>
      <c r="L42" s="5">
        <v>9</v>
      </c>
      <c r="M42" s="5">
        <v>18</v>
      </c>
      <c r="N42" s="5">
        <v>54</v>
      </c>
      <c r="O42" s="5">
        <v>9</v>
      </c>
      <c r="P42" s="7">
        <f>O42*E42/1000</f>
        <v>0.09</v>
      </c>
      <c r="Q42" s="5">
        <f>MIN(INT(O42/F42)*F42,ROUNDUP(MAX(0,(N42*0.5+(L42/7*30)*0.3+(K42*30)*0.2)*0.8-I42)/F42,0)*F42)</f>
        <v>0</v>
      </c>
      <c r="R42" s="7">
        <f>Q42*E42/1000</f>
        <v>0</v>
      </c>
      <c r="S42" s="5" t="s">
        <v>23</v>
      </c>
    </row>
    <row r="43" ht="23" customHeight="1" spans="1:19" s="4" customFormat="1" x14ac:dyDescent="0.25">
      <c r="A43" s="5" t="s">
        <v>40</v>
      </c>
      <c r="B43" s="6" t="s">
        <v>28</v>
      </c>
      <c r="C43" s="5" t="s">
        <v>21</v>
      </c>
      <c r="D43" s="5" t="s">
        <v>22</v>
      </c>
      <c r="E43" s="5">
        <v>5</v>
      </c>
      <c r="F43" s="5">
        <v>1</v>
      </c>
      <c r="G43" s="5">
        <v>0</v>
      </c>
      <c r="H43" s="5">
        <v>0</v>
      </c>
      <c r="I43" s="5">
        <v>9</v>
      </c>
      <c r="J43" s="5">
        <v>4</v>
      </c>
      <c r="K43" s="5">
        <v>27</v>
      </c>
      <c r="L43" s="5">
        <v>276</v>
      </c>
      <c r="M43" s="5">
        <v>512</v>
      </c>
      <c r="N43" s="5">
        <v>784</v>
      </c>
      <c r="O43" s="5">
        <v>625</v>
      </c>
      <c r="P43" s="7">
        <f>O43*E43/1000</f>
        <v>3.125</v>
      </c>
      <c r="Q43" s="5">
        <f>MIN(INT(O43/F43)*F43,ROUNDUP(MAX(0,(N43*0.5+(L43/7*30)*0.3+(K43*30)*0.2)*0.8-I43)/F43,0)*F43)</f>
        <v>625</v>
      </c>
      <c r="R43" s="7">
        <f>Q43*E43/1000</f>
        <v>3.125</v>
      </c>
      <c r="S43" s="5" t="s">
        <v>23</v>
      </c>
    </row>
    <row r="44" ht="23" customHeight="1" spans="1:19" s="4" customFormat="1" x14ac:dyDescent="0.25">
      <c r="A44" s="5" t="s">
        <v>40</v>
      </c>
      <c r="B44" s="6" t="s">
        <v>29</v>
      </c>
      <c r="C44" s="5" t="s">
        <v>21</v>
      </c>
      <c r="D44" s="5" t="s">
        <v>22</v>
      </c>
      <c r="E44" s="5">
        <v>25</v>
      </c>
      <c r="F44" s="5">
        <v>1</v>
      </c>
      <c r="G44" s="5">
        <v>0</v>
      </c>
      <c r="H44" s="5">
        <v>0</v>
      </c>
      <c r="I44" s="5">
        <v>12</v>
      </c>
      <c r="J44" s="5">
        <v>12</v>
      </c>
      <c r="K44" s="5">
        <v>2</v>
      </c>
      <c r="L44" s="5">
        <v>51</v>
      </c>
      <c r="M44" s="5">
        <v>58</v>
      </c>
      <c r="N44" s="5">
        <v>107</v>
      </c>
      <c r="O44" s="5">
        <v>92</v>
      </c>
      <c r="P44" s="7">
        <f>O44*E44/1000</f>
        <v>2.3</v>
      </c>
      <c r="Q44" s="5">
        <f>MIN(INT(O44/F44)*F44,ROUNDUP(MAX(0,(N44*0.5+(L44/7*30)*0.3+(K44*30)*0.2)*0.8-I44)/F44,0)*F44)</f>
        <v>92</v>
      </c>
      <c r="R44" s="7">
        <f>Q44*E44/1000</f>
        <v>2.3</v>
      </c>
      <c r="S44" s="5" t="s">
        <v>23</v>
      </c>
    </row>
    <row r="45" ht="23" customHeight="1" spans="1:19" s="4" customFormat="1" x14ac:dyDescent="0.25">
      <c r="A45" s="5" t="s">
        <v>40</v>
      </c>
      <c r="B45" s="6" t="s">
        <v>30</v>
      </c>
      <c r="C45" s="5" t="s">
        <v>21</v>
      </c>
      <c r="D45" s="5" t="s">
        <v>22</v>
      </c>
      <c r="E45" s="5">
        <v>10</v>
      </c>
      <c r="F45" s="5">
        <v>1</v>
      </c>
      <c r="G45" s="5">
        <v>0</v>
      </c>
      <c r="H45" s="5">
        <v>0</v>
      </c>
      <c r="I45" s="5">
        <v>33</v>
      </c>
      <c r="J45" s="5">
        <v>33</v>
      </c>
      <c r="K45" s="5">
        <v>4</v>
      </c>
      <c r="L45" s="5">
        <v>23</v>
      </c>
      <c r="M45" s="5">
        <v>36</v>
      </c>
      <c r="N45" s="5">
        <v>85</v>
      </c>
      <c r="O45" s="5">
        <v>56</v>
      </c>
      <c r="P45" s="7">
        <f>O45*E45/1000</f>
        <v>0.56</v>
      </c>
      <c r="Q45" s="5">
        <f>MIN(INT(O45/F45)*F45,ROUNDUP(MAX(0,(N45*0.5+(L45/7*30)*0.3+(K45*30)*0.2)*0.8-I45)/F45,0)*F45)</f>
        <v>44</v>
      </c>
      <c r="R45" s="7">
        <f>Q45*E45/1000</f>
        <v>0.44</v>
      </c>
      <c r="S45" s="5" t="s">
        <v>23</v>
      </c>
    </row>
    <row r="46" ht="23" customHeight="1" spans="1:19" s="4" customFormat="1" x14ac:dyDescent="0.25">
      <c r="A46" s="5" t="s">
        <v>40</v>
      </c>
      <c r="B46" s="6" t="s">
        <v>31</v>
      </c>
      <c r="C46" s="5" t="s">
        <v>21</v>
      </c>
      <c r="D46" s="5" t="s">
        <v>22</v>
      </c>
      <c r="E46" s="5">
        <v>5</v>
      </c>
      <c r="F46" s="5">
        <v>5</v>
      </c>
      <c r="G46" s="5">
        <v>0</v>
      </c>
      <c r="H46" s="5">
        <v>11.18</v>
      </c>
      <c r="I46" s="5">
        <v>50</v>
      </c>
      <c r="J46" s="5">
        <v>50</v>
      </c>
      <c r="K46" s="5">
        <v>1</v>
      </c>
      <c r="L46" s="5">
        <v>13</v>
      </c>
      <c r="M46" s="5">
        <v>18</v>
      </c>
      <c r="N46" s="5">
        <v>23</v>
      </c>
      <c r="O46" s="5">
        <v>0</v>
      </c>
      <c r="P46" s="7">
        <f>O46*E46/1000</f>
        <v>0</v>
      </c>
      <c r="Q46" s="5">
        <f>MIN(INT(O46/F46)*F46,ROUNDUP(MAX(0,(N46*0.5+(L46/7*30)*0.3+(K46*30)*0.2)*0.8-I46)/F46,0)*F46)</f>
        <v>0</v>
      </c>
      <c r="R46" s="7">
        <f>Q46*E46/1000</f>
        <v>0</v>
      </c>
      <c r="S46" s="5" t="s">
        <v>23</v>
      </c>
    </row>
    <row r="47" ht="23" customHeight="1" spans="1:19" s="4" customFormat="1" x14ac:dyDescent="0.25">
      <c r="A47" s="5" t="s">
        <v>40</v>
      </c>
      <c r="B47" s="6" t="s">
        <v>32</v>
      </c>
      <c r="C47" s="5" t="s">
        <v>21</v>
      </c>
      <c r="D47" s="5" t="s">
        <v>22</v>
      </c>
      <c r="E47" s="5">
        <v>2.5</v>
      </c>
      <c r="F47" s="5">
        <v>1</v>
      </c>
      <c r="G47" s="5">
        <v>0</v>
      </c>
      <c r="H47" s="5">
        <v>0</v>
      </c>
      <c r="I47" s="5">
        <v>114</v>
      </c>
      <c r="J47" s="5">
        <v>114</v>
      </c>
      <c r="K47" s="5">
        <v>2</v>
      </c>
      <c r="L47" s="5">
        <v>4</v>
      </c>
      <c r="M47" s="5">
        <v>8</v>
      </c>
      <c r="N47" s="5">
        <v>22</v>
      </c>
      <c r="O47" s="5">
        <v>0</v>
      </c>
      <c r="P47" s="7">
        <f>O47*E47/1000</f>
        <v>0</v>
      </c>
      <c r="Q47" s="5">
        <f>MIN(INT(O47/F47)*F47,ROUNDUP(MAX(0,(N47*0.5+(L47/7*30)*0.3+(K47*30)*0.2)*0.8-I47)/F47,0)*F47)</f>
        <v>0</v>
      </c>
      <c r="R47" s="7">
        <f>Q47*E47/1000</f>
        <v>0</v>
      </c>
      <c r="S47" s="5" t="s">
        <v>23</v>
      </c>
    </row>
    <row r="48" ht="23" customHeight="1" spans="1:19" s="4" customFormat="1" x14ac:dyDescent="0.25">
      <c r="A48" s="5" t="s">
        <v>40</v>
      </c>
      <c r="B48" s="6" t="s">
        <v>33</v>
      </c>
      <c r="C48" s="5" t="s">
        <v>21</v>
      </c>
      <c r="D48" s="5" t="s">
        <v>22</v>
      </c>
      <c r="E48" s="5">
        <v>5</v>
      </c>
      <c r="F48" s="5">
        <v>1</v>
      </c>
      <c r="G48" s="5">
        <v>0</v>
      </c>
      <c r="H48" s="5">
        <v>0</v>
      </c>
      <c r="I48" s="5">
        <v>47</v>
      </c>
      <c r="J48" s="5">
        <v>46</v>
      </c>
      <c r="K48" s="5">
        <v>3</v>
      </c>
      <c r="L48" s="5">
        <v>22</v>
      </c>
      <c r="M48" s="5">
        <v>29</v>
      </c>
      <c r="N48" s="5">
        <v>72</v>
      </c>
      <c r="O48" s="5">
        <v>17</v>
      </c>
      <c r="P48" s="7">
        <f>O48*E48/1000</f>
        <v>0.085</v>
      </c>
      <c r="Q48" s="5">
        <f>MIN(INT(O48/F48)*F48,ROUNDUP(MAX(0,(N48*0.5+(L48/7*30)*0.3+(K48*30)*0.2)*0.8-I48)/F48,0)*F48)</f>
        <v>17</v>
      </c>
      <c r="R48" s="7">
        <f>Q48*E48/1000</f>
        <v>0.085</v>
      </c>
      <c r="S48" s="5" t="s">
        <v>23</v>
      </c>
    </row>
    <row r="49" ht="23" customHeight="1" spans="1:19" s="8" customFormat="1" x14ac:dyDescent="0.25">
      <c r="A49" s="9" t="s">
        <v>41</v>
      </c>
      <c r="B49" s="9" t="s">
        <v>23</v>
      </c>
      <c r="C49" s="9" t="s">
        <v>23</v>
      </c>
      <c r="D49" s="9" t="s">
        <v>23</v>
      </c>
      <c r="E49" s="9" t="s">
        <v>23</v>
      </c>
      <c r="F49" s="9" t="s">
        <v>23</v>
      </c>
      <c r="G49" s="9" t="s">
        <v>23</v>
      </c>
      <c r="H49" s="9" t="s">
        <v>23</v>
      </c>
      <c r="I49" s="9" t="s">
        <v>23</v>
      </c>
      <c r="J49" s="9" t="s">
        <v>23</v>
      </c>
      <c r="K49" s="9" t="s">
        <v>23</v>
      </c>
      <c r="L49" s="9" t="s">
        <v>23</v>
      </c>
      <c r="M49" s="9" t="s">
        <v>23</v>
      </c>
      <c r="N49" s="9" t="s">
        <v>23</v>
      </c>
      <c r="O49" s="9">
        <f>SUM(O38:O48)</f>
        <v>879</v>
      </c>
      <c r="P49" s="10">
        <f>SUM(P38:P48)</f>
        <v>6.81</v>
      </c>
      <c r="Q49" s="9">
        <f>SUM(Q38:Q48)</f>
        <v>807</v>
      </c>
      <c r="R49" s="10">
        <f>SUM(R38:R48)</f>
        <v>6.24</v>
      </c>
      <c r="S49" s="9" t="s">
        <v>23</v>
      </c>
    </row>
    <row r="50" ht="23" customHeight="1" spans="1:19" s="4" customFormat="1" x14ac:dyDescent="0.25">
      <c r="A50" s="5" t="s">
        <v>42</v>
      </c>
      <c r="B50" s="6" t="s">
        <v>20</v>
      </c>
      <c r="C50" s="5" t="s">
        <v>21</v>
      </c>
      <c r="D50" s="5" t="s">
        <v>22</v>
      </c>
      <c r="E50" s="5">
        <v>2.5</v>
      </c>
      <c r="F50" s="5">
        <v>1</v>
      </c>
      <c r="G50" s="5">
        <v>0</v>
      </c>
      <c r="H50" s="5">
        <v>0</v>
      </c>
      <c r="I50" s="5">
        <v>128</v>
      </c>
      <c r="J50" s="5">
        <v>128</v>
      </c>
      <c r="K50" s="5">
        <v>1</v>
      </c>
      <c r="L50" s="5">
        <v>16</v>
      </c>
      <c r="M50" s="5">
        <v>20</v>
      </c>
      <c r="N50" s="5">
        <v>37</v>
      </c>
      <c r="O50" s="5">
        <v>11</v>
      </c>
      <c r="P50" s="7">
        <f>O50*E50/1000</f>
        <v>0.0275</v>
      </c>
      <c r="Q50" s="5">
        <f>MIN(INT(O50/F50)*F50,ROUNDUP(MAX(0,(N50*0.5+(L50/7*30)*0.3+(K50*30)*0.2)*0.8-I50)/F50,0)*F50)</f>
        <v>0</v>
      </c>
      <c r="R50" s="7">
        <f>Q50*E50/1000</f>
        <v>0</v>
      </c>
      <c r="S50" s="5" t="s">
        <v>23</v>
      </c>
    </row>
    <row r="51" ht="23" customHeight="1" spans="1:19" s="4" customFormat="1" x14ac:dyDescent="0.25">
      <c r="A51" s="5" t="s">
        <v>42</v>
      </c>
      <c r="B51" s="6" t="s">
        <v>24</v>
      </c>
      <c r="C51" s="5" t="s">
        <v>21</v>
      </c>
      <c r="D51" s="5" t="s">
        <v>22</v>
      </c>
      <c r="E51" s="5">
        <v>10</v>
      </c>
      <c r="F51" s="5">
        <v>1</v>
      </c>
      <c r="G51" s="5">
        <v>0</v>
      </c>
      <c r="H51" s="5">
        <v>0</v>
      </c>
      <c r="I51" s="5">
        <v>39</v>
      </c>
      <c r="J51" s="5">
        <v>38</v>
      </c>
      <c r="K51" s="5">
        <v>0</v>
      </c>
      <c r="L51" s="5">
        <v>10</v>
      </c>
      <c r="M51" s="5">
        <v>20</v>
      </c>
      <c r="N51" s="5">
        <v>30</v>
      </c>
      <c r="O51" s="5">
        <v>3</v>
      </c>
      <c r="P51" s="7">
        <f>O51*E51/1000</f>
        <v>0.03</v>
      </c>
      <c r="Q51" s="5">
        <f>MIN(INT(O51/F51)*F51,ROUNDUP(MAX(0,(N51*0.5+(L51/7*30)*0.3+(K51*30)*0.2)*0.8-I51)/F51,0)*F51)</f>
        <v>0</v>
      </c>
      <c r="R51" s="7">
        <f>Q51*E51/1000</f>
        <v>0</v>
      </c>
      <c r="S51" s="5" t="s">
        <v>23</v>
      </c>
    </row>
    <row r="52" ht="23" customHeight="1" spans="1:19" s="4" customFormat="1" x14ac:dyDescent="0.25">
      <c r="A52" s="5" t="s">
        <v>42</v>
      </c>
      <c r="B52" s="6" t="s">
        <v>25</v>
      </c>
      <c r="C52" s="5" t="s">
        <v>21</v>
      </c>
      <c r="D52" s="5" t="s">
        <v>22</v>
      </c>
      <c r="E52" s="5">
        <v>5</v>
      </c>
      <c r="F52" s="5">
        <v>1</v>
      </c>
      <c r="G52" s="5">
        <v>0</v>
      </c>
      <c r="H52" s="5">
        <v>12.15</v>
      </c>
      <c r="I52" s="5">
        <v>103</v>
      </c>
      <c r="J52" s="5">
        <v>103</v>
      </c>
      <c r="K52" s="5">
        <v>0</v>
      </c>
      <c r="L52" s="5">
        <v>8</v>
      </c>
      <c r="M52" s="5">
        <v>17</v>
      </c>
      <c r="N52" s="5">
        <v>43</v>
      </c>
      <c r="O52" s="5">
        <v>33</v>
      </c>
      <c r="P52" s="7">
        <f>O52*E52/1000</f>
        <v>0.165</v>
      </c>
      <c r="Q52" s="5">
        <f>MIN(INT(O52/F52)*F52,ROUNDUP(MAX(0,(N52*0.5+(L52/7*30)*0.3+(K52*30)*0.2)*0.8-I52)/F52,0)*F52)</f>
        <v>0</v>
      </c>
      <c r="R52" s="7">
        <f>Q52*E52/1000</f>
        <v>0</v>
      </c>
      <c r="S52" s="5" t="s">
        <v>23</v>
      </c>
    </row>
    <row r="53" ht="23" customHeight="1" spans="1:19" s="4" customFormat="1" x14ac:dyDescent="0.25">
      <c r="A53" s="5" t="s">
        <v>42</v>
      </c>
      <c r="B53" s="6" t="s">
        <v>26</v>
      </c>
      <c r="C53" s="5" t="s">
        <v>21</v>
      </c>
      <c r="D53" s="5" t="s">
        <v>22</v>
      </c>
      <c r="E53" s="5">
        <v>10</v>
      </c>
      <c r="F53" s="5">
        <v>1</v>
      </c>
      <c r="G53" s="5">
        <v>0</v>
      </c>
      <c r="H53" s="5">
        <v>0</v>
      </c>
      <c r="I53" s="5">
        <v>58</v>
      </c>
      <c r="J53" s="5">
        <v>56</v>
      </c>
      <c r="K53" s="5">
        <v>0</v>
      </c>
      <c r="L53" s="5">
        <v>10</v>
      </c>
      <c r="M53" s="5">
        <v>15</v>
      </c>
      <c r="N53" s="5">
        <v>27</v>
      </c>
      <c r="O53" s="5">
        <v>14</v>
      </c>
      <c r="P53" s="7">
        <f>O53*E53/1000</f>
        <v>0.14</v>
      </c>
      <c r="Q53" s="5">
        <f>MIN(INT(O53/F53)*F53,ROUNDUP(MAX(0,(N53*0.5+(L53/7*30)*0.3+(K53*30)*0.2)*0.8-I53)/F53,0)*F53)</f>
        <v>0</v>
      </c>
      <c r="R53" s="7">
        <f>Q53*E53/1000</f>
        <v>0</v>
      </c>
      <c r="S53" s="5" t="s">
        <v>23</v>
      </c>
    </row>
    <row r="54" ht="23" customHeight="1" spans="1:19" s="4" customFormat="1" x14ac:dyDescent="0.25">
      <c r="A54" s="5" t="s">
        <v>42</v>
      </c>
      <c r="B54" s="6" t="s">
        <v>27</v>
      </c>
      <c r="C54" s="5" t="s">
        <v>21</v>
      </c>
      <c r="D54" s="5" t="s">
        <v>22</v>
      </c>
      <c r="E54" s="5">
        <v>10</v>
      </c>
      <c r="F54" s="5">
        <v>1</v>
      </c>
      <c r="G54" s="5">
        <v>0</v>
      </c>
      <c r="H54" s="5">
        <v>0</v>
      </c>
      <c r="I54" s="5">
        <v>20</v>
      </c>
      <c r="J54" s="5">
        <v>20</v>
      </c>
      <c r="K54" s="5">
        <v>0</v>
      </c>
      <c r="L54" s="5">
        <v>12</v>
      </c>
      <c r="M54" s="5">
        <v>21</v>
      </c>
      <c r="N54" s="5">
        <v>34</v>
      </c>
      <c r="O54" s="5">
        <v>43</v>
      </c>
      <c r="P54" s="7">
        <f>O54*E54/1000</f>
        <v>0.43</v>
      </c>
      <c r="Q54" s="5">
        <f>MIN(INT(O54/F54)*F54,ROUNDUP(MAX(0,(N54*0.5+(L54/7*30)*0.3+(K54*30)*0.2)*0.8-I54)/F54,0)*F54)</f>
        <v>6</v>
      </c>
      <c r="R54" s="7">
        <f>Q54*E54/1000</f>
        <v>0.06</v>
      </c>
      <c r="S54" s="5" t="s">
        <v>23</v>
      </c>
    </row>
    <row r="55" ht="23" customHeight="1" spans="1:19" s="4" customFormat="1" x14ac:dyDescent="0.25">
      <c r="A55" s="5" t="s">
        <v>42</v>
      </c>
      <c r="B55" s="6" t="s">
        <v>28</v>
      </c>
      <c r="C55" s="5" t="s">
        <v>21</v>
      </c>
      <c r="D55" s="5" t="s">
        <v>22</v>
      </c>
      <c r="E55" s="5">
        <v>5</v>
      </c>
      <c r="F55" s="5">
        <v>1</v>
      </c>
      <c r="G55" s="5">
        <v>0</v>
      </c>
      <c r="H55" s="5">
        <v>0</v>
      </c>
      <c r="I55" s="5">
        <v>128</v>
      </c>
      <c r="J55" s="5">
        <v>125</v>
      </c>
      <c r="K55" s="5">
        <v>21</v>
      </c>
      <c r="L55" s="5">
        <v>147</v>
      </c>
      <c r="M55" s="5">
        <v>297</v>
      </c>
      <c r="N55" s="5">
        <v>378</v>
      </c>
      <c r="O55" s="5">
        <v>449</v>
      </c>
      <c r="P55" s="7">
        <f>O55*E55/1000</f>
        <v>2.245</v>
      </c>
      <c r="Q55" s="5">
        <f>MIN(INT(O55/F55)*F55,ROUNDUP(MAX(0,(N55*0.5+(L55/7*30)*0.3+(K55*30)*0.2)*0.8-I55)/F55,0)*F55)</f>
        <v>276</v>
      </c>
      <c r="R55" s="7">
        <f>Q55*E55/1000</f>
        <v>1.38</v>
      </c>
      <c r="S55" s="5" t="s">
        <v>23</v>
      </c>
    </row>
    <row r="56" ht="23" customHeight="1" spans="1:19" s="4" customFormat="1" x14ac:dyDescent="0.25">
      <c r="A56" s="5" t="s">
        <v>42</v>
      </c>
      <c r="B56" s="6" t="s">
        <v>29</v>
      </c>
      <c r="C56" s="5" t="s">
        <v>21</v>
      </c>
      <c r="D56" s="5" t="s">
        <v>22</v>
      </c>
      <c r="E56" s="5">
        <v>25</v>
      </c>
      <c r="F56" s="5">
        <v>1</v>
      </c>
      <c r="G56" s="5">
        <v>0</v>
      </c>
      <c r="H56" s="5">
        <v>0</v>
      </c>
      <c r="I56" s="5">
        <v>77</v>
      </c>
      <c r="J56" s="5">
        <v>71</v>
      </c>
      <c r="K56" s="5">
        <v>0</v>
      </c>
      <c r="L56" s="5">
        <v>8</v>
      </c>
      <c r="M56" s="5">
        <v>25</v>
      </c>
      <c r="N56" s="5">
        <v>48</v>
      </c>
      <c r="O56" s="5">
        <v>85</v>
      </c>
      <c r="P56" s="7">
        <f>O56*E56/1000</f>
        <v>2.125</v>
      </c>
      <c r="Q56" s="5">
        <f>MIN(INT(O56/F56)*F56,ROUNDUP(MAX(0,(N56*0.5+(L56/7*30)*0.3+(K56*30)*0.2)*0.8-I56)/F56,0)*F56)</f>
        <v>0</v>
      </c>
      <c r="R56" s="7">
        <f>Q56*E56/1000</f>
        <v>0</v>
      </c>
      <c r="S56" s="5" t="s">
        <v>23</v>
      </c>
    </row>
    <row r="57" ht="23" customHeight="1" spans="1:19" s="4" customFormat="1" x14ac:dyDescent="0.25">
      <c r="A57" s="5" t="s">
        <v>42</v>
      </c>
      <c r="B57" s="6" t="s">
        <v>30</v>
      </c>
      <c r="C57" s="5" t="s">
        <v>21</v>
      </c>
      <c r="D57" s="5" t="s">
        <v>22</v>
      </c>
      <c r="E57" s="5">
        <v>10</v>
      </c>
      <c r="F57" s="5">
        <v>1</v>
      </c>
      <c r="G57" s="5">
        <v>0</v>
      </c>
      <c r="H57" s="5">
        <v>0</v>
      </c>
      <c r="I57" s="5">
        <v>108</v>
      </c>
      <c r="J57" s="5">
        <v>103</v>
      </c>
      <c r="K57" s="5">
        <v>1</v>
      </c>
      <c r="L57" s="5">
        <v>24</v>
      </c>
      <c r="M57" s="5">
        <v>39</v>
      </c>
      <c r="N57" s="5">
        <v>91</v>
      </c>
      <c r="O57" s="5">
        <v>67</v>
      </c>
      <c r="P57" s="7">
        <f>O57*E57/1000</f>
        <v>0.67</v>
      </c>
      <c r="Q57" s="5">
        <f>MIN(INT(O57/F57)*F57,ROUNDUP(MAX(0,(N57*0.5+(L57/7*30)*0.3+(K57*30)*0.2)*0.8-I57)/F57,0)*F57)</f>
        <v>0</v>
      </c>
      <c r="R57" s="7">
        <f>Q57*E57/1000</f>
        <v>0</v>
      </c>
      <c r="S57" s="5" t="s">
        <v>23</v>
      </c>
    </row>
    <row r="58" ht="23" customHeight="1" spans="1:19" s="4" customFormat="1" x14ac:dyDescent="0.25">
      <c r="A58" s="5" t="s">
        <v>42</v>
      </c>
      <c r="B58" s="6" t="s">
        <v>31</v>
      </c>
      <c r="C58" s="5" t="s">
        <v>21</v>
      </c>
      <c r="D58" s="5" t="s">
        <v>22</v>
      </c>
      <c r="E58" s="5">
        <v>5</v>
      </c>
      <c r="F58" s="5">
        <v>5</v>
      </c>
      <c r="G58" s="5">
        <v>0</v>
      </c>
      <c r="H58" s="5">
        <v>9.55</v>
      </c>
      <c r="I58" s="5">
        <v>38</v>
      </c>
      <c r="J58" s="5">
        <v>38</v>
      </c>
      <c r="K58" s="5">
        <v>0</v>
      </c>
      <c r="L58" s="5">
        <v>3</v>
      </c>
      <c r="M58" s="5">
        <v>4</v>
      </c>
      <c r="N58" s="5">
        <v>14</v>
      </c>
      <c r="O58" s="5">
        <v>15</v>
      </c>
      <c r="P58" s="7">
        <f>O58*E58/1000</f>
        <v>0.075</v>
      </c>
      <c r="Q58" s="5">
        <f>MIN(INT(O58/F58)*F58,ROUNDUP(MAX(0,(N58*0.5+(L58/7*30)*0.3+(K58*30)*0.2)*0.8-I58)/F58,0)*F58)</f>
        <v>0</v>
      </c>
      <c r="R58" s="7">
        <f>Q58*E58/1000</f>
        <v>0</v>
      </c>
      <c r="S58" s="5" t="s">
        <v>23</v>
      </c>
    </row>
    <row r="59" ht="23" customHeight="1" spans="1:19" s="4" customFormat="1" x14ac:dyDescent="0.25">
      <c r="A59" s="5" t="s">
        <v>42</v>
      </c>
      <c r="B59" s="6" t="s">
        <v>32</v>
      </c>
      <c r="C59" s="5" t="s">
        <v>21</v>
      </c>
      <c r="D59" s="5" t="s">
        <v>22</v>
      </c>
      <c r="E59" s="5">
        <v>2.5</v>
      </c>
      <c r="F59" s="5">
        <v>1</v>
      </c>
      <c r="G59" s="5">
        <v>0</v>
      </c>
      <c r="H59" s="5">
        <v>0</v>
      </c>
      <c r="I59" s="5">
        <v>45</v>
      </c>
      <c r="J59" s="5">
        <v>45</v>
      </c>
      <c r="K59" s="5">
        <v>1</v>
      </c>
      <c r="L59" s="5">
        <v>4</v>
      </c>
      <c r="M59" s="5">
        <v>7</v>
      </c>
      <c r="N59" s="5">
        <v>11</v>
      </c>
      <c r="O59" s="5">
        <v>0</v>
      </c>
      <c r="P59" s="7">
        <f>O59*E59/1000</f>
        <v>0</v>
      </c>
      <c r="Q59" s="5">
        <f>MIN(INT(O59/F59)*F59,ROUNDUP(MAX(0,(N59*0.5+(L59/7*30)*0.3+(K59*30)*0.2)*0.8-I59)/F59,0)*F59)</f>
        <v>0</v>
      </c>
      <c r="R59" s="7">
        <f>Q59*E59/1000</f>
        <v>0</v>
      </c>
      <c r="S59" s="5" t="s">
        <v>23</v>
      </c>
    </row>
    <row r="60" ht="23" customHeight="1" spans="1:19" s="4" customFormat="1" x14ac:dyDescent="0.25">
      <c r="A60" s="5" t="s">
        <v>42</v>
      </c>
      <c r="B60" s="6" t="s">
        <v>33</v>
      </c>
      <c r="C60" s="5" t="s">
        <v>21</v>
      </c>
      <c r="D60" s="5" t="s">
        <v>22</v>
      </c>
      <c r="E60" s="5">
        <v>5</v>
      </c>
      <c r="F60" s="5">
        <v>1</v>
      </c>
      <c r="G60" s="5">
        <v>0</v>
      </c>
      <c r="H60" s="5">
        <v>0</v>
      </c>
      <c r="I60" s="5">
        <v>50</v>
      </c>
      <c r="J60" s="5">
        <v>50</v>
      </c>
      <c r="K60" s="5">
        <v>3</v>
      </c>
      <c r="L60" s="5">
        <v>17</v>
      </c>
      <c r="M60" s="5">
        <v>45</v>
      </c>
      <c r="N60" s="5">
        <v>57</v>
      </c>
      <c r="O60" s="5">
        <v>45</v>
      </c>
      <c r="P60" s="7">
        <f>O60*E60/1000</f>
        <v>0.225</v>
      </c>
      <c r="Q60" s="5">
        <f>MIN(INT(O60/F60)*F60,ROUNDUP(MAX(0,(N60*0.5+(L60/7*30)*0.3+(K60*30)*0.2)*0.8-I60)/F60,0)*F60)</f>
        <v>5</v>
      </c>
      <c r="R60" s="7">
        <f>Q60*E60/1000</f>
        <v>0.025</v>
      </c>
      <c r="S60" s="5" t="s">
        <v>23</v>
      </c>
    </row>
    <row r="61" ht="23" customHeight="1" spans="1:19" s="8" customFormat="1" x14ac:dyDescent="0.25">
      <c r="A61" s="9" t="s">
        <v>43</v>
      </c>
      <c r="B61" s="9" t="s">
        <v>23</v>
      </c>
      <c r="C61" s="9" t="s">
        <v>23</v>
      </c>
      <c r="D61" s="9" t="s">
        <v>23</v>
      </c>
      <c r="E61" s="9" t="s">
        <v>23</v>
      </c>
      <c r="F61" s="9" t="s">
        <v>23</v>
      </c>
      <c r="G61" s="9" t="s">
        <v>23</v>
      </c>
      <c r="H61" s="9" t="s">
        <v>23</v>
      </c>
      <c r="I61" s="9" t="s">
        <v>23</v>
      </c>
      <c r="J61" s="9" t="s">
        <v>23</v>
      </c>
      <c r="K61" s="9" t="s">
        <v>23</v>
      </c>
      <c r="L61" s="9" t="s">
        <v>23</v>
      </c>
      <c r="M61" s="9" t="s">
        <v>23</v>
      </c>
      <c r="N61" s="9" t="s">
        <v>23</v>
      </c>
      <c r="O61" s="9">
        <f>SUM(O50:O60)</f>
        <v>765</v>
      </c>
      <c r="P61" s="10">
        <f>SUM(P50:P60)</f>
        <v>6.132499999999999</v>
      </c>
      <c r="Q61" s="9">
        <f>SUM(Q50:Q60)</f>
        <v>287</v>
      </c>
      <c r="R61" s="10">
        <f>SUM(R50:R60)</f>
        <v>1.4649999999999999</v>
      </c>
      <c r="S61" s="9" t="s">
        <v>23</v>
      </c>
    </row>
    <row r="62" ht="23" customHeight="1" spans="1:19" s="4" customFormat="1" x14ac:dyDescent="0.25">
      <c r="A62" s="5" t="s">
        <v>44</v>
      </c>
      <c r="B62" s="6" t="s">
        <v>20</v>
      </c>
      <c r="C62" s="5" t="s">
        <v>21</v>
      </c>
      <c r="D62" s="5" t="s">
        <v>22</v>
      </c>
      <c r="E62" s="5">
        <v>2.5</v>
      </c>
      <c r="F62" s="5">
        <v>1</v>
      </c>
      <c r="G62" s="5">
        <v>0</v>
      </c>
      <c r="H62" s="5">
        <v>0</v>
      </c>
      <c r="I62" s="5">
        <v>138</v>
      </c>
      <c r="J62" s="5">
        <v>138</v>
      </c>
      <c r="K62" s="5">
        <v>0</v>
      </c>
      <c r="L62" s="5">
        <v>3</v>
      </c>
      <c r="M62" s="5">
        <v>15</v>
      </c>
      <c r="N62" s="5">
        <v>52</v>
      </c>
      <c r="O62" s="5">
        <v>76</v>
      </c>
      <c r="P62" s="7">
        <f>O62*E62/1000</f>
        <v>0.19</v>
      </c>
      <c r="Q62" s="5">
        <f>MIN(INT(O62/F62)*F62,ROUNDUP(MAX(0,(N62*0.5+(L62/7*30)*0.3+(K62*30)*0.2)*0.8-I62)/F62,0)*F62)</f>
        <v>0</v>
      </c>
      <c r="R62" s="7">
        <f>Q62*E62/1000</f>
        <v>0</v>
      </c>
      <c r="S62" s="5" t="s">
        <v>23</v>
      </c>
    </row>
    <row r="63" ht="23" customHeight="1" spans="1:19" s="4" customFormat="1" x14ac:dyDescent="0.25">
      <c r="A63" s="5" t="s">
        <v>44</v>
      </c>
      <c r="B63" s="6" t="s">
        <v>24</v>
      </c>
      <c r="C63" s="5" t="s">
        <v>21</v>
      </c>
      <c r="D63" s="5" t="s">
        <v>22</v>
      </c>
      <c r="E63" s="5">
        <v>10</v>
      </c>
      <c r="F63" s="5">
        <v>1</v>
      </c>
      <c r="G63" s="5">
        <v>0</v>
      </c>
      <c r="H63" s="5">
        <v>0</v>
      </c>
      <c r="I63" s="5">
        <v>49</v>
      </c>
      <c r="J63" s="5">
        <v>49</v>
      </c>
      <c r="K63" s="5">
        <v>3</v>
      </c>
      <c r="L63" s="5">
        <v>12</v>
      </c>
      <c r="M63" s="5">
        <v>34</v>
      </c>
      <c r="N63" s="5">
        <v>48</v>
      </c>
      <c r="O63" s="5">
        <v>12</v>
      </c>
      <c r="P63" s="7">
        <f>O63*E63/1000</f>
        <v>0.12</v>
      </c>
      <c r="Q63" s="5">
        <f>MIN(INT(O63/F63)*F63,ROUNDUP(MAX(0,(N63*0.5+(L63/7*30)*0.3+(K63*30)*0.2)*0.8-I63)/F63,0)*F63)</f>
        <v>0</v>
      </c>
      <c r="R63" s="7">
        <f>Q63*E63/1000</f>
        <v>0</v>
      </c>
      <c r="S63" s="5" t="s">
        <v>23</v>
      </c>
    </row>
    <row r="64" ht="23" customHeight="1" spans="1:19" s="4" customFormat="1" x14ac:dyDescent="0.25">
      <c r="A64" s="5" t="s">
        <v>44</v>
      </c>
      <c r="B64" s="6" t="s">
        <v>25</v>
      </c>
      <c r="C64" s="5" t="s">
        <v>21</v>
      </c>
      <c r="D64" s="5" t="s">
        <v>22</v>
      </c>
      <c r="E64" s="5">
        <v>5</v>
      </c>
      <c r="F64" s="5">
        <v>1</v>
      </c>
      <c r="G64" s="5">
        <v>0</v>
      </c>
      <c r="H64" s="5">
        <v>0</v>
      </c>
      <c r="I64" s="5">
        <v>124</v>
      </c>
      <c r="J64" s="5">
        <v>124</v>
      </c>
      <c r="K64" s="5">
        <v>0</v>
      </c>
      <c r="L64" s="5">
        <v>15</v>
      </c>
      <c r="M64" s="5">
        <v>66</v>
      </c>
      <c r="N64" s="5">
        <v>93</v>
      </c>
      <c r="O64" s="5">
        <v>76</v>
      </c>
      <c r="P64" s="7">
        <f>O64*E64/1000</f>
        <v>0.38</v>
      </c>
      <c r="Q64" s="5">
        <f>MIN(INT(O64/F64)*F64,ROUNDUP(MAX(0,(N64*0.5+(L64/7*30)*0.3+(K64*30)*0.2)*0.8-I64)/F64,0)*F64)</f>
        <v>0</v>
      </c>
      <c r="R64" s="7">
        <f>Q64*E64/1000</f>
        <v>0</v>
      </c>
      <c r="S64" s="5" t="s">
        <v>23</v>
      </c>
    </row>
    <row r="65" ht="23" customHeight="1" spans="1:19" s="4" customFormat="1" x14ac:dyDescent="0.25">
      <c r="A65" s="5" t="s">
        <v>44</v>
      </c>
      <c r="B65" s="6" t="s">
        <v>26</v>
      </c>
      <c r="C65" s="5" t="s">
        <v>21</v>
      </c>
      <c r="D65" s="5" t="s">
        <v>22</v>
      </c>
      <c r="E65" s="5">
        <v>10</v>
      </c>
      <c r="F65" s="5">
        <v>1</v>
      </c>
      <c r="G65" s="5">
        <v>0</v>
      </c>
      <c r="H65" s="5">
        <v>0</v>
      </c>
      <c r="I65" s="5">
        <v>40</v>
      </c>
      <c r="J65" s="5">
        <v>39</v>
      </c>
      <c r="K65" s="5">
        <v>0</v>
      </c>
      <c r="L65" s="5">
        <v>3</v>
      </c>
      <c r="M65" s="5">
        <v>20</v>
      </c>
      <c r="N65" s="5">
        <v>39</v>
      </c>
      <c r="O65" s="5">
        <v>64</v>
      </c>
      <c r="P65" s="7">
        <f>O65*E65/1000</f>
        <v>0.64</v>
      </c>
      <c r="Q65" s="5">
        <f>MIN(INT(O65/F65)*F65,ROUNDUP(MAX(0,(N65*0.5+(L65/7*30)*0.3+(K65*30)*0.2)*0.8-I65)/F65,0)*F65)</f>
        <v>0</v>
      </c>
      <c r="R65" s="7">
        <f>Q65*E65/1000</f>
        <v>0</v>
      </c>
      <c r="S65" s="5" t="s">
        <v>23</v>
      </c>
    </row>
    <row r="66" ht="23" customHeight="1" spans="1:19" s="4" customFormat="1" x14ac:dyDescent="0.25">
      <c r="A66" s="5" t="s">
        <v>44</v>
      </c>
      <c r="B66" s="6" t="s">
        <v>27</v>
      </c>
      <c r="C66" s="5" t="s">
        <v>21</v>
      </c>
      <c r="D66" s="5" t="s">
        <v>22</v>
      </c>
      <c r="E66" s="5">
        <v>10</v>
      </c>
      <c r="F66" s="5">
        <v>1</v>
      </c>
      <c r="G66" s="5">
        <v>0</v>
      </c>
      <c r="H66" s="5">
        <v>0</v>
      </c>
      <c r="I66" s="5">
        <v>54</v>
      </c>
      <c r="J66" s="5">
        <v>54</v>
      </c>
      <c r="K66" s="5">
        <v>3</v>
      </c>
      <c r="L66" s="5">
        <v>10</v>
      </c>
      <c r="M66" s="5">
        <v>13</v>
      </c>
      <c r="N66" s="5">
        <v>38</v>
      </c>
      <c r="O66" s="5">
        <v>6</v>
      </c>
      <c r="P66" s="7">
        <f>O66*E66/1000</f>
        <v>0.06</v>
      </c>
      <c r="Q66" s="5">
        <f>MIN(INT(O66/F66)*F66,ROUNDUP(MAX(0,(N66*0.5+(L66/7*30)*0.3+(K66*30)*0.2)*0.8-I66)/F66,0)*F66)</f>
        <v>0</v>
      </c>
      <c r="R66" s="7">
        <f>Q66*E66/1000</f>
        <v>0</v>
      </c>
      <c r="S66" s="5" t="s">
        <v>23</v>
      </c>
    </row>
    <row r="67" ht="23" customHeight="1" spans="1:19" s="4" customFormat="1" x14ac:dyDescent="0.25">
      <c r="A67" s="5" t="s">
        <v>44</v>
      </c>
      <c r="B67" s="6" t="s">
        <v>28</v>
      </c>
      <c r="C67" s="5" t="s">
        <v>21</v>
      </c>
      <c r="D67" s="5" t="s">
        <v>22</v>
      </c>
      <c r="E67" s="5">
        <v>5</v>
      </c>
      <c r="F67" s="5">
        <v>1</v>
      </c>
      <c r="G67" s="5">
        <v>0</v>
      </c>
      <c r="H67" s="5">
        <v>0</v>
      </c>
      <c r="I67" s="5">
        <v>522</v>
      </c>
      <c r="J67" s="5">
        <v>522</v>
      </c>
      <c r="K67" s="5">
        <v>6</v>
      </c>
      <c r="L67" s="5">
        <v>102</v>
      </c>
      <c r="M67" s="5">
        <v>410</v>
      </c>
      <c r="N67" s="5">
        <v>635</v>
      </c>
      <c r="O67" s="5">
        <v>313</v>
      </c>
      <c r="P67" s="7">
        <f>O67*E67/1000</f>
        <v>1.565</v>
      </c>
      <c r="Q67" s="5">
        <f>MIN(INT(O67/F67)*F67,ROUNDUP(MAX(0,(N67*0.5+(L67/7*30)*0.3+(K67*30)*0.2)*0.8-I67)/F67,0)*F67)</f>
        <v>0</v>
      </c>
      <c r="R67" s="7">
        <f>Q67*E67/1000</f>
        <v>0</v>
      </c>
      <c r="S67" s="5" t="s">
        <v>23</v>
      </c>
    </row>
    <row r="68" ht="23" customHeight="1" spans="1:19" s="4" customFormat="1" x14ac:dyDescent="0.25">
      <c r="A68" s="5" t="s">
        <v>44</v>
      </c>
      <c r="B68" s="6" t="s">
        <v>29</v>
      </c>
      <c r="C68" s="5" t="s">
        <v>21</v>
      </c>
      <c r="D68" s="5" t="s">
        <v>22</v>
      </c>
      <c r="E68" s="5">
        <v>25</v>
      </c>
      <c r="F68" s="5">
        <v>1</v>
      </c>
      <c r="G68" s="5">
        <v>0</v>
      </c>
      <c r="H68" s="5">
        <v>0</v>
      </c>
      <c r="I68" s="5">
        <v>74</v>
      </c>
      <c r="J68" s="5">
        <v>74</v>
      </c>
      <c r="K68" s="5">
        <v>1</v>
      </c>
      <c r="L68" s="5">
        <v>14</v>
      </c>
      <c r="M68" s="5">
        <v>25</v>
      </c>
      <c r="N68" s="5">
        <v>56</v>
      </c>
      <c r="O68" s="5">
        <v>152</v>
      </c>
      <c r="P68" s="7">
        <f>O68*E68/1000</f>
        <v>3.8</v>
      </c>
      <c r="Q68" s="5">
        <f>MIN(INT(O68/F68)*F68,ROUNDUP(MAX(0,(N68*0.5+(L68/7*30)*0.3+(K68*30)*0.2)*0.8-I68)/F68,0)*F68)</f>
        <v>0</v>
      </c>
      <c r="R68" s="7">
        <f>Q68*E68/1000</f>
        <v>0</v>
      </c>
      <c r="S68" s="5" t="s">
        <v>23</v>
      </c>
    </row>
    <row r="69" ht="23" customHeight="1" spans="1:19" s="4" customFormat="1" x14ac:dyDescent="0.25">
      <c r="A69" s="5" t="s">
        <v>44</v>
      </c>
      <c r="B69" s="6" t="s">
        <v>30</v>
      </c>
      <c r="C69" s="5" t="s">
        <v>21</v>
      </c>
      <c r="D69" s="5" t="s">
        <v>22</v>
      </c>
      <c r="E69" s="5">
        <v>10</v>
      </c>
      <c r="F69" s="5">
        <v>1</v>
      </c>
      <c r="G69" s="5">
        <v>0</v>
      </c>
      <c r="H69" s="5">
        <v>0</v>
      </c>
      <c r="I69" s="5">
        <v>124</v>
      </c>
      <c r="J69" s="5">
        <v>124</v>
      </c>
      <c r="K69" s="5">
        <v>0</v>
      </c>
      <c r="L69" s="5">
        <v>21</v>
      </c>
      <c r="M69" s="5">
        <v>39</v>
      </c>
      <c r="N69" s="5">
        <v>81</v>
      </c>
      <c r="O69" s="5">
        <v>32</v>
      </c>
      <c r="P69" s="7">
        <f>O69*E69/1000</f>
        <v>0.32</v>
      </c>
      <c r="Q69" s="5">
        <f>MIN(INT(O69/F69)*F69,ROUNDUP(MAX(0,(N69*0.5+(L69/7*30)*0.3+(K69*30)*0.2)*0.8-I69)/F69,0)*F69)</f>
        <v>0</v>
      </c>
      <c r="R69" s="7">
        <f>Q69*E69/1000</f>
        <v>0</v>
      </c>
      <c r="S69" s="5" t="s">
        <v>23</v>
      </c>
    </row>
    <row r="70" ht="23" customHeight="1" spans="1:19" s="4" customFormat="1" x14ac:dyDescent="0.25">
      <c r="A70" s="5" t="s">
        <v>44</v>
      </c>
      <c r="B70" s="6" t="s">
        <v>31</v>
      </c>
      <c r="C70" s="5" t="s">
        <v>21</v>
      </c>
      <c r="D70" s="5" t="s">
        <v>22</v>
      </c>
      <c r="E70" s="5">
        <v>5</v>
      </c>
      <c r="F70" s="5">
        <v>5</v>
      </c>
      <c r="G70" s="5">
        <v>0</v>
      </c>
      <c r="H70" s="5">
        <v>0.94</v>
      </c>
      <c r="I70" s="5">
        <v>30</v>
      </c>
      <c r="J70" s="5">
        <v>30</v>
      </c>
      <c r="K70" s="5">
        <v>0</v>
      </c>
      <c r="L70" s="5">
        <v>2</v>
      </c>
      <c r="M70" s="5">
        <v>5</v>
      </c>
      <c r="N70" s="5">
        <v>14</v>
      </c>
      <c r="O70" s="5">
        <v>10</v>
      </c>
      <c r="P70" s="7">
        <f>O70*E70/1000</f>
        <v>0.05</v>
      </c>
      <c r="Q70" s="5">
        <f>MIN(INT(O70/F70)*F70,ROUNDUP(MAX(0,(N70*0.5+(L70/7*30)*0.3+(K70*30)*0.2)*0.8-I70)/F70,0)*F70)</f>
        <v>0</v>
      </c>
      <c r="R70" s="7">
        <f>Q70*E70/1000</f>
        <v>0</v>
      </c>
      <c r="S70" s="5" t="s">
        <v>23</v>
      </c>
    </row>
    <row r="71" ht="23" customHeight="1" spans="1:19" s="4" customFormat="1" x14ac:dyDescent="0.25">
      <c r="A71" s="5" t="s">
        <v>44</v>
      </c>
      <c r="B71" s="6" t="s">
        <v>32</v>
      </c>
      <c r="C71" s="5" t="s">
        <v>21</v>
      </c>
      <c r="D71" s="5" t="s">
        <v>22</v>
      </c>
      <c r="E71" s="5">
        <v>2.5</v>
      </c>
      <c r="F71" s="5">
        <v>1</v>
      </c>
      <c r="G71" s="5">
        <v>0</v>
      </c>
      <c r="H71" s="5">
        <v>0</v>
      </c>
      <c r="I71" s="5">
        <v>103</v>
      </c>
      <c r="J71" s="5">
        <v>103</v>
      </c>
      <c r="K71" s="5">
        <v>3</v>
      </c>
      <c r="L71" s="5">
        <v>27</v>
      </c>
      <c r="M71" s="5">
        <v>62</v>
      </c>
      <c r="N71" s="5">
        <v>77</v>
      </c>
      <c r="O71" s="5">
        <v>14</v>
      </c>
      <c r="P71" s="7">
        <f>O71*E71/1000</f>
        <v>0.035</v>
      </c>
      <c r="Q71" s="5">
        <f>MIN(INT(O71/F71)*F71,ROUNDUP(MAX(0,(N71*0.5+(L71/7*30)*0.3+(K71*30)*0.2)*0.8-I71)/F71,0)*F71)</f>
        <v>0</v>
      </c>
      <c r="R71" s="7">
        <f>Q71*E71/1000</f>
        <v>0</v>
      </c>
      <c r="S71" s="5" t="s">
        <v>23</v>
      </c>
    </row>
    <row r="72" ht="23" customHeight="1" spans="1:19" s="4" customFormat="1" x14ac:dyDescent="0.25">
      <c r="A72" s="5" t="s">
        <v>44</v>
      </c>
      <c r="B72" s="6" t="s">
        <v>33</v>
      </c>
      <c r="C72" s="5" t="s">
        <v>21</v>
      </c>
      <c r="D72" s="5" t="s">
        <v>22</v>
      </c>
      <c r="E72" s="5">
        <v>5</v>
      </c>
      <c r="F72" s="5">
        <v>1</v>
      </c>
      <c r="G72" s="5">
        <v>0</v>
      </c>
      <c r="H72" s="5">
        <v>0</v>
      </c>
      <c r="I72" s="5">
        <v>73</v>
      </c>
      <c r="J72" s="5">
        <v>73</v>
      </c>
      <c r="K72" s="5">
        <v>1</v>
      </c>
      <c r="L72" s="5">
        <v>26</v>
      </c>
      <c r="M72" s="5">
        <v>31</v>
      </c>
      <c r="N72" s="5">
        <v>81</v>
      </c>
      <c r="O72" s="5">
        <v>75</v>
      </c>
      <c r="P72" s="7">
        <f>O72*E72/1000</f>
        <v>0.375</v>
      </c>
      <c r="Q72" s="5">
        <f>MIN(INT(O72/F72)*F72,ROUNDUP(MAX(0,(N72*0.5+(L72/7*30)*0.3+(K72*30)*0.2)*0.8-I72)/F72,0)*F72)</f>
        <v>0</v>
      </c>
      <c r="R72" s="7">
        <f>Q72*E72/1000</f>
        <v>0</v>
      </c>
      <c r="S72" s="5" t="s">
        <v>23</v>
      </c>
    </row>
    <row r="73" ht="23" customHeight="1" spans="1:19" s="8" customFormat="1" x14ac:dyDescent="0.25">
      <c r="A73" s="9" t="s">
        <v>45</v>
      </c>
      <c r="B73" s="9" t="s">
        <v>23</v>
      </c>
      <c r="C73" s="9" t="s">
        <v>23</v>
      </c>
      <c r="D73" s="9" t="s">
        <v>23</v>
      </c>
      <c r="E73" s="9" t="s">
        <v>23</v>
      </c>
      <c r="F73" s="9" t="s">
        <v>23</v>
      </c>
      <c r="G73" s="9" t="s">
        <v>23</v>
      </c>
      <c r="H73" s="9" t="s">
        <v>23</v>
      </c>
      <c r="I73" s="9" t="s">
        <v>23</v>
      </c>
      <c r="J73" s="9" t="s">
        <v>23</v>
      </c>
      <c r="K73" s="9" t="s">
        <v>23</v>
      </c>
      <c r="L73" s="9" t="s">
        <v>23</v>
      </c>
      <c r="M73" s="9" t="s">
        <v>23</v>
      </c>
      <c r="N73" s="9" t="s">
        <v>23</v>
      </c>
      <c r="O73" s="9">
        <f>SUM(O62:O72)</f>
        <v>830</v>
      </c>
      <c r="P73" s="10">
        <f>SUM(P62:P72)</f>
        <v>7.535</v>
      </c>
      <c r="Q73" s="9">
        <f>SUM(Q62:Q72)</f>
        <v>0</v>
      </c>
      <c r="R73" s="10">
        <f>SUM(R62:R72)</f>
        <v>0</v>
      </c>
      <c r="S73" s="9" t="s">
        <v>23</v>
      </c>
    </row>
    <row r="74" ht="23" customHeight="1" spans="1:19" s="4" customFormat="1" x14ac:dyDescent="0.25">
      <c r="A74" s="5" t="s">
        <v>46</v>
      </c>
      <c r="B74" s="6" t="s">
        <v>20</v>
      </c>
      <c r="C74" s="5" t="s">
        <v>21</v>
      </c>
      <c r="D74" s="5" t="s">
        <v>22</v>
      </c>
      <c r="E74" s="5">
        <v>2.5</v>
      </c>
      <c r="F74" s="5">
        <v>1</v>
      </c>
      <c r="G74" s="5">
        <v>0</v>
      </c>
      <c r="H74" s="5">
        <v>0</v>
      </c>
      <c r="I74" s="5">
        <v>56</v>
      </c>
      <c r="J74" s="5">
        <v>56</v>
      </c>
      <c r="K74" s="5">
        <v>1</v>
      </c>
      <c r="L74" s="5">
        <v>12</v>
      </c>
      <c r="M74" s="5">
        <v>14</v>
      </c>
      <c r="N74" s="5">
        <v>63</v>
      </c>
      <c r="O74" s="5">
        <v>67</v>
      </c>
      <c r="P74" s="7">
        <f>O74*E74/1000</f>
        <v>0.1675</v>
      </c>
      <c r="Q74" s="5">
        <f>MIN(INT(O74/F74)*F74,ROUNDUP(MAX(0,(N74*0.5+(L74/7*30)*0.3+(K74*30)*0.2)*0.8-I74)/F74,0)*F74)</f>
        <v>0</v>
      </c>
      <c r="R74" s="7">
        <f>Q74*E74/1000</f>
        <v>0</v>
      </c>
      <c r="S74" s="5" t="s">
        <v>23</v>
      </c>
    </row>
    <row r="75" ht="23" customHeight="1" spans="1:19" s="4" customFormat="1" x14ac:dyDescent="0.25">
      <c r="A75" s="5" t="s">
        <v>46</v>
      </c>
      <c r="B75" s="6" t="s">
        <v>24</v>
      </c>
      <c r="C75" s="5" t="s">
        <v>21</v>
      </c>
      <c r="D75" s="5" t="s">
        <v>22</v>
      </c>
      <c r="E75" s="5">
        <v>10</v>
      </c>
      <c r="F75" s="5">
        <v>1</v>
      </c>
      <c r="G75" s="5">
        <v>0</v>
      </c>
      <c r="H75" s="5">
        <v>0</v>
      </c>
      <c r="I75" s="5">
        <v>39</v>
      </c>
      <c r="J75" s="5">
        <v>39</v>
      </c>
      <c r="K75" s="5">
        <v>1</v>
      </c>
      <c r="L75" s="5">
        <v>9</v>
      </c>
      <c r="M75" s="5">
        <v>18</v>
      </c>
      <c r="N75" s="5">
        <v>36</v>
      </c>
      <c r="O75" s="5">
        <v>8</v>
      </c>
      <c r="P75" s="7">
        <f>O75*E75/1000</f>
        <v>0.08</v>
      </c>
      <c r="Q75" s="5">
        <f>MIN(INT(O75/F75)*F75,ROUNDUP(MAX(0,(N75*0.5+(L75/7*30)*0.3+(K75*30)*0.2)*0.8-I75)/F75,0)*F75)</f>
        <v>0</v>
      </c>
      <c r="R75" s="7">
        <f>Q75*E75/1000</f>
        <v>0</v>
      </c>
      <c r="S75" s="5" t="s">
        <v>23</v>
      </c>
    </row>
    <row r="76" ht="23" customHeight="1" spans="1:19" s="4" customFormat="1" x14ac:dyDescent="0.25">
      <c r="A76" s="5" t="s">
        <v>46</v>
      </c>
      <c r="B76" s="6" t="s">
        <v>25</v>
      </c>
      <c r="C76" s="5" t="s">
        <v>21</v>
      </c>
      <c r="D76" s="5" t="s">
        <v>22</v>
      </c>
      <c r="E76" s="5">
        <v>5</v>
      </c>
      <c r="F76" s="5">
        <v>1</v>
      </c>
      <c r="G76" s="5">
        <v>0</v>
      </c>
      <c r="H76" s="5">
        <v>5.73</v>
      </c>
      <c r="I76" s="5">
        <v>87</v>
      </c>
      <c r="J76" s="5">
        <v>85</v>
      </c>
      <c r="K76" s="5">
        <v>1</v>
      </c>
      <c r="L76" s="5">
        <v>12</v>
      </c>
      <c r="M76" s="5">
        <v>22</v>
      </c>
      <c r="N76" s="5">
        <v>44</v>
      </c>
      <c r="O76" s="5">
        <v>28</v>
      </c>
      <c r="P76" s="7">
        <f>O76*E76/1000</f>
        <v>0.14</v>
      </c>
      <c r="Q76" s="5">
        <f>MIN(INT(O76/F76)*F76,ROUNDUP(MAX(0,(N76*0.5+(L76/7*30)*0.3+(K76*30)*0.2)*0.8-I76)/F76,0)*F76)</f>
        <v>0</v>
      </c>
      <c r="R76" s="7">
        <f>Q76*E76/1000</f>
        <v>0</v>
      </c>
      <c r="S76" s="5" t="s">
        <v>23</v>
      </c>
    </row>
    <row r="77" ht="23" customHeight="1" spans="1:19" s="4" customFormat="1" x14ac:dyDescent="0.25">
      <c r="A77" s="5" t="s">
        <v>46</v>
      </c>
      <c r="B77" s="6" t="s">
        <v>26</v>
      </c>
      <c r="C77" s="5" t="s">
        <v>21</v>
      </c>
      <c r="D77" s="5" t="s">
        <v>22</v>
      </c>
      <c r="E77" s="5">
        <v>10</v>
      </c>
      <c r="F77" s="5">
        <v>1</v>
      </c>
      <c r="G77" s="5">
        <v>0</v>
      </c>
      <c r="H77" s="5">
        <v>0</v>
      </c>
      <c r="I77" s="5">
        <v>13</v>
      </c>
      <c r="J77" s="5">
        <v>13</v>
      </c>
      <c r="K77" s="5">
        <v>1</v>
      </c>
      <c r="L77" s="5">
        <v>26</v>
      </c>
      <c r="M77" s="5">
        <v>33</v>
      </c>
      <c r="N77" s="5">
        <v>47</v>
      </c>
      <c r="O77" s="5">
        <v>57</v>
      </c>
      <c r="P77" s="7">
        <f>O77*E77/1000</f>
        <v>0.57</v>
      </c>
      <c r="Q77" s="5">
        <f>MIN(INT(O77/F77)*F77,ROUNDUP(MAX(0,(N77*0.5+(L77/7*30)*0.3+(K77*30)*0.2)*0.8-I77)/F77,0)*F77)</f>
        <v>38</v>
      </c>
      <c r="R77" s="7">
        <f>Q77*E77/1000</f>
        <v>0.38</v>
      </c>
      <c r="S77" s="5" t="s">
        <v>23</v>
      </c>
    </row>
    <row r="78" ht="23" customHeight="1" spans="1:19" s="4" customFormat="1" x14ac:dyDescent="0.25">
      <c r="A78" s="5" t="s">
        <v>46</v>
      </c>
      <c r="B78" s="6" t="s">
        <v>27</v>
      </c>
      <c r="C78" s="5" t="s">
        <v>21</v>
      </c>
      <c r="D78" s="5" t="s">
        <v>22</v>
      </c>
      <c r="E78" s="5">
        <v>10</v>
      </c>
      <c r="F78" s="5">
        <v>1</v>
      </c>
      <c r="G78" s="5">
        <v>0</v>
      </c>
      <c r="H78" s="5">
        <v>0</v>
      </c>
      <c r="I78" s="5">
        <v>51</v>
      </c>
      <c r="J78" s="5">
        <v>51</v>
      </c>
      <c r="K78" s="5">
        <v>3</v>
      </c>
      <c r="L78" s="5">
        <v>11</v>
      </c>
      <c r="M78" s="5">
        <v>20</v>
      </c>
      <c r="N78" s="5">
        <v>45</v>
      </c>
      <c r="O78" s="5">
        <v>29</v>
      </c>
      <c r="P78" s="7">
        <f>O78*E78/1000</f>
        <v>0.29</v>
      </c>
      <c r="Q78" s="5">
        <f>MIN(INT(O78/F78)*F78,ROUNDUP(MAX(0,(N78*0.5+(L78/7*30)*0.3+(K78*30)*0.2)*0.8-I78)/F78,0)*F78)</f>
        <v>0</v>
      </c>
      <c r="R78" s="7">
        <f>Q78*E78/1000</f>
        <v>0</v>
      </c>
      <c r="S78" s="5" t="s">
        <v>23</v>
      </c>
    </row>
    <row r="79" ht="23" customHeight="1" spans="1:19" s="4" customFormat="1" x14ac:dyDescent="0.25">
      <c r="A79" s="5" t="s">
        <v>46</v>
      </c>
      <c r="B79" s="6" t="s">
        <v>28</v>
      </c>
      <c r="C79" s="5" t="s">
        <v>21</v>
      </c>
      <c r="D79" s="5" t="s">
        <v>22</v>
      </c>
      <c r="E79" s="5">
        <v>5</v>
      </c>
      <c r="F79" s="5">
        <v>1</v>
      </c>
      <c r="G79" s="5">
        <v>0</v>
      </c>
      <c r="H79" s="5">
        <v>0</v>
      </c>
      <c r="I79" s="5">
        <v>105</v>
      </c>
      <c r="J79" s="5">
        <v>104</v>
      </c>
      <c r="K79" s="5">
        <v>11</v>
      </c>
      <c r="L79" s="5">
        <v>90</v>
      </c>
      <c r="M79" s="5">
        <v>216</v>
      </c>
      <c r="N79" s="5">
        <v>366</v>
      </c>
      <c r="O79" s="5">
        <v>394</v>
      </c>
      <c r="P79" s="7">
        <f>O79*E79/1000</f>
        <v>1.97</v>
      </c>
      <c r="Q79" s="5">
        <f>MIN(INT(O79/F79)*F79,ROUNDUP(MAX(0,(N79*0.5+(L79/7*30)*0.3+(K79*30)*0.2)*0.8-I79)/F79,0)*F79)</f>
        <v>187</v>
      </c>
      <c r="R79" s="7">
        <f>Q79*E79/1000</f>
        <v>0.935</v>
      </c>
      <c r="S79" s="5" t="s">
        <v>23</v>
      </c>
    </row>
    <row r="80" ht="23" customHeight="1" spans="1:19" s="4" customFormat="1" x14ac:dyDescent="0.25">
      <c r="A80" s="5" t="s">
        <v>46</v>
      </c>
      <c r="B80" s="6" t="s">
        <v>29</v>
      </c>
      <c r="C80" s="5" t="s">
        <v>21</v>
      </c>
      <c r="D80" s="5" t="s">
        <v>22</v>
      </c>
      <c r="E80" s="5">
        <v>25</v>
      </c>
      <c r="F80" s="5">
        <v>1</v>
      </c>
      <c r="G80" s="5">
        <v>0</v>
      </c>
      <c r="H80" s="5">
        <v>0</v>
      </c>
      <c r="I80" s="5">
        <v>56</v>
      </c>
      <c r="J80" s="5">
        <v>53</v>
      </c>
      <c r="K80" s="5">
        <v>1</v>
      </c>
      <c r="L80" s="5">
        <v>27</v>
      </c>
      <c r="M80" s="5">
        <v>48</v>
      </c>
      <c r="N80" s="5">
        <v>66</v>
      </c>
      <c r="O80" s="5">
        <v>213</v>
      </c>
      <c r="P80" s="7">
        <f>O80*E80/1000</f>
        <v>5.325</v>
      </c>
      <c r="Q80" s="5">
        <f>MIN(INT(O80/F80)*F80,ROUNDUP(MAX(0,(N80*0.5+(L80/7*30)*0.3+(K80*30)*0.2)*0.8-I80)/F80,0)*F80)</f>
        <v>3</v>
      </c>
      <c r="R80" s="7">
        <f>Q80*E80/1000</f>
        <v>0.075</v>
      </c>
      <c r="S80" s="5" t="s">
        <v>23</v>
      </c>
    </row>
    <row r="81" ht="23" customHeight="1" spans="1:19" s="4" customFormat="1" x14ac:dyDescent="0.25">
      <c r="A81" s="5" t="s">
        <v>46</v>
      </c>
      <c r="B81" s="6" t="s">
        <v>30</v>
      </c>
      <c r="C81" s="5" t="s">
        <v>21</v>
      </c>
      <c r="D81" s="5" t="s">
        <v>22</v>
      </c>
      <c r="E81" s="5">
        <v>10</v>
      </c>
      <c r="F81" s="5">
        <v>1</v>
      </c>
      <c r="G81" s="5">
        <v>0</v>
      </c>
      <c r="H81" s="5">
        <v>0</v>
      </c>
      <c r="I81" s="5">
        <v>40</v>
      </c>
      <c r="J81" s="5">
        <v>37</v>
      </c>
      <c r="K81" s="5">
        <v>1</v>
      </c>
      <c r="L81" s="5">
        <v>15</v>
      </c>
      <c r="M81" s="5">
        <v>17</v>
      </c>
      <c r="N81" s="5">
        <v>32</v>
      </c>
      <c r="O81" s="5">
        <v>12</v>
      </c>
      <c r="P81" s="7">
        <f>O81*E81/1000</f>
        <v>0.12</v>
      </c>
      <c r="Q81" s="5">
        <f>MIN(INT(O81/F81)*F81,ROUNDUP(MAX(0,(N81*0.5+(L81/7*30)*0.3+(K81*30)*0.2)*0.8-I81)/F81,0)*F81)</f>
        <v>0</v>
      </c>
      <c r="R81" s="7">
        <f>Q81*E81/1000</f>
        <v>0</v>
      </c>
      <c r="S81" s="5" t="s">
        <v>23</v>
      </c>
    </row>
    <row r="82" ht="23" customHeight="1" spans="1:19" s="4" customFormat="1" x14ac:dyDescent="0.25">
      <c r="A82" s="5" t="s">
        <v>46</v>
      </c>
      <c r="B82" s="6" t="s">
        <v>31</v>
      </c>
      <c r="C82" s="5" t="s">
        <v>21</v>
      </c>
      <c r="D82" s="5" t="s">
        <v>22</v>
      </c>
      <c r="E82" s="5">
        <v>5</v>
      </c>
      <c r="F82" s="5">
        <v>5</v>
      </c>
      <c r="G82" s="5">
        <v>0</v>
      </c>
      <c r="H82" s="5">
        <v>0</v>
      </c>
      <c r="I82" s="5">
        <v>29</v>
      </c>
      <c r="J82" s="5">
        <v>28</v>
      </c>
      <c r="K82" s="5">
        <v>0</v>
      </c>
      <c r="L82" s="5">
        <v>10</v>
      </c>
      <c r="M82" s="5">
        <v>32</v>
      </c>
      <c r="N82" s="5">
        <v>47</v>
      </c>
      <c r="O82" s="5">
        <v>20</v>
      </c>
      <c r="P82" s="7">
        <f>O82*E82/1000</f>
        <v>0.1</v>
      </c>
      <c r="Q82" s="5">
        <f>MIN(INT(O82/F82)*F82,ROUNDUP(MAX(0,(N82*0.5+(L82/7*30)*0.3+(K82*30)*0.2)*0.8-I82)/F82,0)*F82)</f>
        <v>5</v>
      </c>
      <c r="R82" s="7">
        <f>Q82*E82/1000</f>
        <v>0.025</v>
      </c>
      <c r="S82" s="5" t="s">
        <v>23</v>
      </c>
    </row>
    <row r="83" ht="23" customHeight="1" spans="1:19" s="4" customFormat="1" x14ac:dyDescent="0.25">
      <c r="A83" s="5" t="s">
        <v>46</v>
      </c>
      <c r="B83" s="6" t="s">
        <v>32</v>
      </c>
      <c r="C83" s="5" t="s">
        <v>21</v>
      </c>
      <c r="D83" s="5" t="s">
        <v>22</v>
      </c>
      <c r="E83" s="5">
        <v>2.5</v>
      </c>
      <c r="F83" s="5">
        <v>1</v>
      </c>
      <c r="G83" s="5">
        <v>0</v>
      </c>
      <c r="H83" s="5">
        <v>0</v>
      </c>
      <c r="I83" s="5">
        <v>97</v>
      </c>
      <c r="J83" s="5">
        <v>97</v>
      </c>
      <c r="K83" s="5">
        <v>0</v>
      </c>
      <c r="L83" s="5">
        <v>3</v>
      </c>
      <c r="M83" s="5">
        <v>3</v>
      </c>
      <c r="N83" s="5">
        <v>52</v>
      </c>
      <c r="O83" s="5">
        <v>0</v>
      </c>
      <c r="P83" s="7">
        <f>O83*E83/1000</f>
        <v>0</v>
      </c>
      <c r="Q83" s="5">
        <f>MIN(INT(O83/F83)*F83,ROUNDUP(MAX(0,(N83*0.5+(L83/7*30)*0.3+(K83*30)*0.2)*0.8-I83)/F83,0)*F83)</f>
        <v>0</v>
      </c>
      <c r="R83" s="7">
        <f>Q83*E83/1000</f>
        <v>0</v>
      </c>
      <c r="S83" s="5" t="s">
        <v>23</v>
      </c>
    </row>
    <row r="84" ht="23" customHeight="1" spans="1:19" s="4" customFormat="1" x14ac:dyDescent="0.25">
      <c r="A84" s="5" t="s">
        <v>46</v>
      </c>
      <c r="B84" s="6" t="s">
        <v>33</v>
      </c>
      <c r="C84" s="5" t="s">
        <v>21</v>
      </c>
      <c r="D84" s="5" t="s">
        <v>22</v>
      </c>
      <c r="E84" s="5">
        <v>5</v>
      </c>
      <c r="F84" s="5">
        <v>1</v>
      </c>
      <c r="G84" s="5">
        <v>0</v>
      </c>
      <c r="H84" s="5">
        <v>0</v>
      </c>
      <c r="I84" s="5">
        <v>85</v>
      </c>
      <c r="J84" s="5">
        <v>85</v>
      </c>
      <c r="K84" s="5">
        <v>1</v>
      </c>
      <c r="L84" s="5">
        <v>11</v>
      </c>
      <c r="M84" s="5">
        <v>15</v>
      </c>
      <c r="N84" s="5">
        <v>69</v>
      </c>
      <c r="O84" s="5">
        <v>74</v>
      </c>
      <c r="P84" s="7">
        <f>O84*E84/1000</f>
        <v>0.37</v>
      </c>
      <c r="Q84" s="5">
        <f>MIN(INT(O84/F84)*F84,ROUNDUP(MAX(0,(N84*0.5+(L84/7*30)*0.3+(K84*30)*0.2)*0.8-I84)/F84,0)*F84)</f>
        <v>0</v>
      </c>
      <c r="R84" s="7">
        <f>Q84*E84/1000</f>
        <v>0</v>
      </c>
      <c r="S84" s="5" t="s">
        <v>23</v>
      </c>
    </row>
    <row r="85" ht="23" customHeight="1" spans="1:19" s="8" customFormat="1" x14ac:dyDescent="0.25">
      <c r="A85" s="9" t="s">
        <v>47</v>
      </c>
      <c r="B85" s="9" t="s">
        <v>23</v>
      </c>
      <c r="C85" s="9" t="s">
        <v>23</v>
      </c>
      <c r="D85" s="9" t="s">
        <v>23</v>
      </c>
      <c r="E85" s="9" t="s">
        <v>23</v>
      </c>
      <c r="F85" s="9" t="s">
        <v>23</v>
      </c>
      <c r="G85" s="9" t="s">
        <v>23</v>
      </c>
      <c r="H85" s="9" t="s">
        <v>23</v>
      </c>
      <c r="I85" s="9" t="s">
        <v>23</v>
      </c>
      <c r="J85" s="9" t="s">
        <v>23</v>
      </c>
      <c r="K85" s="9" t="s">
        <v>23</v>
      </c>
      <c r="L85" s="9" t="s">
        <v>23</v>
      </c>
      <c r="M85" s="9" t="s">
        <v>23</v>
      </c>
      <c r="N85" s="9" t="s">
        <v>23</v>
      </c>
      <c r="O85" s="9">
        <f>SUM(O74:O84)</f>
        <v>902</v>
      </c>
      <c r="P85" s="10">
        <f>SUM(P74:P84)</f>
        <v>9.132499999999999</v>
      </c>
      <c r="Q85" s="9">
        <f>SUM(Q74:Q84)</f>
        <v>233</v>
      </c>
      <c r="R85" s="10">
        <f>SUM(R74:R84)</f>
        <v>1.4149999999999998</v>
      </c>
      <c r="S85" s="9" t="s">
        <v>23</v>
      </c>
    </row>
    <row r="86" ht="23" customHeight="1" spans="1:19" s="4" customFormat="1" x14ac:dyDescent="0.25">
      <c r="A86" s="5" t="s">
        <v>48</v>
      </c>
      <c r="B86" s="6" t="s">
        <v>20</v>
      </c>
      <c r="C86" s="5" t="s">
        <v>21</v>
      </c>
      <c r="D86" s="5" t="s">
        <v>22</v>
      </c>
      <c r="E86" s="5">
        <v>2.5</v>
      </c>
      <c r="F86" s="5">
        <v>1</v>
      </c>
      <c r="G86" s="5">
        <v>0</v>
      </c>
      <c r="H86" s="5">
        <v>0</v>
      </c>
      <c r="I86" s="5">
        <v>69</v>
      </c>
      <c r="J86" s="5">
        <v>69</v>
      </c>
      <c r="K86" s="5">
        <v>1</v>
      </c>
      <c r="L86" s="5">
        <v>16</v>
      </c>
      <c r="M86" s="5">
        <v>30</v>
      </c>
      <c r="N86" s="5">
        <v>80</v>
      </c>
      <c r="O86" s="5">
        <v>129</v>
      </c>
      <c r="P86" s="7">
        <f>O86*E86/1000</f>
        <v>0.3225</v>
      </c>
      <c r="Q86" s="5">
        <f>MIN(INT(O86/F86)*F86,ROUNDUP(MAX(0,(N86*0.5+(L86/7*30)*0.3+(K86*30)*0.2)*0.8-I86)/F86,0)*F86)</f>
        <v>0</v>
      </c>
      <c r="R86" s="7">
        <f>Q86*E86/1000</f>
        <v>0</v>
      </c>
      <c r="S86" s="5" t="s">
        <v>23</v>
      </c>
    </row>
    <row r="87" ht="23" customHeight="1" spans="1:19" s="4" customFormat="1" x14ac:dyDescent="0.25">
      <c r="A87" s="5" t="s">
        <v>48</v>
      </c>
      <c r="B87" s="6" t="s">
        <v>24</v>
      </c>
      <c r="C87" s="5" t="s">
        <v>21</v>
      </c>
      <c r="D87" s="5" t="s">
        <v>38</v>
      </c>
      <c r="E87" s="5">
        <v>10</v>
      </c>
      <c r="F87" s="5">
        <v>1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1</v>
      </c>
      <c r="M87" s="5">
        <v>20</v>
      </c>
      <c r="N87" s="5">
        <v>61</v>
      </c>
      <c r="O87" s="5">
        <v>0</v>
      </c>
      <c r="P87" s="7">
        <f>O87*E87/1000</f>
        <v>0</v>
      </c>
      <c r="Q87" s="5">
        <f>MIN(INT(O87/F87)*F87,ROUNDUP(MAX(0,(N87*0.5+(L87/7*30)*0.3+(K87*30)*0.2)*0.8-I87)/F87,0)*F87)</f>
        <v>0</v>
      </c>
      <c r="R87" s="7">
        <f>Q87*E87/1000</f>
        <v>0</v>
      </c>
      <c r="S87" s="5" t="s">
        <v>23</v>
      </c>
    </row>
    <row r="88" ht="23" customHeight="1" spans="1:19" s="4" customFormat="1" x14ac:dyDescent="0.25">
      <c r="A88" s="5" t="s">
        <v>48</v>
      </c>
      <c r="B88" s="6" t="s">
        <v>25</v>
      </c>
      <c r="C88" s="5" t="s">
        <v>21</v>
      </c>
      <c r="D88" s="5" t="s">
        <v>22</v>
      </c>
      <c r="E88" s="5">
        <v>5</v>
      </c>
      <c r="F88" s="5">
        <v>1</v>
      </c>
      <c r="G88" s="5">
        <v>0</v>
      </c>
      <c r="H88" s="5">
        <v>0</v>
      </c>
      <c r="I88" s="5">
        <v>78</v>
      </c>
      <c r="J88" s="5">
        <v>74</v>
      </c>
      <c r="K88" s="5">
        <v>11</v>
      </c>
      <c r="L88" s="5">
        <v>33</v>
      </c>
      <c r="M88" s="5">
        <v>60</v>
      </c>
      <c r="N88" s="5">
        <v>154</v>
      </c>
      <c r="O88" s="5">
        <v>310</v>
      </c>
      <c r="P88" s="7">
        <f>O88*E88/1000</f>
        <v>1.55</v>
      </c>
      <c r="Q88" s="5">
        <f>MIN(INT(O88/F88)*F88,ROUNDUP(MAX(0,(N88*0.5+(L88/7*30)*0.3+(K88*30)*0.2)*0.8-I88)/F88,0)*F88)</f>
        <v>71</v>
      </c>
      <c r="R88" s="7">
        <f>Q88*E88/1000</f>
        <v>0.355</v>
      </c>
      <c r="S88" s="5" t="s">
        <v>23</v>
      </c>
    </row>
    <row r="89" ht="23" customHeight="1" spans="1:19" s="4" customFormat="1" x14ac:dyDescent="0.25">
      <c r="A89" s="5" t="s">
        <v>48</v>
      </c>
      <c r="B89" s="6" t="s">
        <v>26</v>
      </c>
      <c r="C89" s="5" t="s">
        <v>21</v>
      </c>
      <c r="D89" s="5" t="s">
        <v>38</v>
      </c>
      <c r="E89" s="5">
        <v>10</v>
      </c>
      <c r="F89" s="5">
        <v>1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6</v>
      </c>
      <c r="N89" s="5">
        <v>28</v>
      </c>
      <c r="O89" s="5">
        <v>20</v>
      </c>
      <c r="P89" s="7">
        <f>O89*E89/1000</f>
        <v>0.2</v>
      </c>
      <c r="Q89" s="5">
        <f>MIN(INT(O89/F89)*F89,ROUNDUP(MAX(0,(N89*0.5+(L89/7*30)*0.3+(K89*30)*0.2)*0.8-I89)/F89,0)*F89)</f>
        <v>12</v>
      </c>
      <c r="R89" s="7">
        <f>Q89*E89/1000</f>
        <v>0.12</v>
      </c>
      <c r="S89" s="5" t="s">
        <v>23</v>
      </c>
    </row>
    <row r="90" ht="23" customHeight="1" spans="1:19" s="4" customFormat="1" x14ac:dyDescent="0.25">
      <c r="A90" s="5" t="s">
        <v>48</v>
      </c>
      <c r="B90" s="6" t="s">
        <v>27</v>
      </c>
      <c r="C90" s="5" t="s">
        <v>21</v>
      </c>
      <c r="D90" s="5" t="s">
        <v>22</v>
      </c>
      <c r="E90" s="5">
        <v>10</v>
      </c>
      <c r="F90" s="5">
        <v>1</v>
      </c>
      <c r="G90" s="5">
        <v>0</v>
      </c>
      <c r="H90" s="5">
        <v>0</v>
      </c>
      <c r="I90" s="5">
        <v>26</v>
      </c>
      <c r="J90" s="5">
        <v>26</v>
      </c>
      <c r="K90" s="5">
        <v>3</v>
      </c>
      <c r="L90" s="5">
        <v>21</v>
      </c>
      <c r="M90" s="5">
        <v>45</v>
      </c>
      <c r="N90" s="5">
        <v>93</v>
      </c>
      <c r="O90" s="5">
        <v>34</v>
      </c>
      <c r="P90" s="7">
        <f>O90*E90/1000</f>
        <v>0.34</v>
      </c>
      <c r="Q90" s="5">
        <f>MIN(INT(O90/F90)*F90,ROUNDUP(MAX(0,(N90*0.5+(L90/7*30)*0.3+(K90*30)*0.2)*0.8-I90)/F90,0)*F90)</f>
        <v>34</v>
      </c>
      <c r="R90" s="7">
        <f>Q90*E90/1000</f>
        <v>0.34</v>
      </c>
      <c r="S90" s="5" t="s">
        <v>23</v>
      </c>
    </row>
    <row r="91" ht="23" customHeight="1" spans="1:19" s="4" customFormat="1" x14ac:dyDescent="0.25">
      <c r="A91" s="5" t="s">
        <v>48</v>
      </c>
      <c r="B91" s="6" t="s">
        <v>28</v>
      </c>
      <c r="C91" s="5" t="s">
        <v>21</v>
      </c>
      <c r="D91" s="5" t="s">
        <v>22</v>
      </c>
      <c r="E91" s="5">
        <v>5</v>
      </c>
      <c r="F91" s="5">
        <v>1</v>
      </c>
      <c r="G91" s="5">
        <v>0</v>
      </c>
      <c r="H91" s="5">
        <v>0</v>
      </c>
      <c r="I91" s="5">
        <v>295</v>
      </c>
      <c r="J91" s="5">
        <v>293</v>
      </c>
      <c r="K91" s="5">
        <v>17</v>
      </c>
      <c r="L91" s="5">
        <v>132</v>
      </c>
      <c r="M91" s="5">
        <v>252</v>
      </c>
      <c r="N91" s="5">
        <v>403</v>
      </c>
      <c r="O91" s="5">
        <v>0</v>
      </c>
      <c r="P91" s="7">
        <f>O91*E91/1000</f>
        <v>0</v>
      </c>
      <c r="Q91" s="5">
        <f>MIN(INT(O91/F91)*F91,ROUNDUP(MAX(0,(N91*0.5+(L91/7*30)*0.3+(K91*30)*0.2)*0.8-I91)/F91,0)*F91)</f>
        <v>0</v>
      </c>
      <c r="R91" s="7">
        <f>Q91*E91/1000</f>
        <v>0</v>
      </c>
      <c r="S91" s="5" t="s">
        <v>23</v>
      </c>
    </row>
    <row r="92" ht="23" customHeight="1" spans="1:19" s="4" customFormat="1" x14ac:dyDescent="0.25">
      <c r="A92" s="5" t="s">
        <v>48</v>
      </c>
      <c r="B92" s="6" t="s">
        <v>29</v>
      </c>
      <c r="C92" s="5" t="s">
        <v>21</v>
      </c>
      <c r="D92" s="5" t="s">
        <v>22</v>
      </c>
      <c r="E92" s="5">
        <v>25</v>
      </c>
      <c r="F92" s="5">
        <v>1</v>
      </c>
      <c r="G92" s="5">
        <v>0</v>
      </c>
      <c r="H92" s="5">
        <v>0</v>
      </c>
      <c r="I92" s="5">
        <v>63</v>
      </c>
      <c r="J92" s="5">
        <v>63</v>
      </c>
      <c r="K92" s="5">
        <v>0</v>
      </c>
      <c r="L92" s="5">
        <v>10</v>
      </c>
      <c r="M92" s="5">
        <v>22</v>
      </c>
      <c r="N92" s="5">
        <v>46</v>
      </c>
      <c r="O92" s="5">
        <v>10</v>
      </c>
      <c r="P92" s="7">
        <f>O92*E92/1000</f>
        <v>0.25</v>
      </c>
      <c r="Q92" s="5">
        <f>MIN(INT(O92/F92)*F92,ROUNDUP(MAX(0,(N92*0.5+(L92/7*30)*0.3+(K92*30)*0.2)*0.8-I92)/F92,0)*F92)</f>
        <v>0</v>
      </c>
      <c r="R92" s="7">
        <f>Q92*E92/1000</f>
        <v>0</v>
      </c>
      <c r="S92" s="5" t="s">
        <v>23</v>
      </c>
    </row>
    <row r="93" ht="23" customHeight="1" spans="1:19" s="4" customFormat="1" x14ac:dyDescent="0.25">
      <c r="A93" s="5" t="s">
        <v>48</v>
      </c>
      <c r="B93" s="6" t="s">
        <v>30</v>
      </c>
      <c r="C93" s="5" t="s">
        <v>21</v>
      </c>
      <c r="D93" s="5" t="s">
        <v>22</v>
      </c>
      <c r="E93" s="5">
        <v>10</v>
      </c>
      <c r="F93" s="5">
        <v>1</v>
      </c>
      <c r="G93" s="5">
        <v>0</v>
      </c>
      <c r="H93" s="5">
        <v>59.11</v>
      </c>
      <c r="I93" s="5">
        <v>152</v>
      </c>
      <c r="J93" s="5">
        <v>0</v>
      </c>
      <c r="K93" s="5">
        <v>0</v>
      </c>
      <c r="L93" s="5">
        <v>5</v>
      </c>
      <c r="M93" s="5">
        <v>19</v>
      </c>
      <c r="N93" s="5">
        <v>60</v>
      </c>
      <c r="O93" s="5">
        <v>99</v>
      </c>
      <c r="P93" s="7">
        <f>O93*E93/1000</f>
        <v>0.99</v>
      </c>
      <c r="Q93" s="5">
        <f>MIN(INT(O93/F93)*F93,ROUNDUP(MAX(0,(N93*0.5+(L93/7*30)*0.3+(K93*30)*0.2)*0.8-I93)/F93,0)*F93)</f>
        <v>0</v>
      </c>
      <c r="R93" s="7">
        <f>Q93*E93/1000</f>
        <v>0</v>
      </c>
      <c r="S93" s="5" t="s">
        <v>23</v>
      </c>
    </row>
    <row r="94" ht="23" customHeight="1" spans="1:19" s="4" customFormat="1" x14ac:dyDescent="0.25">
      <c r="A94" s="5" t="s">
        <v>48</v>
      </c>
      <c r="B94" s="6" t="s">
        <v>31</v>
      </c>
      <c r="C94" s="5" t="s">
        <v>21</v>
      </c>
      <c r="D94" s="5" t="s">
        <v>22</v>
      </c>
      <c r="E94" s="5">
        <v>5</v>
      </c>
      <c r="F94" s="5">
        <v>5</v>
      </c>
      <c r="G94" s="5">
        <v>0</v>
      </c>
      <c r="H94" s="5">
        <v>0</v>
      </c>
      <c r="I94" s="5">
        <v>35</v>
      </c>
      <c r="J94" s="5">
        <v>33</v>
      </c>
      <c r="K94" s="5">
        <v>3</v>
      </c>
      <c r="L94" s="5">
        <v>7</v>
      </c>
      <c r="M94" s="5">
        <v>12</v>
      </c>
      <c r="N94" s="5">
        <v>40</v>
      </c>
      <c r="O94" s="5">
        <v>35</v>
      </c>
      <c r="P94" s="7">
        <f>O94*E94/1000</f>
        <v>0.175</v>
      </c>
      <c r="Q94" s="5">
        <f>MIN(INT(O94/F94)*F94,ROUNDUP(MAX(0,(N94*0.5+(L94/7*30)*0.3+(K94*30)*0.2)*0.8-I94)/F94,0)*F94)</f>
        <v>5</v>
      </c>
      <c r="R94" s="7">
        <f>Q94*E94/1000</f>
        <v>0.025</v>
      </c>
      <c r="S94" s="5" t="s">
        <v>23</v>
      </c>
    </row>
    <row r="95" ht="23" customHeight="1" spans="1:19" s="4" customFormat="1" x14ac:dyDescent="0.25">
      <c r="A95" s="5" t="s">
        <v>48</v>
      </c>
      <c r="B95" s="6" t="s">
        <v>32</v>
      </c>
      <c r="C95" s="5" t="s">
        <v>21</v>
      </c>
      <c r="D95" s="5" t="s">
        <v>22</v>
      </c>
      <c r="E95" s="5">
        <v>2.5</v>
      </c>
      <c r="F95" s="5">
        <v>1</v>
      </c>
      <c r="G95" s="5">
        <v>0</v>
      </c>
      <c r="H95" s="5">
        <v>0</v>
      </c>
      <c r="I95" s="5">
        <v>39</v>
      </c>
      <c r="J95" s="5">
        <v>39</v>
      </c>
      <c r="K95" s="5">
        <v>0</v>
      </c>
      <c r="L95" s="5">
        <v>2</v>
      </c>
      <c r="M95" s="5">
        <v>31</v>
      </c>
      <c r="N95" s="5">
        <v>51</v>
      </c>
      <c r="O95" s="5">
        <v>0</v>
      </c>
      <c r="P95" s="7">
        <f>O95*E95/1000</f>
        <v>0</v>
      </c>
      <c r="Q95" s="5">
        <f>MIN(INT(O95/F95)*F95,ROUNDUP(MAX(0,(N95*0.5+(L95/7*30)*0.3+(K95*30)*0.2)*0.8-I95)/F95,0)*F95)</f>
        <v>0</v>
      </c>
      <c r="R95" s="7">
        <f>Q95*E95/1000</f>
        <v>0</v>
      </c>
      <c r="S95" s="5" t="s">
        <v>23</v>
      </c>
    </row>
    <row r="96" ht="23" customHeight="1" spans="1:19" s="4" customFormat="1" x14ac:dyDescent="0.25">
      <c r="A96" s="5" t="s">
        <v>48</v>
      </c>
      <c r="B96" s="6" t="s">
        <v>33</v>
      </c>
      <c r="C96" s="5" t="s">
        <v>21</v>
      </c>
      <c r="D96" s="5" t="s">
        <v>22</v>
      </c>
      <c r="E96" s="5">
        <v>5</v>
      </c>
      <c r="F96" s="5">
        <v>1</v>
      </c>
      <c r="G96" s="5">
        <v>0</v>
      </c>
      <c r="H96" s="5">
        <v>0</v>
      </c>
      <c r="I96" s="5">
        <v>104</v>
      </c>
      <c r="J96" s="5">
        <v>104</v>
      </c>
      <c r="K96" s="5">
        <v>9</v>
      </c>
      <c r="L96" s="5">
        <v>26</v>
      </c>
      <c r="M96" s="5">
        <v>47</v>
      </c>
      <c r="N96" s="5">
        <v>79</v>
      </c>
      <c r="O96" s="5">
        <v>54</v>
      </c>
      <c r="P96" s="7">
        <f>O96*E96/1000</f>
        <v>0.27</v>
      </c>
      <c r="Q96" s="5">
        <f>MIN(INT(O96/F96)*F96,ROUNDUP(MAX(0,(N96*0.5+(L96/7*30)*0.3+(K96*30)*0.2)*0.8-I96)/F96,0)*F96)</f>
        <v>0</v>
      </c>
      <c r="R96" s="7">
        <f>Q96*E96/1000</f>
        <v>0</v>
      </c>
      <c r="S96" s="5" t="s">
        <v>23</v>
      </c>
    </row>
    <row r="97" ht="23" customHeight="1" spans="1:19" s="8" customFormat="1" x14ac:dyDescent="0.25">
      <c r="A97" s="9" t="s">
        <v>49</v>
      </c>
      <c r="B97" s="9" t="s">
        <v>23</v>
      </c>
      <c r="C97" s="9" t="s">
        <v>23</v>
      </c>
      <c r="D97" s="9" t="s">
        <v>23</v>
      </c>
      <c r="E97" s="9" t="s">
        <v>23</v>
      </c>
      <c r="F97" s="9" t="s">
        <v>23</v>
      </c>
      <c r="G97" s="9" t="s">
        <v>23</v>
      </c>
      <c r="H97" s="9" t="s">
        <v>23</v>
      </c>
      <c r="I97" s="9" t="s">
        <v>23</v>
      </c>
      <c r="J97" s="9" t="s">
        <v>23</v>
      </c>
      <c r="K97" s="9" t="s">
        <v>23</v>
      </c>
      <c r="L97" s="9" t="s">
        <v>23</v>
      </c>
      <c r="M97" s="9" t="s">
        <v>23</v>
      </c>
      <c r="N97" s="9" t="s">
        <v>23</v>
      </c>
      <c r="O97" s="9">
        <f>SUM(O86:O96)</f>
        <v>691</v>
      </c>
      <c r="P97" s="10">
        <f>SUM(P86:P96)</f>
        <v>4.0975</v>
      </c>
      <c r="Q97" s="9">
        <f>SUM(Q86:Q96)</f>
        <v>122</v>
      </c>
      <c r="R97" s="10">
        <f>SUM(R86:R96)</f>
        <v>0.84</v>
      </c>
      <c r="S97" s="9" t="s">
        <v>23</v>
      </c>
    </row>
    <row r="98" ht="23" customHeight="1" spans="1:19" s="4" customFormat="1" x14ac:dyDescent="0.25">
      <c r="A98" s="5" t="s">
        <v>50</v>
      </c>
      <c r="B98" s="6" t="s">
        <v>20</v>
      </c>
      <c r="C98" s="5" t="s">
        <v>21</v>
      </c>
      <c r="D98" s="5" t="s">
        <v>22</v>
      </c>
      <c r="E98" s="5">
        <v>2.5</v>
      </c>
      <c r="F98" s="5">
        <v>1</v>
      </c>
      <c r="G98" s="5">
        <v>0</v>
      </c>
      <c r="H98" s="5">
        <v>0</v>
      </c>
      <c r="I98" s="5">
        <v>190</v>
      </c>
      <c r="J98" s="5">
        <v>188</v>
      </c>
      <c r="K98" s="5">
        <v>3</v>
      </c>
      <c r="L98" s="5">
        <v>39</v>
      </c>
      <c r="M98" s="5">
        <v>56</v>
      </c>
      <c r="N98" s="5">
        <v>155</v>
      </c>
      <c r="O98" s="5">
        <v>107</v>
      </c>
      <c r="P98" s="7">
        <f>O98*E98/1000</f>
        <v>0.2675</v>
      </c>
      <c r="Q98" s="5">
        <f>MIN(INT(O98/F98)*F98,ROUNDUP(MAX(0,(N98*0.5+(L98/7*30)*0.3+(K98*30)*0.2)*0.8-I98)/F98,0)*F98)</f>
        <v>0</v>
      </c>
      <c r="R98" s="7">
        <f>Q98*E98/1000</f>
        <v>0</v>
      </c>
      <c r="S98" s="5" t="s">
        <v>23</v>
      </c>
    </row>
    <row r="99" ht="23" customHeight="1" spans="1:19" s="4" customFormat="1" x14ac:dyDescent="0.25">
      <c r="A99" s="5" t="s">
        <v>50</v>
      </c>
      <c r="B99" s="6" t="s">
        <v>24</v>
      </c>
      <c r="C99" s="5" t="s">
        <v>21</v>
      </c>
      <c r="D99" s="5" t="s">
        <v>22</v>
      </c>
      <c r="E99" s="5">
        <v>10</v>
      </c>
      <c r="F99" s="5">
        <v>1</v>
      </c>
      <c r="G99" s="5">
        <v>0</v>
      </c>
      <c r="H99" s="5">
        <v>0</v>
      </c>
      <c r="I99" s="5">
        <v>33</v>
      </c>
      <c r="J99" s="5">
        <v>32</v>
      </c>
      <c r="K99" s="5">
        <v>2</v>
      </c>
      <c r="L99" s="5">
        <v>32</v>
      </c>
      <c r="M99" s="5">
        <v>56</v>
      </c>
      <c r="N99" s="5">
        <v>86</v>
      </c>
      <c r="O99" s="5">
        <v>26</v>
      </c>
      <c r="P99" s="7">
        <f>O99*E99/1000</f>
        <v>0.26</v>
      </c>
      <c r="Q99" s="5">
        <f>MIN(INT(O99/F99)*F99,ROUNDUP(MAX(0,(N99*0.5+(L99/7*30)*0.3+(K99*30)*0.2)*0.8-I99)/F99,0)*F99)</f>
        <v>26</v>
      </c>
      <c r="R99" s="7">
        <f>Q99*E99/1000</f>
        <v>0.26</v>
      </c>
      <c r="S99" s="5" t="s">
        <v>23</v>
      </c>
    </row>
    <row r="100" ht="23" customHeight="1" spans="1:19" s="4" customFormat="1" x14ac:dyDescent="0.25">
      <c r="A100" s="5" t="s">
        <v>50</v>
      </c>
      <c r="B100" s="6" t="s">
        <v>25</v>
      </c>
      <c r="C100" s="5" t="s">
        <v>21</v>
      </c>
      <c r="D100" s="5" t="s">
        <v>22</v>
      </c>
      <c r="E100" s="5">
        <v>5</v>
      </c>
      <c r="F100" s="5">
        <v>1</v>
      </c>
      <c r="G100" s="5">
        <v>0</v>
      </c>
      <c r="H100" s="5">
        <v>0</v>
      </c>
      <c r="I100" s="5">
        <v>192</v>
      </c>
      <c r="J100" s="5">
        <v>192</v>
      </c>
      <c r="K100" s="5">
        <v>4</v>
      </c>
      <c r="L100" s="5">
        <v>45</v>
      </c>
      <c r="M100" s="5">
        <v>113</v>
      </c>
      <c r="N100" s="5">
        <v>230</v>
      </c>
      <c r="O100" s="5">
        <v>251</v>
      </c>
      <c r="P100" s="7">
        <f>O100*E100/1000</f>
        <v>1.255</v>
      </c>
      <c r="Q100" s="5">
        <f>MIN(INT(O100/F100)*F100,ROUNDUP(MAX(0,(N100*0.5+(L100/7*30)*0.3+(K100*30)*0.2)*0.8-I100)/F100,0)*F100)</f>
        <v>0</v>
      </c>
      <c r="R100" s="7">
        <f>Q100*E100/1000</f>
        <v>0</v>
      </c>
      <c r="S100" s="5" t="s">
        <v>23</v>
      </c>
    </row>
    <row r="101" ht="23" customHeight="1" spans="1:19" s="4" customFormat="1" x14ac:dyDescent="0.25">
      <c r="A101" s="5" t="s">
        <v>50</v>
      </c>
      <c r="B101" s="6" t="s">
        <v>26</v>
      </c>
      <c r="C101" s="5" t="s">
        <v>21</v>
      </c>
      <c r="D101" s="5" t="s">
        <v>22</v>
      </c>
      <c r="E101" s="5">
        <v>10</v>
      </c>
      <c r="F101" s="5">
        <v>1</v>
      </c>
      <c r="G101" s="5">
        <v>0</v>
      </c>
      <c r="H101" s="5">
        <v>0</v>
      </c>
      <c r="I101" s="5">
        <v>41</v>
      </c>
      <c r="J101" s="5">
        <v>40</v>
      </c>
      <c r="K101" s="5">
        <v>3</v>
      </c>
      <c r="L101" s="5">
        <v>10</v>
      </c>
      <c r="M101" s="5">
        <v>20</v>
      </c>
      <c r="N101" s="5">
        <v>46</v>
      </c>
      <c r="O101" s="5">
        <v>31</v>
      </c>
      <c r="P101" s="7">
        <f>O101*E101/1000</f>
        <v>0.31</v>
      </c>
      <c r="Q101" s="5">
        <f>MIN(INT(O101/F101)*F101,ROUNDUP(MAX(0,(N101*0.5+(L101/7*30)*0.3+(K101*30)*0.2)*0.8-I101)/F101,0)*F101)</f>
        <v>3</v>
      </c>
      <c r="R101" s="7">
        <f>Q101*E101/1000</f>
        <v>0.03</v>
      </c>
      <c r="S101" s="5" t="s">
        <v>23</v>
      </c>
    </row>
    <row r="102" ht="23" customHeight="1" spans="1:19" s="4" customFormat="1" x14ac:dyDescent="0.25">
      <c r="A102" s="5" t="s">
        <v>50</v>
      </c>
      <c r="B102" s="6" t="s">
        <v>27</v>
      </c>
      <c r="C102" s="5" t="s">
        <v>21</v>
      </c>
      <c r="D102" s="5" t="s">
        <v>22</v>
      </c>
      <c r="E102" s="5">
        <v>10</v>
      </c>
      <c r="F102" s="5">
        <v>1</v>
      </c>
      <c r="G102" s="5">
        <v>0</v>
      </c>
      <c r="H102" s="5">
        <v>0</v>
      </c>
      <c r="I102" s="5">
        <v>105</v>
      </c>
      <c r="J102" s="5">
        <v>104</v>
      </c>
      <c r="K102" s="5">
        <v>1</v>
      </c>
      <c r="L102" s="5">
        <v>9</v>
      </c>
      <c r="M102" s="5">
        <v>27</v>
      </c>
      <c r="N102" s="5">
        <v>85</v>
      </c>
      <c r="O102" s="5">
        <v>0</v>
      </c>
      <c r="P102" s="7">
        <f>O102*E102/1000</f>
        <v>0</v>
      </c>
      <c r="Q102" s="5">
        <f>MIN(INT(O102/F102)*F102,ROUNDUP(MAX(0,(N102*0.5+(L102/7*30)*0.3+(K102*30)*0.2)*0.8-I102)/F102,0)*F102)</f>
        <v>0</v>
      </c>
      <c r="R102" s="7">
        <f>Q102*E102/1000</f>
        <v>0</v>
      </c>
      <c r="S102" s="5" t="s">
        <v>23</v>
      </c>
    </row>
    <row r="103" ht="23" customHeight="1" spans="1:19" s="4" customFormat="1" x14ac:dyDescent="0.25">
      <c r="A103" s="5" t="s">
        <v>50</v>
      </c>
      <c r="B103" s="6" t="s">
        <v>28</v>
      </c>
      <c r="C103" s="5" t="s">
        <v>21</v>
      </c>
      <c r="D103" s="5" t="s">
        <v>22</v>
      </c>
      <c r="E103" s="5">
        <v>5</v>
      </c>
      <c r="F103" s="5">
        <v>1</v>
      </c>
      <c r="G103" s="5">
        <v>0</v>
      </c>
      <c r="H103" s="5">
        <v>0</v>
      </c>
      <c r="I103" s="5">
        <v>830</v>
      </c>
      <c r="J103" s="5">
        <v>806</v>
      </c>
      <c r="K103" s="5">
        <v>74</v>
      </c>
      <c r="L103" s="5">
        <v>361</v>
      </c>
      <c r="M103" s="5">
        <v>726</v>
      </c>
      <c r="N103" s="5">
        <v>1339</v>
      </c>
      <c r="O103" s="5">
        <v>709</v>
      </c>
      <c r="P103" s="7">
        <f>O103*E103/1000</f>
        <v>3.545</v>
      </c>
      <c r="Q103" s="5">
        <f>MIN(INT(O103/F103)*F103,ROUNDUP(MAX(0,(N103*0.5+(L103/7*30)*0.3+(K103*30)*0.2)*0.8-I103)/F103,0)*F103)</f>
        <v>433</v>
      </c>
      <c r="R103" s="7">
        <f>Q103*E103/1000</f>
        <v>2.165</v>
      </c>
      <c r="S103" s="5" t="s">
        <v>23</v>
      </c>
    </row>
    <row r="104" ht="23" customHeight="1" spans="1:19" s="4" customFormat="1" x14ac:dyDescent="0.25">
      <c r="A104" s="5" t="s">
        <v>50</v>
      </c>
      <c r="B104" s="6" t="s">
        <v>29</v>
      </c>
      <c r="C104" s="5" t="s">
        <v>21</v>
      </c>
      <c r="D104" s="5" t="s">
        <v>22</v>
      </c>
      <c r="E104" s="5">
        <v>25</v>
      </c>
      <c r="F104" s="5">
        <v>1</v>
      </c>
      <c r="G104" s="5">
        <v>0</v>
      </c>
      <c r="H104" s="5">
        <v>0</v>
      </c>
      <c r="I104" s="5">
        <v>101</v>
      </c>
      <c r="J104" s="5">
        <v>101</v>
      </c>
      <c r="K104" s="5">
        <v>4</v>
      </c>
      <c r="L104" s="5">
        <v>36</v>
      </c>
      <c r="M104" s="5">
        <v>68</v>
      </c>
      <c r="N104" s="5">
        <v>120</v>
      </c>
      <c r="O104" s="5">
        <v>10</v>
      </c>
      <c r="P104" s="7">
        <f>O104*E104/1000</f>
        <v>0.25</v>
      </c>
      <c r="Q104" s="5">
        <f>MIN(INT(O104/F104)*F104,ROUNDUP(MAX(0,(N104*0.5+(L104/7*30)*0.3+(K104*30)*0.2)*0.8-I104)/F104,0)*F104)</f>
        <v>4</v>
      </c>
      <c r="R104" s="7">
        <f>Q104*E104/1000</f>
        <v>0.1</v>
      </c>
      <c r="S104" s="5" t="s">
        <v>23</v>
      </c>
    </row>
    <row r="105" ht="23" customHeight="1" spans="1:19" s="4" customFormat="1" x14ac:dyDescent="0.25">
      <c r="A105" s="5" t="s">
        <v>50</v>
      </c>
      <c r="B105" s="6" t="s">
        <v>30</v>
      </c>
      <c r="C105" s="5" t="s">
        <v>21</v>
      </c>
      <c r="D105" s="5" t="s">
        <v>22</v>
      </c>
      <c r="E105" s="5">
        <v>10</v>
      </c>
      <c r="F105" s="5">
        <v>1</v>
      </c>
      <c r="G105" s="5">
        <v>0</v>
      </c>
      <c r="H105" s="5">
        <v>0</v>
      </c>
      <c r="I105" s="5">
        <v>89</v>
      </c>
      <c r="J105" s="5">
        <v>71</v>
      </c>
      <c r="K105" s="5">
        <v>5</v>
      </c>
      <c r="L105" s="5">
        <v>20</v>
      </c>
      <c r="M105" s="5">
        <v>44</v>
      </c>
      <c r="N105" s="5">
        <v>103</v>
      </c>
      <c r="O105" s="5">
        <v>42</v>
      </c>
      <c r="P105" s="7">
        <f>O105*E105/1000</f>
        <v>0.42</v>
      </c>
      <c r="Q105" s="5">
        <f>MIN(INT(O105/F105)*F105,ROUNDUP(MAX(0,(N105*0.5+(L105/7*30)*0.3+(K105*30)*0.2)*0.8-I105)/F105,0)*F105)</f>
        <v>0</v>
      </c>
      <c r="R105" s="7">
        <f>Q105*E105/1000</f>
        <v>0</v>
      </c>
      <c r="S105" s="5" t="s">
        <v>23</v>
      </c>
    </row>
    <row r="106" ht="23" customHeight="1" spans="1:19" s="4" customFormat="1" x14ac:dyDescent="0.25">
      <c r="A106" s="5" t="s">
        <v>50</v>
      </c>
      <c r="B106" s="6" t="s">
        <v>31</v>
      </c>
      <c r="C106" s="5" t="s">
        <v>21</v>
      </c>
      <c r="D106" s="5" t="s">
        <v>22</v>
      </c>
      <c r="E106" s="5">
        <v>5</v>
      </c>
      <c r="F106" s="5">
        <v>5</v>
      </c>
      <c r="G106" s="5">
        <v>0</v>
      </c>
      <c r="H106" s="5">
        <v>0</v>
      </c>
      <c r="I106" s="5">
        <v>35</v>
      </c>
      <c r="J106" s="5">
        <v>35</v>
      </c>
      <c r="K106" s="5">
        <v>1</v>
      </c>
      <c r="L106" s="5">
        <v>8</v>
      </c>
      <c r="M106" s="5">
        <v>22</v>
      </c>
      <c r="N106" s="5">
        <v>54</v>
      </c>
      <c r="O106" s="5">
        <v>90</v>
      </c>
      <c r="P106" s="7">
        <f>O106*E106/1000</f>
        <v>0.45</v>
      </c>
      <c r="Q106" s="5">
        <f>MIN(INT(O106/F106)*F106,ROUNDUP(MAX(0,(N106*0.5+(L106/7*30)*0.3+(K106*30)*0.2)*0.8-I106)/F106,0)*F106)</f>
        <v>0</v>
      </c>
      <c r="R106" s="7">
        <f>Q106*E106/1000</f>
        <v>0</v>
      </c>
      <c r="S106" s="5" t="s">
        <v>23</v>
      </c>
    </row>
    <row r="107" ht="23" customHeight="1" spans="1:19" s="4" customFormat="1" x14ac:dyDescent="0.25">
      <c r="A107" s="5" t="s">
        <v>50</v>
      </c>
      <c r="B107" s="6" t="s">
        <v>32</v>
      </c>
      <c r="C107" s="5" t="s">
        <v>21</v>
      </c>
      <c r="D107" s="5" t="s">
        <v>22</v>
      </c>
      <c r="E107" s="5">
        <v>2.5</v>
      </c>
      <c r="F107" s="5">
        <v>1</v>
      </c>
      <c r="G107" s="5">
        <v>0</v>
      </c>
      <c r="H107" s="5">
        <v>0</v>
      </c>
      <c r="I107" s="5">
        <v>117</v>
      </c>
      <c r="J107" s="5">
        <v>117</v>
      </c>
      <c r="K107" s="5">
        <v>0</v>
      </c>
      <c r="L107" s="5">
        <v>8</v>
      </c>
      <c r="M107" s="5">
        <v>11</v>
      </c>
      <c r="N107" s="5">
        <v>60</v>
      </c>
      <c r="O107" s="5">
        <v>0</v>
      </c>
      <c r="P107" s="7">
        <f>O107*E107/1000</f>
        <v>0</v>
      </c>
      <c r="Q107" s="5">
        <f>MIN(INT(O107/F107)*F107,ROUNDUP(MAX(0,(N107*0.5+(L107/7*30)*0.3+(K107*30)*0.2)*0.8-I107)/F107,0)*F107)</f>
        <v>0</v>
      </c>
      <c r="R107" s="7">
        <f>Q107*E107/1000</f>
        <v>0</v>
      </c>
      <c r="S107" s="5" t="s">
        <v>23</v>
      </c>
    </row>
    <row r="108" ht="23" customHeight="1" spans="1:19" s="4" customFormat="1" x14ac:dyDescent="0.25">
      <c r="A108" s="5" t="s">
        <v>50</v>
      </c>
      <c r="B108" s="6" t="s">
        <v>33</v>
      </c>
      <c r="C108" s="5" t="s">
        <v>21</v>
      </c>
      <c r="D108" s="5" t="s">
        <v>22</v>
      </c>
      <c r="E108" s="5">
        <v>5</v>
      </c>
      <c r="F108" s="5">
        <v>1</v>
      </c>
      <c r="G108" s="5">
        <v>0</v>
      </c>
      <c r="H108" s="5">
        <v>0</v>
      </c>
      <c r="I108" s="5">
        <v>171</v>
      </c>
      <c r="J108" s="5">
        <v>166</v>
      </c>
      <c r="K108" s="5">
        <v>7</v>
      </c>
      <c r="L108" s="5">
        <v>32</v>
      </c>
      <c r="M108" s="5">
        <v>68</v>
      </c>
      <c r="N108" s="5">
        <v>199</v>
      </c>
      <c r="O108" s="5">
        <v>101</v>
      </c>
      <c r="P108" s="7">
        <f>O108*E108/1000</f>
        <v>0.505</v>
      </c>
      <c r="Q108" s="5">
        <f>MIN(INT(O108/F108)*F108,ROUNDUP(MAX(0,(N108*0.5+(L108/7*30)*0.3+(K108*30)*0.2)*0.8-I108)/F108,0)*F108)</f>
        <v>0</v>
      </c>
      <c r="R108" s="7">
        <f>Q108*E108/1000</f>
        <v>0</v>
      </c>
      <c r="S108" s="5" t="s">
        <v>23</v>
      </c>
    </row>
    <row r="109" ht="23" customHeight="1" spans="1:19" s="8" customFormat="1" x14ac:dyDescent="0.25">
      <c r="A109" s="9" t="s">
        <v>51</v>
      </c>
      <c r="B109" s="9" t="s">
        <v>23</v>
      </c>
      <c r="C109" s="9" t="s">
        <v>23</v>
      </c>
      <c r="D109" s="9" t="s">
        <v>23</v>
      </c>
      <c r="E109" s="9" t="s">
        <v>23</v>
      </c>
      <c r="F109" s="9" t="s">
        <v>23</v>
      </c>
      <c r="G109" s="9" t="s">
        <v>23</v>
      </c>
      <c r="H109" s="9" t="s">
        <v>23</v>
      </c>
      <c r="I109" s="9" t="s">
        <v>23</v>
      </c>
      <c r="J109" s="9" t="s">
        <v>23</v>
      </c>
      <c r="K109" s="9" t="s">
        <v>23</v>
      </c>
      <c r="L109" s="9" t="s">
        <v>23</v>
      </c>
      <c r="M109" s="9" t="s">
        <v>23</v>
      </c>
      <c r="N109" s="9" t="s">
        <v>23</v>
      </c>
      <c r="O109" s="9">
        <f>SUM(O98:O108)</f>
        <v>1367</v>
      </c>
      <c r="P109" s="10">
        <f>SUM(P98:P108)</f>
        <v>7.262499999999999</v>
      </c>
      <c r="Q109" s="9">
        <f>SUM(Q98:Q108)</f>
        <v>466</v>
      </c>
      <c r="R109" s="10">
        <f>SUM(R98:R108)</f>
        <v>2.555</v>
      </c>
      <c r="S109" s="9" t="s">
        <v>23</v>
      </c>
    </row>
    <row r="110" ht="23" customHeight="1" spans="1:19" s="4" customFormat="1" x14ac:dyDescent="0.25">
      <c r="A110" s="5" t="s">
        <v>52</v>
      </c>
      <c r="B110" s="6" t="s">
        <v>20</v>
      </c>
      <c r="C110" s="5" t="s">
        <v>21</v>
      </c>
      <c r="D110" s="5" t="s">
        <v>22</v>
      </c>
      <c r="E110" s="5">
        <v>2.5</v>
      </c>
      <c r="F110" s="5">
        <v>1</v>
      </c>
      <c r="G110" s="5">
        <v>0</v>
      </c>
      <c r="H110" s="5">
        <v>0</v>
      </c>
      <c r="I110" s="5">
        <v>283</v>
      </c>
      <c r="J110" s="5">
        <v>282</v>
      </c>
      <c r="K110" s="5">
        <v>11</v>
      </c>
      <c r="L110" s="5">
        <v>64</v>
      </c>
      <c r="M110" s="5">
        <v>72</v>
      </c>
      <c r="N110" s="5">
        <v>145</v>
      </c>
      <c r="O110" s="5">
        <v>366</v>
      </c>
      <c r="P110" s="7">
        <f>O110*E110/1000</f>
        <v>0.915</v>
      </c>
      <c r="Q110" s="5">
        <f>MIN(INT(O110/F110)*F110,ROUNDUP(MAX(0,(N110*0.5+(L110/7*30)*0.3+(K110*30)*0.2)*0.8-I110)/F110,0)*F110)</f>
        <v>0</v>
      </c>
      <c r="R110" s="7">
        <f>Q110*E110/1000</f>
        <v>0</v>
      </c>
      <c r="S110" s="5" t="s">
        <v>23</v>
      </c>
    </row>
    <row r="111" ht="23" customHeight="1" spans="1:19" s="4" customFormat="1" x14ac:dyDescent="0.25">
      <c r="A111" s="5" t="s">
        <v>52</v>
      </c>
      <c r="B111" s="6" t="s">
        <v>24</v>
      </c>
      <c r="C111" s="5" t="s">
        <v>21</v>
      </c>
      <c r="D111" s="5" t="s">
        <v>22</v>
      </c>
      <c r="E111" s="5">
        <v>10</v>
      </c>
      <c r="F111" s="5">
        <v>1</v>
      </c>
      <c r="G111" s="5">
        <v>0</v>
      </c>
      <c r="H111" s="5">
        <v>0</v>
      </c>
      <c r="I111" s="5">
        <v>31</v>
      </c>
      <c r="J111" s="5">
        <v>31</v>
      </c>
      <c r="K111" s="5">
        <v>6</v>
      </c>
      <c r="L111" s="5">
        <v>32</v>
      </c>
      <c r="M111" s="5">
        <v>73</v>
      </c>
      <c r="N111" s="5">
        <v>127</v>
      </c>
      <c r="O111" s="5">
        <v>0</v>
      </c>
      <c r="P111" s="7">
        <f>O111*E111/1000</f>
        <v>0</v>
      </c>
      <c r="Q111" s="5">
        <f>MIN(INT(O111/F111)*F111,ROUNDUP(MAX(0,(N111*0.5+(L111/7*30)*0.3+(K111*30)*0.2)*0.8-I111)/F111,0)*F111)</f>
        <v>0</v>
      </c>
      <c r="R111" s="7">
        <f>Q111*E111/1000</f>
        <v>0</v>
      </c>
      <c r="S111" s="5" t="s">
        <v>23</v>
      </c>
    </row>
    <row r="112" ht="23" customHeight="1" spans="1:19" s="4" customFormat="1" x14ac:dyDescent="0.25">
      <c r="A112" s="5" t="s">
        <v>52</v>
      </c>
      <c r="B112" s="6" t="s">
        <v>25</v>
      </c>
      <c r="C112" s="5" t="s">
        <v>21</v>
      </c>
      <c r="D112" s="5" t="s">
        <v>22</v>
      </c>
      <c r="E112" s="5">
        <v>5</v>
      </c>
      <c r="F112" s="5">
        <v>1</v>
      </c>
      <c r="G112" s="5">
        <v>0</v>
      </c>
      <c r="H112" s="5">
        <v>0</v>
      </c>
      <c r="I112" s="5">
        <v>82</v>
      </c>
      <c r="J112" s="5">
        <v>75</v>
      </c>
      <c r="K112" s="5">
        <v>8</v>
      </c>
      <c r="L112" s="5">
        <v>60</v>
      </c>
      <c r="M112" s="5">
        <v>131</v>
      </c>
      <c r="N112" s="5">
        <v>249</v>
      </c>
      <c r="O112" s="5">
        <v>537</v>
      </c>
      <c r="P112" s="7">
        <f>O112*E112/1000</f>
        <v>2.685</v>
      </c>
      <c r="Q112" s="5">
        <f>MIN(INT(O112/F112)*F112,ROUNDUP(MAX(0,(N112*0.5+(L112/7*30)*0.3+(K112*30)*0.2)*0.8-I112)/F112,0)*F112)</f>
        <v>118</v>
      </c>
      <c r="R112" s="7">
        <f>Q112*E112/1000</f>
        <v>0.59</v>
      </c>
      <c r="S112" s="5" t="s">
        <v>23</v>
      </c>
    </row>
    <row r="113" ht="23" customHeight="1" spans="1:19" s="4" customFormat="1" x14ac:dyDescent="0.25">
      <c r="A113" s="5" t="s">
        <v>52</v>
      </c>
      <c r="B113" s="6" t="s">
        <v>26</v>
      </c>
      <c r="C113" s="5" t="s">
        <v>21</v>
      </c>
      <c r="D113" s="5" t="s">
        <v>22</v>
      </c>
      <c r="E113" s="5">
        <v>10</v>
      </c>
      <c r="F113" s="5">
        <v>1</v>
      </c>
      <c r="G113" s="5">
        <v>0</v>
      </c>
      <c r="H113" s="5">
        <v>0</v>
      </c>
      <c r="I113" s="5">
        <v>19</v>
      </c>
      <c r="J113" s="5">
        <v>19</v>
      </c>
      <c r="K113" s="5">
        <v>1</v>
      </c>
      <c r="L113" s="5">
        <v>10</v>
      </c>
      <c r="M113" s="5">
        <v>63</v>
      </c>
      <c r="N113" s="5">
        <v>112</v>
      </c>
      <c r="O113" s="5">
        <v>65</v>
      </c>
      <c r="P113" s="7">
        <f>O113*E113/1000</f>
        <v>0.65</v>
      </c>
      <c r="Q113" s="5">
        <f>MIN(INT(O113/F113)*F113,ROUNDUP(MAX(0,(N113*0.5+(L113/7*30)*0.3+(K113*30)*0.2)*0.8-I113)/F113,0)*F113)</f>
        <v>41</v>
      </c>
      <c r="R113" s="7">
        <f>Q113*E113/1000</f>
        <v>0.41</v>
      </c>
      <c r="S113" s="5" t="s">
        <v>23</v>
      </c>
    </row>
    <row r="114" ht="23" customHeight="1" spans="1:19" s="4" customFormat="1" x14ac:dyDescent="0.25">
      <c r="A114" s="5" t="s">
        <v>52</v>
      </c>
      <c r="B114" s="6" t="s">
        <v>27</v>
      </c>
      <c r="C114" s="5" t="s">
        <v>21</v>
      </c>
      <c r="D114" s="5" t="s">
        <v>22</v>
      </c>
      <c r="E114" s="5">
        <v>10</v>
      </c>
      <c r="F114" s="5">
        <v>1</v>
      </c>
      <c r="G114" s="5">
        <v>0</v>
      </c>
      <c r="H114" s="5">
        <v>0</v>
      </c>
      <c r="I114" s="5">
        <v>82</v>
      </c>
      <c r="J114" s="5">
        <v>82</v>
      </c>
      <c r="K114" s="5">
        <v>4</v>
      </c>
      <c r="L114" s="5">
        <v>12</v>
      </c>
      <c r="M114" s="5">
        <v>25</v>
      </c>
      <c r="N114" s="5">
        <v>90</v>
      </c>
      <c r="O114" s="5">
        <v>0</v>
      </c>
      <c r="P114" s="7">
        <f>O114*E114/1000</f>
        <v>0</v>
      </c>
      <c r="Q114" s="5">
        <f>MIN(INT(O114/F114)*F114,ROUNDUP(MAX(0,(N114*0.5+(L114/7*30)*0.3+(K114*30)*0.2)*0.8-I114)/F114,0)*F114)</f>
        <v>0</v>
      </c>
      <c r="R114" s="7">
        <f>Q114*E114/1000</f>
        <v>0</v>
      </c>
      <c r="S114" s="5" t="s">
        <v>23</v>
      </c>
    </row>
    <row r="115" ht="23" customHeight="1" spans="1:19" s="4" customFormat="1" x14ac:dyDescent="0.25">
      <c r="A115" s="5" t="s">
        <v>52</v>
      </c>
      <c r="B115" s="6" t="s">
        <v>28</v>
      </c>
      <c r="C115" s="5" t="s">
        <v>21</v>
      </c>
      <c r="D115" s="5" t="s">
        <v>22</v>
      </c>
      <c r="E115" s="5">
        <v>5</v>
      </c>
      <c r="F115" s="5">
        <v>1</v>
      </c>
      <c r="G115" s="5">
        <v>0</v>
      </c>
      <c r="H115" s="5">
        <v>0</v>
      </c>
      <c r="I115" s="5">
        <v>363</v>
      </c>
      <c r="J115" s="5">
        <v>351</v>
      </c>
      <c r="K115" s="5">
        <v>31</v>
      </c>
      <c r="L115" s="5">
        <v>198</v>
      </c>
      <c r="M115" s="5">
        <v>509</v>
      </c>
      <c r="N115" s="5">
        <v>887</v>
      </c>
      <c r="O115" s="5">
        <v>0</v>
      </c>
      <c r="P115" s="7">
        <f>O115*E115/1000</f>
        <v>0</v>
      </c>
      <c r="Q115" s="5">
        <f>MIN(INT(O115/F115)*F115,ROUNDUP(MAX(0,(N115*0.5+(L115/7*30)*0.3+(K115*30)*0.2)*0.8-I115)/F115,0)*F115)</f>
        <v>0</v>
      </c>
      <c r="R115" s="7">
        <f>Q115*E115/1000</f>
        <v>0</v>
      </c>
      <c r="S115" s="5" t="s">
        <v>23</v>
      </c>
    </row>
    <row r="116" ht="23" customHeight="1" spans="1:19" s="4" customFormat="1" x14ac:dyDescent="0.25">
      <c r="A116" s="5" t="s">
        <v>52</v>
      </c>
      <c r="B116" s="6" t="s">
        <v>29</v>
      </c>
      <c r="C116" s="5" t="s">
        <v>21</v>
      </c>
      <c r="D116" s="5" t="s">
        <v>22</v>
      </c>
      <c r="E116" s="5">
        <v>25</v>
      </c>
      <c r="F116" s="5">
        <v>1</v>
      </c>
      <c r="G116" s="5">
        <v>0</v>
      </c>
      <c r="H116" s="5">
        <v>0</v>
      </c>
      <c r="I116" s="5">
        <v>84</v>
      </c>
      <c r="J116" s="5">
        <v>84</v>
      </c>
      <c r="K116" s="5">
        <v>5</v>
      </c>
      <c r="L116" s="5">
        <v>23</v>
      </c>
      <c r="M116" s="5">
        <v>40</v>
      </c>
      <c r="N116" s="5">
        <v>77</v>
      </c>
      <c r="O116" s="5">
        <v>174</v>
      </c>
      <c r="P116" s="7">
        <f>O116*E116/1000</f>
        <v>4.35</v>
      </c>
      <c r="Q116" s="5">
        <f>MIN(INT(O116/F116)*F116,ROUNDUP(MAX(0,(N116*0.5+(L116/7*30)*0.3+(K116*30)*0.2)*0.8-I116)/F116,0)*F116)</f>
        <v>0</v>
      </c>
      <c r="R116" s="7">
        <f>Q116*E116/1000</f>
        <v>0</v>
      </c>
      <c r="S116" s="5" t="s">
        <v>23</v>
      </c>
    </row>
    <row r="117" ht="23" customHeight="1" spans="1:19" s="4" customFormat="1" x14ac:dyDescent="0.25">
      <c r="A117" s="5" t="s">
        <v>52</v>
      </c>
      <c r="B117" s="6" t="s">
        <v>30</v>
      </c>
      <c r="C117" s="5" t="s">
        <v>21</v>
      </c>
      <c r="D117" s="5" t="s">
        <v>22</v>
      </c>
      <c r="E117" s="5">
        <v>10</v>
      </c>
      <c r="F117" s="5">
        <v>1</v>
      </c>
      <c r="G117" s="5">
        <v>0</v>
      </c>
      <c r="H117" s="5">
        <v>0</v>
      </c>
      <c r="I117" s="5">
        <v>178</v>
      </c>
      <c r="J117" s="5">
        <v>178</v>
      </c>
      <c r="K117" s="5">
        <v>2</v>
      </c>
      <c r="L117" s="5">
        <v>17</v>
      </c>
      <c r="M117" s="5">
        <v>55</v>
      </c>
      <c r="N117" s="5">
        <v>130</v>
      </c>
      <c r="O117" s="5">
        <v>64</v>
      </c>
      <c r="P117" s="7">
        <f>O117*E117/1000</f>
        <v>0.64</v>
      </c>
      <c r="Q117" s="5">
        <f>MIN(INT(O117/F117)*F117,ROUNDUP(MAX(0,(N117*0.5+(L117/7*30)*0.3+(K117*30)*0.2)*0.8-I117)/F117,0)*F117)</f>
        <v>0</v>
      </c>
      <c r="R117" s="7">
        <f>Q117*E117/1000</f>
        <v>0</v>
      </c>
      <c r="S117" s="5" t="s">
        <v>23</v>
      </c>
    </row>
    <row r="118" ht="23" customHeight="1" spans="1:19" s="4" customFormat="1" x14ac:dyDescent="0.25">
      <c r="A118" s="5" t="s">
        <v>52</v>
      </c>
      <c r="B118" s="6" t="s">
        <v>31</v>
      </c>
      <c r="C118" s="5" t="s">
        <v>21</v>
      </c>
      <c r="D118" s="5" t="s">
        <v>22</v>
      </c>
      <c r="E118" s="5">
        <v>5</v>
      </c>
      <c r="F118" s="5">
        <v>5</v>
      </c>
      <c r="G118" s="5">
        <v>0</v>
      </c>
      <c r="H118" s="5">
        <v>17.24</v>
      </c>
      <c r="I118" s="5">
        <v>116</v>
      </c>
      <c r="J118" s="5">
        <v>115</v>
      </c>
      <c r="K118" s="5">
        <v>0</v>
      </c>
      <c r="L118" s="5">
        <v>4</v>
      </c>
      <c r="M118" s="5">
        <v>26</v>
      </c>
      <c r="N118" s="5">
        <v>59</v>
      </c>
      <c r="O118" s="5">
        <v>0</v>
      </c>
      <c r="P118" s="7">
        <f>O118*E118/1000</f>
        <v>0</v>
      </c>
      <c r="Q118" s="5">
        <f>MIN(INT(O118/F118)*F118,ROUNDUP(MAX(0,(N118*0.5+(L118/7*30)*0.3+(K118*30)*0.2)*0.8-I118)/F118,0)*F118)</f>
        <v>0</v>
      </c>
      <c r="R118" s="7">
        <f>Q118*E118/1000</f>
        <v>0</v>
      </c>
      <c r="S118" s="5" t="s">
        <v>23</v>
      </c>
    </row>
    <row r="119" ht="23" customHeight="1" spans="1:19" s="4" customFormat="1" x14ac:dyDescent="0.25">
      <c r="A119" s="5" t="s">
        <v>52</v>
      </c>
      <c r="B119" s="6" t="s">
        <v>32</v>
      </c>
      <c r="C119" s="5" t="s">
        <v>21</v>
      </c>
      <c r="D119" s="5" t="s">
        <v>22</v>
      </c>
      <c r="E119" s="5">
        <v>2.5</v>
      </c>
      <c r="F119" s="5">
        <v>1</v>
      </c>
      <c r="G119" s="5">
        <v>0</v>
      </c>
      <c r="H119" s="5">
        <v>0</v>
      </c>
      <c r="I119" s="5">
        <v>233</v>
      </c>
      <c r="J119" s="5">
        <v>233</v>
      </c>
      <c r="K119" s="5">
        <v>6</v>
      </c>
      <c r="L119" s="5">
        <v>17</v>
      </c>
      <c r="M119" s="5">
        <v>43</v>
      </c>
      <c r="N119" s="5">
        <v>102</v>
      </c>
      <c r="O119" s="5">
        <v>108</v>
      </c>
      <c r="P119" s="7">
        <f>O119*E119/1000</f>
        <v>0.27</v>
      </c>
      <c r="Q119" s="5">
        <f>MIN(INT(O119/F119)*F119,ROUNDUP(MAX(0,(N119*0.5+(L119/7*30)*0.3+(K119*30)*0.2)*0.8-I119)/F119,0)*F119)</f>
        <v>0</v>
      </c>
      <c r="R119" s="7">
        <f>Q119*E119/1000</f>
        <v>0</v>
      </c>
      <c r="S119" s="5" t="s">
        <v>23</v>
      </c>
    </row>
    <row r="120" ht="23" customHeight="1" spans="1:19" s="4" customFormat="1" x14ac:dyDescent="0.25">
      <c r="A120" s="5" t="s">
        <v>52</v>
      </c>
      <c r="B120" s="6" t="s">
        <v>33</v>
      </c>
      <c r="C120" s="5" t="s">
        <v>21</v>
      </c>
      <c r="D120" s="5" t="s">
        <v>22</v>
      </c>
      <c r="E120" s="5">
        <v>5</v>
      </c>
      <c r="F120" s="5">
        <v>1</v>
      </c>
      <c r="G120" s="5">
        <v>0</v>
      </c>
      <c r="H120" s="5">
        <v>0</v>
      </c>
      <c r="I120" s="5">
        <v>63</v>
      </c>
      <c r="J120" s="5">
        <v>62</v>
      </c>
      <c r="K120" s="5">
        <v>2</v>
      </c>
      <c r="L120" s="5">
        <v>25</v>
      </c>
      <c r="M120" s="5">
        <v>70</v>
      </c>
      <c r="N120" s="5">
        <v>118</v>
      </c>
      <c r="O120" s="5">
        <v>300</v>
      </c>
      <c r="P120" s="7">
        <f>O120*E120/1000</f>
        <v>1.5</v>
      </c>
      <c r="Q120" s="5">
        <f>MIN(INT(O120/F120)*F120,ROUNDUP(MAX(0,(N120*0.5+(L120/7*30)*0.3+(K120*30)*0.2)*0.8-I120)/F120,0)*F120)</f>
        <v>20</v>
      </c>
      <c r="R120" s="7">
        <f>Q120*E120/1000</f>
        <v>0.1</v>
      </c>
      <c r="S120" s="5" t="s">
        <v>23</v>
      </c>
    </row>
    <row r="121" ht="23" customHeight="1" spans="1:19" s="8" customFormat="1" x14ac:dyDescent="0.25">
      <c r="A121" s="9" t="s">
        <v>53</v>
      </c>
      <c r="B121" s="9" t="s">
        <v>23</v>
      </c>
      <c r="C121" s="9" t="s">
        <v>23</v>
      </c>
      <c r="D121" s="9" t="s">
        <v>23</v>
      </c>
      <c r="E121" s="9" t="s">
        <v>23</v>
      </c>
      <c r="F121" s="9" t="s">
        <v>23</v>
      </c>
      <c r="G121" s="9" t="s">
        <v>23</v>
      </c>
      <c r="H121" s="9" t="s">
        <v>23</v>
      </c>
      <c r="I121" s="9" t="s">
        <v>23</v>
      </c>
      <c r="J121" s="9" t="s">
        <v>23</v>
      </c>
      <c r="K121" s="9" t="s">
        <v>23</v>
      </c>
      <c r="L121" s="9" t="s">
        <v>23</v>
      </c>
      <c r="M121" s="9" t="s">
        <v>23</v>
      </c>
      <c r="N121" s="9" t="s">
        <v>23</v>
      </c>
      <c r="O121" s="9">
        <f>SUM(O110:O120)</f>
        <v>1614</v>
      </c>
      <c r="P121" s="10">
        <f>SUM(P110:P120)</f>
        <v>11.01</v>
      </c>
      <c r="Q121" s="9">
        <f>SUM(Q110:Q120)</f>
        <v>179</v>
      </c>
      <c r="R121" s="10">
        <f>SUM(R110:R120)</f>
        <v>1.1</v>
      </c>
      <c r="S121" s="9" t="s">
        <v>23</v>
      </c>
    </row>
    <row r="122" ht="23" customHeight="1" spans="1:19" s="4" customFormat="1" x14ac:dyDescent="0.25">
      <c r="A122" s="5" t="s">
        <v>54</v>
      </c>
      <c r="B122" s="6" t="s">
        <v>20</v>
      </c>
      <c r="C122" s="5" t="s">
        <v>21</v>
      </c>
      <c r="D122" s="5" t="s">
        <v>22</v>
      </c>
      <c r="E122" s="5">
        <v>2.5</v>
      </c>
      <c r="F122" s="5">
        <v>1</v>
      </c>
      <c r="G122" s="5">
        <v>0</v>
      </c>
      <c r="H122" s="5">
        <v>0</v>
      </c>
      <c r="I122" s="5">
        <v>132</v>
      </c>
      <c r="J122" s="5">
        <v>132</v>
      </c>
      <c r="K122" s="5">
        <v>10</v>
      </c>
      <c r="L122" s="5">
        <v>95</v>
      </c>
      <c r="M122" s="5">
        <v>147</v>
      </c>
      <c r="N122" s="5">
        <v>196</v>
      </c>
      <c r="O122" s="5">
        <v>431</v>
      </c>
      <c r="P122" s="7">
        <f>O122*E122/1000</f>
        <v>1.0775</v>
      </c>
      <c r="Q122" s="5">
        <f>MIN(INT(O122/F122)*F122,ROUNDUP(MAX(0,(N122*0.5+(L122/7*30)*0.3+(K122*30)*0.2)*0.8-I122)/F122,0)*F122)</f>
        <v>93</v>
      </c>
      <c r="R122" s="7">
        <f>Q122*E122/1000</f>
        <v>0.2325</v>
      </c>
      <c r="S122" s="5" t="s">
        <v>23</v>
      </c>
    </row>
    <row r="123" ht="23" customHeight="1" spans="1:19" s="4" customFormat="1" x14ac:dyDescent="0.25">
      <c r="A123" s="5" t="s">
        <v>54</v>
      </c>
      <c r="B123" s="6" t="s">
        <v>24</v>
      </c>
      <c r="C123" s="5" t="s">
        <v>21</v>
      </c>
      <c r="D123" s="5" t="s">
        <v>22</v>
      </c>
      <c r="E123" s="5">
        <v>10</v>
      </c>
      <c r="F123" s="5">
        <v>1</v>
      </c>
      <c r="G123" s="5">
        <v>0</v>
      </c>
      <c r="H123" s="5">
        <v>0</v>
      </c>
      <c r="I123" s="5">
        <v>86</v>
      </c>
      <c r="J123" s="5">
        <v>85</v>
      </c>
      <c r="K123" s="5">
        <v>9</v>
      </c>
      <c r="L123" s="5">
        <v>35</v>
      </c>
      <c r="M123" s="5">
        <v>76</v>
      </c>
      <c r="N123" s="5">
        <v>124</v>
      </c>
      <c r="O123" s="5">
        <v>32</v>
      </c>
      <c r="P123" s="7">
        <f>O123*E123/1000</f>
        <v>0.32</v>
      </c>
      <c r="Q123" s="5">
        <f>MIN(INT(O123/F123)*F123,ROUNDUP(MAX(0,(N123*0.5+(L123/7*30)*0.3+(K123*30)*0.2)*0.8-I123)/F123,0)*F123)</f>
        <v>32</v>
      </c>
      <c r="R123" s="7">
        <f>Q123*E123/1000</f>
        <v>0.32</v>
      </c>
      <c r="S123" s="5" t="s">
        <v>23</v>
      </c>
    </row>
    <row r="124" ht="23" customHeight="1" spans="1:19" s="4" customFormat="1" x14ac:dyDescent="0.25">
      <c r="A124" s="5" t="s">
        <v>54</v>
      </c>
      <c r="B124" s="6" t="s">
        <v>25</v>
      </c>
      <c r="C124" s="5" t="s">
        <v>21</v>
      </c>
      <c r="D124" s="5" t="s">
        <v>22</v>
      </c>
      <c r="E124" s="5">
        <v>5</v>
      </c>
      <c r="F124" s="5">
        <v>1</v>
      </c>
      <c r="G124" s="5">
        <v>0</v>
      </c>
      <c r="H124" s="5">
        <v>0</v>
      </c>
      <c r="I124" s="5">
        <v>145</v>
      </c>
      <c r="J124" s="5">
        <v>144</v>
      </c>
      <c r="K124" s="5">
        <v>14</v>
      </c>
      <c r="L124" s="5">
        <v>52</v>
      </c>
      <c r="M124" s="5">
        <v>75</v>
      </c>
      <c r="N124" s="5">
        <v>185</v>
      </c>
      <c r="O124" s="5">
        <v>359</v>
      </c>
      <c r="P124" s="7">
        <f>O124*E124/1000</f>
        <v>1.795</v>
      </c>
      <c r="Q124" s="5">
        <f>MIN(INT(O124/F124)*F124,ROUNDUP(MAX(0,(N124*0.5+(L124/7*30)*0.3+(K124*30)*0.2)*0.8-I124)/F124,0)*F124)</f>
        <v>50</v>
      </c>
      <c r="R124" s="7">
        <f>Q124*E124/1000</f>
        <v>0.25</v>
      </c>
      <c r="S124" s="5" t="s">
        <v>23</v>
      </c>
    </row>
    <row r="125" ht="23" customHeight="1" spans="1:19" s="4" customFormat="1" x14ac:dyDescent="0.25">
      <c r="A125" s="5" t="s">
        <v>54</v>
      </c>
      <c r="B125" s="6" t="s">
        <v>26</v>
      </c>
      <c r="C125" s="5" t="s">
        <v>21</v>
      </c>
      <c r="D125" s="5" t="s">
        <v>22</v>
      </c>
      <c r="E125" s="5">
        <v>10</v>
      </c>
      <c r="F125" s="5">
        <v>1</v>
      </c>
      <c r="G125" s="5">
        <v>0</v>
      </c>
      <c r="H125" s="5">
        <v>47.3</v>
      </c>
      <c r="I125" s="5">
        <v>116</v>
      </c>
      <c r="J125" s="5">
        <v>116</v>
      </c>
      <c r="K125" s="5">
        <v>1</v>
      </c>
      <c r="L125" s="5">
        <v>8</v>
      </c>
      <c r="M125" s="5">
        <v>16</v>
      </c>
      <c r="N125" s="5">
        <v>36</v>
      </c>
      <c r="O125" s="5">
        <v>0</v>
      </c>
      <c r="P125" s="7">
        <f>O125*E125/1000</f>
        <v>0</v>
      </c>
      <c r="Q125" s="5">
        <f>MIN(INT(O125/F125)*F125,ROUNDUP(MAX(0,(N125*0.5+(L125/7*30)*0.3+(K125*30)*0.2)*0.8-I125)/F125,0)*F125)</f>
        <v>0</v>
      </c>
      <c r="R125" s="7">
        <f>Q125*E125/1000</f>
        <v>0</v>
      </c>
      <c r="S125" s="5" t="s">
        <v>23</v>
      </c>
    </row>
    <row r="126" ht="23" customHeight="1" spans="1:19" s="4" customFormat="1" x14ac:dyDescent="0.25">
      <c r="A126" s="5" t="s">
        <v>54</v>
      </c>
      <c r="B126" s="6" t="s">
        <v>27</v>
      </c>
      <c r="C126" s="5" t="s">
        <v>21</v>
      </c>
      <c r="D126" s="5" t="s">
        <v>22</v>
      </c>
      <c r="E126" s="5">
        <v>10</v>
      </c>
      <c r="F126" s="5">
        <v>1</v>
      </c>
      <c r="G126" s="5">
        <v>0</v>
      </c>
      <c r="H126" s="5">
        <v>0</v>
      </c>
      <c r="I126" s="5">
        <v>116</v>
      </c>
      <c r="J126" s="5">
        <v>116</v>
      </c>
      <c r="K126" s="5">
        <v>0</v>
      </c>
      <c r="L126" s="5">
        <v>22</v>
      </c>
      <c r="M126" s="5">
        <v>41</v>
      </c>
      <c r="N126" s="5">
        <v>96</v>
      </c>
      <c r="O126" s="5">
        <v>55</v>
      </c>
      <c r="P126" s="7">
        <f>O126*E126/1000</f>
        <v>0.55</v>
      </c>
      <c r="Q126" s="5">
        <f>MIN(INT(O126/F126)*F126,ROUNDUP(MAX(0,(N126*0.5+(L126/7*30)*0.3+(K126*30)*0.2)*0.8-I126)/F126,0)*F126)</f>
        <v>0</v>
      </c>
      <c r="R126" s="7">
        <f>Q126*E126/1000</f>
        <v>0</v>
      </c>
      <c r="S126" s="5" t="s">
        <v>23</v>
      </c>
    </row>
    <row r="127" ht="23" customHeight="1" spans="1:19" s="4" customFormat="1" x14ac:dyDescent="0.25">
      <c r="A127" s="5" t="s">
        <v>54</v>
      </c>
      <c r="B127" s="6" t="s">
        <v>28</v>
      </c>
      <c r="C127" s="5" t="s">
        <v>21</v>
      </c>
      <c r="D127" s="5" t="s">
        <v>22</v>
      </c>
      <c r="E127" s="5">
        <v>5</v>
      </c>
      <c r="F127" s="5">
        <v>1</v>
      </c>
      <c r="G127" s="5">
        <v>0</v>
      </c>
      <c r="H127" s="5">
        <v>0</v>
      </c>
      <c r="I127" s="5">
        <v>1132</v>
      </c>
      <c r="J127" s="5">
        <v>1122</v>
      </c>
      <c r="K127" s="5">
        <v>21</v>
      </c>
      <c r="L127" s="5">
        <v>220</v>
      </c>
      <c r="M127" s="5">
        <v>639</v>
      </c>
      <c r="N127" s="5">
        <v>1124</v>
      </c>
      <c r="O127" s="5">
        <v>1744</v>
      </c>
      <c r="P127" s="7">
        <f>O127*E127/1000</f>
        <v>8.72</v>
      </c>
      <c r="Q127" s="5">
        <f>MIN(INT(O127/F127)*F127,ROUNDUP(MAX(0,(N127*0.5+(L127/7*30)*0.3+(K127*30)*0.2)*0.8-I127)/F127,0)*F127)</f>
        <v>0</v>
      </c>
      <c r="R127" s="7">
        <f>Q127*E127/1000</f>
        <v>0</v>
      </c>
      <c r="S127" s="5" t="s">
        <v>23</v>
      </c>
    </row>
    <row r="128" ht="23" customHeight="1" spans="1:19" s="4" customFormat="1" x14ac:dyDescent="0.25">
      <c r="A128" s="5" t="s">
        <v>54</v>
      </c>
      <c r="B128" s="6" t="s">
        <v>29</v>
      </c>
      <c r="C128" s="5" t="s">
        <v>21</v>
      </c>
      <c r="D128" s="5" t="s">
        <v>22</v>
      </c>
      <c r="E128" s="5">
        <v>25</v>
      </c>
      <c r="F128" s="5">
        <v>1</v>
      </c>
      <c r="G128" s="5">
        <v>0</v>
      </c>
      <c r="H128" s="5">
        <v>0</v>
      </c>
      <c r="I128" s="5">
        <v>61</v>
      </c>
      <c r="J128" s="5">
        <v>60</v>
      </c>
      <c r="K128" s="5">
        <v>2</v>
      </c>
      <c r="L128" s="5">
        <v>31</v>
      </c>
      <c r="M128" s="5">
        <v>44</v>
      </c>
      <c r="N128" s="5">
        <v>81</v>
      </c>
      <c r="O128" s="5">
        <v>236</v>
      </c>
      <c r="P128" s="7">
        <f>O128*E128/1000</f>
        <v>5.9</v>
      </c>
      <c r="Q128" s="5">
        <f>MIN(INT(O128/F128)*F128,ROUNDUP(MAX(0,(N128*0.5+(L128/7*30)*0.3+(K128*30)*0.2)*0.8-I128)/F128,0)*F128)</f>
        <v>13</v>
      </c>
      <c r="R128" s="7">
        <f>Q128*E128/1000</f>
        <v>0.325</v>
      </c>
      <c r="S128" s="5" t="s">
        <v>23</v>
      </c>
    </row>
    <row r="129" ht="23" customHeight="1" spans="1:19" s="4" customFormat="1" x14ac:dyDescent="0.25">
      <c r="A129" s="5" t="s">
        <v>54</v>
      </c>
      <c r="B129" s="6" t="s">
        <v>30</v>
      </c>
      <c r="C129" s="5" t="s">
        <v>21</v>
      </c>
      <c r="D129" s="5" t="s">
        <v>22</v>
      </c>
      <c r="E129" s="5">
        <v>10</v>
      </c>
      <c r="F129" s="5">
        <v>1</v>
      </c>
      <c r="G129" s="5">
        <v>0</v>
      </c>
      <c r="H129" s="5">
        <v>0</v>
      </c>
      <c r="I129" s="5">
        <v>104</v>
      </c>
      <c r="J129" s="5">
        <v>104</v>
      </c>
      <c r="K129" s="5">
        <v>6</v>
      </c>
      <c r="L129" s="5">
        <v>19</v>
      </c>
      <c r="M129" s="5">
        <v>35</v>
      </c>
      <c r="N129" s="5">
        <v>85</v>
      </c>
      <c r="O129" s="5">
        <v>83</v>
      </c>
      <c r="P129" s="7">
        <f>O129*E129/1000</f>
        <v>0.83</v>
      </c>
      <c r="Q129" s="5">
        <f>MIN(INT(O129/F129)*F129,ROUNDUP(MAX(0,(N129*0.5+(L129/7*30)*0.3+(K129*30)*0.2)*0.8-I129)/F129,0)*F129)</f>
        <v>0</v>
      </c>
      <c r="R129" s="7">
        <f>Q129*E129/1000</f>
        <v>0</v>
      </c>
      <c r="S129" s="5" t="s">
        <v>23</v>
      </c>
    </row>
    <row r="130" ht="23" customHeight="1" spans="1:19" s="4" customFormat="1" x14ac:dyDescent="0.25">
      <c r="A130" s="5" t="s">
        <v>54</v>
      </c>
      <c r="B130" s="6" t="s">
        <v>31</v>
      </c>
      <c r="C130" s="5" t="s">
        <v>21</v>
      </c>
      <c r="D130" s="5" t="s">
        <v>22</v>
      </c>
      <c r="E130" s="5">
        <v>5</v>
      </c>
      <c r="F130" s="5">
        <v>5</v>
      </c>
      <c r="G130" s="5">
        <v>0</v>
      </c>
      <c r="H130" s="5">
        <v>0</v>
      </c>
      <c r="I130" s="5">
        <v>66</v>
      </c>
      <c r="J130" s="5">
        <v>66</v>
      </c>
      <c r="K130" s="5">
        <v>4</v>
      </c>
      <c r="L130" s="5">
        <v>14</v>
      </c>
      <c r="M130" s="5">
        <v>25</v>
      </c>
      <c r="N130" s="5">
        <v>86</v>
      </c>
      <c r="O130" s="5">
        <v>125</v>
      </c>
      <c r="P130" s="7">
        <f>O130*E130/1000</f>
        <v>0.625</v>
      </c>
      <c r="Q130" s="5">
        <f>MIN(INT(O130/F130)*F130,ROUNDUP(MAX(0,(N130*0.5+(L130/7*30)*0.3+(K130*30)*0.2)*0.8-I130)/F130,0)*F130)</f>
        <v>5</v>
      </c>
      <c r="R130" s="7">
        <f>Q130*E130/1000</f>
        <v>0.025</v>
      </c>
      <c r="S130" s="5" t="s">
        <v>23</v>
      </c>
    </row>
    <row r="131" ht="23" customHeight="1" spans="1:19" s="4" customFormat="1" x14ac:dyDescent="0.25">
      <c r="A131" s="5" t="s">
        <v>54</v>
      </c>
      <c r="B131" s="6" t="s">
        <v>32</v>
      </c>
      <c r="C131" s="5" t="s">
        <v>21</v>
      </c>
      <c r="D131" s="5" t="s">
        <v>22</v>
      </c>
      <c r="E131" s="5">
        <v>2.5</v>
      </c>
      <c r="F131" s="5">
        <v>1</v>
      </c>
      <c r="G131" s="5">
        <v>0</v>
      </c>
      <c r="H131" s="5">
        <v>0</v>
      </c>
      <c r="I131" s="5">
        <v>111</v>
      </c>
      <c r="J131" s="5">
        <v>111</v>
      </c>
      <c r="K131" s="5">
        <v>0</v>
      </c>
      <c r="L131" s="5">
        <v>3</v>
      </c>
      <c r="M131" s="5">
        <v>17</v>
      </c>
      <c r="N131" s="5">
        <v>35</v>
      </c>
      <c r="O131" s="5">
        <v>33</v>
      </c>
      <c r="P131" s="7">
        <f>O131*E131/1000</f>
        <v>0.0825</v>
      </c>
      <c r="Q131" s="5">
        <f>MIN(INT(O131/F131)*F131,ROUNDUP(MAX(0,(N131*0.5+(L131/7*30)*0.3+(K131*30)*0.2)*0.8-I131)/F131,0)*F131)</f>
        <v>0</v>
      </c>
      <c r="R131" s="7">
        <f>Q131*E131/1000</f>
        <v>0</v>
      </c>
      <c r="S131" s="5" t="s">
        <v>23</v>
      </c>
    </row>
    <row r="132" ht="23" customHeight="1" spans="1:19" s="4" customFormat="1" x14ac:dyDescent="0.25">
      <c r="A132" s="5" t="s">
        <v>54</v>
      </c>
      <c r="B132" s="6" t="s">
        <v>33</v>
      </c>
      <c r="C132" s="5" t="s">
        <v>21</v>
      </c>
      <c r="D132" s="5" t="s">
        <v>22</v>
      </c>
      <c r="E132" s="5">
        <v>5</v>
      </c>
      <c r="F132" s="5">
        <v>1</v>
      </c>
      <c r="G132" s="5">
        <v>0</v>
      </c>
      <c r="H132" s="5">
        <v>0</v>
      </c>
      <c r="I132" s="5">
        <v>114</v>
      </c>
      <c r="J132" s="5">
        <v>114</v>
      </c>
      <c r="K132" s="5">
        <v>2</v>
      </c>
      <c r="L132" s="5">
        <v>23</v>
      </c>
      <c r="M132" s="5">
        <v>50</v>
      </c>
      <c r="N132" s="5">
        <v>150</v>
      </c>
      <c r="O132" s="5">
        <v>324</v>
      </c>
      <c r="P132" s="7">
        <f>O132*E132/1000</f>
        <v>1.62</v>
      </c>
      <c r="Q132" s="5">
        <f>MIN(INT(O132/F132)*F132,ROUNDUP(MAX(0,(N132*0.5+(L132/7*30)*0.3+(K132*30)*0.2)*0.8-I132)/F132,0)*F132)</f>
        <v>0</v>
      </c>
      <c r="R132" s="7">
        <f>Q132*E132/1000</f>
        <v>0</v>
      </c>
      <c r="S132" s="5" t="s">
        <v>23</v>
      </c>
    </row>
    <row r="133" ht="23" customHeight="1" spans="1:19" s="8" customFormat="1" x14ac:dyDescent="0.25">
      <c r="A133" s="9" t="s">
        <v>55</v>
      </c>
      <c r="B133" s="9" t="s">
        <v>23</v>
      </c>
      <c r="C133" s="9" t="s">
        <v>23</v>
      </c>
      <c r="D133" s="9" t="s">
        <v>23</v>
      </c>
      <c r="E133" s="9" t="s">
        <v>23</v>
      </c>
      <c r="F133" s="9" t="s">
        <v>23</v>
      </c>
      <c r="G133" s="9" t="s">
        <v>23</v>
      </c>
      <c r="H133" s="9" t="s">
        <v>23</v>
      </c>
      <c r="I133" s="9" t="s">
        <v>23</v>
      </c>
      <c r="J133" s="9" t="s">
        <v>23</v>
      </c>
      <c r="K133" s="9" t="s">
        <v>23</v>
      </c>
      <c r="L133" s="9" t="s">
        <v>23</v>
      </c>
      <c r="M133" s="9" t="s">
        <v>23</v>
      </c>
      <c r="N133" s="9" t="s">
        <v>23</v>
      </c>
      <c r="O133" s="9">
        <f>SUM(O122:O132)</f>
        <v>3422</v>
      </c>
      <c r="P133" s="10">
        <f>SUM(P122:P132)</f>
        <v>21.52</v>
      </c>
      <c r="Q133" s="9">
        <f>SUM(Q122:Q132)</f>
        <v>193</v>
      </c>
      <c r="R133" s="10">
        <f>SUM(R122:R132)</f>
        <v>1.1524999999999999</v>
      </c>
      <c r="S133" s="9" t="s">
        <v>23</v>
      </c>
    </row>
    <row r="134" ht="23" customHeight="1" spans="1:19" s="4" customFormat="1" x14ac:dyDescent="0.25">
      <c r="A134" s="5" t="s">
        <v>56</v>
      </c>
      <c r="B134" s="6" t="s">
        <v>20</v>
      </c>
      <c r="C134" s="5" t="s">
        <v>21</v>
      </c>
      <c r="D134" s="5" t="s">
        <v>22</v>
      </c>
      <c r="E134" s="5">
        <v>2.5</v>
      </c>
      <c r="F134" s="5">
        <v>1</v>
      </c>
      <c r="G134" s="5">
        <v>0</v>
      </c>
      <c r="H134" s="5">
        <v>0</v>
      </c>
      <c r="I134" s="5">
        <v>39</v>
      </c>
      <c r="J134" s="5">
        <v>38</v>
      </c>
      <c r="K134" s="5">
        <v>1</v>
      </c>
      <c r="L134" s="5">
        <v>18</v>
      </c>
      <c r="M134" s="5">
        <v>56</v>
      </c>
      <c r="N134" s="5">
        <v>88</v>
      </c>
      <c r="O134" s="5">
        <v>90</v>
      </c>
      <c r="P134" s="7">
        <f>O134*E134/1000</f>
        <v>0.225</v>
      </c>
      <c r="Q134" s="5">
        <f>MIN(INT(O134/F134)*F134,ROUNDUP(MAX(0,(N134*0.5+(L134/7*30)*0.3+(K134*30)*0.2)*0.8-I134)/F134,0)*F134)</f>
        <v>20</v>
      </c>
      <c r="R134" s="7">
        <f>Q134*E134/1000</f>
        <v>0.05</v>
      </c>
      <c r="S134" s="5" t="s">
        <v>23</v>
      </c>
    </row>
    <row r="135" ht="23" customHeight="1" spans="1:19" s="4" customFormat="1" x14ac:dyDescent="0.25">
      <c r="A135" s="5" t="s">
        <v>56</v>
      </c>
      <c r="B135" s="6" t="s">
        <v>24</v>
      </c>
      <c r="C135" s="5" t="s">
        <v>21</v>
      </c>
      <c r="D135" s="5" t="s">
        <v>22</v>
      </c>
      <c r="E135" s="5">
        <v>10</v>
      </c>
      <c r="F135" s="5">
        <v>1</v>
      </c>
      <c r="G135" s="5">
        <v>0</v>
      </c>
      <c r="H135" s="5">
        <v>0</v>
      </c>
      <c r="I135" s="5">
        <v>51</v>
      </c>
      <c r="J135" s="5">
        <v>51</v>
      </c>
      <c r="K135" s="5">
        <v>6</v>
      </c>
      <c r="L135" s="5">
        <v>24</v>
      </c>
      <c r="M135" s="5">
        <v>66</v>
      </c>
      <c r="N135" s="5">
        <v>110</v>
      </c>
      <c r="O135" s="5">
        <v>55</v>
      </c>
      <c r="P135" s="7">
        <f>O135*E135/1000</f>
        <v>0.55</v>
      </c>
      <c r="Q135" s="5">
        <f>MIN(INT(O135/F135)*F135,ROUNDUP(MAX(0,(N135*0.5+(L135/7*30)*0.3+(K135*30)*0.2)*0.8-I135)/F135,0)*F135)</f>
        <v>47</v>
      </c>
      <c r="R135" s="7">
        <f>Q135*E135/1000</f>
        <v>0.47</v>
      </c>
      <c r="S135" s="5" t="s">
        <v>23</v>
      </c>
    </row>
    <row r="136" ht="23" customHeight="1" spans="1:19" s="4" customFormat="1" x14ac:dyDescent="0.25">
      <c r="A136" s="5" t="s">
        <v>56</v>
      </c>
      <c r="B136" s="6" t="s">
        <v>25</v>
      </c>
      <c r="C136" s="5" t="s">
        <v>21</v>
      </c>
      <c r="D136" s="5" t="s">
        <v>22</v>
      </c>
      <c r="E136" s="5">
        <v>5</v>
      </c>
      <c r="F136" s="5">
        <v>1</v>
      </c>
      <c r="G136" s="5">
        <v>0</v>
      </c>
      <c r="H136" s="5">
        <v>0</v>
      </c>
      <c r="I136" s="5">
        <v>44</v>
      </c>
      <c r="J136" s="5">
        <v>43</v>
      </c>
      <c r="K136" s="5">
        <v>3</v>
      </c>
      <c r="L136" s="5">
        <v>38</v>
      </c>
      <c r="M136" s="5">
        <v>54</v>
      </c>
      <c r="N136" s="5">
        <v>102</v>
      </c>
      <c r="O136" s="5">
        <v>71</v>
      </c>
      <c r="P136" s="7">
        <f>O136*E136/1000</f>
        <v>0.355</v>
      </c>
      <c r="Q136" s="5">
        <f>MIN(INT(O136/F136)*F136,ROUNDUP(MAX(0,(N136*0.5+(L136/7*30)*0.3+(K136*30)*0.2)*0.8-I136)/F136,0)*F136)</f>
        <v>51</v>
      </c>
      <c r="R136" s="7">
        <f>Q136*E136/1000</f>
        <v>0.255</v>
      </c>
      <c r="S136" s="5" t="s">
        <v>23</v>
      </c>
    </row>
    <row r="137" ht="23" customHeight="1" spans="1:19" s="4" customFormat="1" x14ac:dyDescent="0.25">
      <c r="A137" s="5" t="s">
        <v>56</v>
      </c>
      <c r="B137" s="6" t="s">
        <v>26</v>
      </c>
      <c r="C137" s="5" t="s">
        <v>21</v>
      </c>
      <c r="D137" s="5" t="s">
        <v>22</v>
      </c>
      <c r="E137" s="5">
        <v>10</v>
      </c>
      <c r="F137" s="5">
        <v>1</v>
      </c>
      <c r="G137" s="5">
        <v>0</v>
      </c>
      <c r="H137" s="5">
        <v>0</v>
      </c>
      <c r="I137" s="5">
        <v>85</v>
      </c>
      <c r="J137" s="5">
        <v>85</v>
      </c>
      <c r="K137" s="5">
        <v>5</v>
      </c>
      <c r="L137" s="5">
        <v>52</v>
      </c>
      <c r="M137" s="5">
        <v>108</v>
      </c>
      <c r="N137" s="5">
        <v>220</v>
      </c>
      <c r="O137" s="5">
        <v>254</v>
      </c>
      <c r="P137" s="7">
        <f>O137*E137/1000</f>
        <v>2.54</v>
      </c>
      <c r="Q137" s="5">
        <f>MIN(INT(O137/F137)*F137,ROUNDUP(MAX(0,(N137*0.5+(L137/7*30)*0.3+(K137*30)*0.2)*0.8-I137)/F137,0)*F137)</f>
        <v>81</v>
      </c>
      <c r="R137" s="7">
        <f>Q137*E137/1000</f>
        <v>0.81</v>
      </c>
      <c r="S137" s="5" t="s">
        <v>23</v>
      </c>
    </row>
    <row r="138" ht="23" customHeight="1" spans="1:19" s="4" customFormat="1" x14ac:dyDescent="0.25">
      <c r="A138" s="5" t="s">
        <v>56</v>
      </c>
      <c r="B138" s="6" t="s">
        <v>27</v>
      </c>
      <c r="C138" s="5" t="s">
        <v>21</v>
      </c>
      <c r="D138" s="5" t="s">
        <v>22</v>
      </c>
      <c r="E138" s="5">
        <v>10</v>
      </c>
      <c r="F138" s="5">
        <v>1</v>
      </c>
      <c r="G138" s="5">
        <v>0</v>
      </c>
      <c r="H138" s="5">
        <v>0</v>
      </c>
      <c r="I138" s="5">
        <v>123</v>
      </c>
      <c r="J138" s="5">
        <v>123</v>
      </c>
      <c r="K138" s="5">
        <v>2</v>
      </c>
      <c r="L138" s="5">
        <v>18</v>
      </c>
      <c r="M138" s="5">
        <v>51</v>
      </c>
      <c r="N138" s="5">
        <v>116</v>
      </c>
      <c r="O138" s="5">
        <v>26</v>
      </c>
      <c r="P138" s="7">
        <f>O138*E138/1000</f>
        <v>0.26</v>
      </c>
      <c r="Q138" s="5">
        <f>MIN(INT(O138/F138)*F138,ROUNDUP(MAX(0,(N138*0.5+(L138/7*30)*0.3+(K138*30)*0.2)*0.8-I138)/F138,0)*F138)</f>
        <v>0</v>
      </c>
      <c r="R138" s="7">
        <f>Q138*E138/1000</f>
        <v>0</v>
      </c>
      <c r="S138" s="5" t="s">
        <v>23</v>
      </c>
    </row>
    <row r="139" ht="23" customHeight="1" spans="1:19" s="4" customFormat="1" x14ac:dyDescent="0.25">
      <c r="A139" s="5" t="s">
        <v>56</v>
      </c>
      <c r="B139" s="6" t="s">
        <v>28</v>
      </c>
      <c r="C139" s="5" t="s">
        <v>21</v>
      </c>
      <c r="D139" s="5" t="s">
        <v>22</v>
      </c>
      <c r="E139" s="5">
        <v>5</v>
      </c>
      <c r="F139" s="5">
        <v>1</v>
      </c>
      <c r="G139" s="5">
        <v>0</v>
      </c>
      <c r="H139" s="5">
        <v>0</v>
      </c>
      <c r="I139" s="5">
        <v>103</v>
      </c>
      <c r="J139" s="5">
        <v>94</v>
      </c>
      <c r="K139" s="5">
        <v>56</v>
      </c>
      <c r="L139" s="5">
        <v>286</v>
      </c>
      <c r="M139" s="5">
        <v>597</v>
      </c>
      <c r="N139" s="5">
        <v>1006</v>
      </c>
      <c r="O139" s="5">
        <v>832</v>
      </c>
      <c r="P139" s="7">
        <f>O139*E139/1000</f>
        <v>4.16</v>
      </c>
      <c r="Q139" s="5">
        <f>MIN(INT(O139/F139)*F139,ROUNDUP(MAX(0,(N139*0.5+(L139/7*30)*0.3+(K139*30)*0.2)*0.8-I139)/F139,0)*F139)</f>
        <v>832</v>
      </c>
      <c r="R139" s="7">
        <f>Q139*E139/1000</f>
        <v>4.16</v>
      </c>
      <c r="S139" s="5" t="s">
        <v>23</v>
      </c>
    </row>
    <row r="140" ht="23" customHeight="1" spans="1:19" s="4" customFormat="1" x14ac:dyDescent="0.25">
      <c r="A140" s="5" t="s">
        <v>56</v>
      </c>
      <c r="B140" s="6" t="s">
        <v>29</v>
      </c>
      <c r="C140" s="5" t="s">
        <v>21</v>
      </c>
      <c r="D140" s="5" t="s">
        <v>22</v>
      </c>
      <c r="E140" s="5">
        <v>25</v>
      </c>
      <c r="F140" s="5">
        <v>1</v>
      </c>
      <c r="G140" s="5">
        <v>0</v>
      </c>
      <c r="H140" s="5">
        <v>0</v>
      </c>
      <c r="I140" s="5">
        <v>75</v>
      </c>
      <c r="J140" s="5">
        <v>73</v>
      </c>
      <c r="K140" s="5">
        <v>8</v>
      </c>
      <c r="L140" s="5">
        <v>24</v>
      </c>
      <c r="M140" s="5">
        <v>50</v>
      </c>
      <c r="N140" s="5">
        <v>80</v>
      </c>
      <c r="O140" s="5">
        <v>62</v>
      </c>
      <c r="P140" s="7">
        <f>O140*E140/1000</f>
        <v>1.55</v>
      </c>
      <c r="Q140" s="5">
        <f>MIN(INT(O140/F140)*F140,ROUNDUP(MAX(0,(N140*0.5+(L140/7*30)*0.3+(K140*30)*0.2)*0.8-I140)/F140,0)*F140)</f>
        <v>21</v>
      </c>
      <c r="R140" s="7">
        <f>Q140*E140/1000</f>
        <v>0.525</v>
      </c>
      <c r="S140" s="5" t="s">
        <v>23</v>
      </c>
    </row>
    <row r="141" ht="23" customHeight="1" spans="1:19" s="4" customFormat="1" x14ac:dyDescent="0.25">
      <c r="A141" s="5" t="s">
        <v>56</v>
      </c>
      <c r="B141" s="6" t="s">
        <v>30</v>
      </c>
      <c r="C141" s="5" t="s">
        <v>21</v>
      </c>
      <c r="D141" s="5" t="s">
        <v>22</v>
      </c>
      <c r="E141" s="5">
        <v>10</v>
      </c>
      <c r="F141" s="5">
        <v>1</v>
      </c>
      <c r="G141" s="5">
        <v>0</v>
      </c>
      <c r="H141" s="5">
        <v>0</v>
      </c>
      <c r="I141" s="5">
        <v>79</v>
      </c>
      <c r="J141" s="5">
        <v>79</v>
      </c>
      <c r="K141" s="5">
        <v>3</v>
      </c>
      <c r="L141" s="5">
        <v>24</v>
      </c>
      <c r="M141" s="5">
        <v>39</v>
      </c>
      <c r="N141" s="5">
        <v>60</v>
      </c>
      <c r="O141" s="5">
        <v>0</v>
      </c>
      <c r="P141" s="7">
        <f>O141*E141/1000</f>
        <v>0</v>
      </c>
      <c r="Q141" s="5">
        <f>MIN(INT(O141/F141)*F141,ROUNDUP(MAX(0,(N141*0.5+(L141/7*30)*0.3+(K141*30)*0.2)*0.8-I141)/F141,0)*F141)</f>
        <v>0</v>
      </c>
      <c r="R141" s="7">
        <f>Q141*E141/1000</f>
        <v>0</v>
      </c>
      <c r="S141" s="5" t="s">
        <v>23</v>
      </c>
    </row>
    <row r="142" ht="23" customHeight="1" spans="1:19" s="4" customFormat="1" x14ac:dyDescent="0.25">
      <c r="A142" s="5" t="s">
        <v>56</v>
      </c>
      <c r="B142" s="6" t="s">
        <v>31</v>
      </c>
      <c r="C142" s="5" t="s">
        <v>21</v>
      </c>
      <c r="D142" s="5" t="s">
        <v>22</v>
      </c>
      <c r="E142" s="5">
        <v>5</v>
      </c>
      <c r="F142" s="5">
        <v>5</v>
      </c>
      <c r="G142" s="5">
        <v>0</v>
      </c>
      <c r="H142" s="5">
        <v>0</v>
      </c>
      <c r="I142" s="5">
        <v>48</v>
      </c>
      <c r="J142" s="5">
        <v>48</v>
      </c>
      <c r="K142" s="5">
        <v>0</v>
      </c>
      <c r="L142" s="5">
        <v>9</v>
      </c>
      <c r="M142" s="5">
        <v>16</v>
      </c>
      <c r="N142" s="5">
        <v>36</v>
      </c>
      <c r="O142" s="5">
        <v>20</v>
      </c>
      <c r="P142" s="7">
        <f>O142*E142/1000</f>
        <v>0.1</v>
      </c>
      <c r="Q142" s="5">
        <f>MIN(INT(O142/F142)*F142,ROUNDUP(MAX(0,(N142*0.5+(L142/7*30)*0.3+(K142*30)*0.2)*0.8-I142)/F142,0)*F142)</f>
        <v>0</v>
      </c>
      <c r="R142" s="7">
        <f>Q142*E142/1000</f>
        <v>0</v>
      </c>
      <c r="S142" s="5" t="s">
        <v>23</v>
      </c>
    </row>
    <row r="143" ht="23" customHeight="1" spans="1:19" s="4" customFormat="1" x14ac:dyDescent="0.25">
      <c r="A143" s="5" t="s">
        <v>56</v>
      </c>
      <c r="B143" s="6" t="s">
        <v>32</v>
      </c>
      <c r="C143" s="5" t="s">
        <v>21</v>
      </c>
      <c r="D143" s="5" t="s">
        <v>22</v>
      </c>
      <c r="E143" s="5">
        <v>2.5</v>
      </c>
      <c r="F143" s="5">
        <v>1</v>
      </c>
      <c r="G143" s="5">
        <v>0</v>
      </c>
      <c r="H143" s="5">
        <v>0</v>
      </c>
      <c r="I143" s="5">
        <v>125</v>
      </c>
      <c r="J143" s="5">
        <v>125</v>
      </c>
      <c r="K143" s="5">
        <v>0</v>
      </c>
      <c r="L143" s="5">
        <v>4</v>
      </c>
      <c r="M143" s="5">
        <v>12</v>
      </c>
      <c r="N143" s="5">
        <v>62</v>
      </c>
      <c r="O143" s="5">
        <v>0</v>
      </c>
      <c r="P143" s="7">
        <f>O143*E143/1000</f>
        <v>0</v>
      </c>
      <c r="Q143" s="5">
        <f>MIN(INT(O143/F143)*F143,ROUNDUP(MAX(0,(N143*0.5+(L143/7*30)*0.3+(K143*30)*0.2)*0.8-I143)/F143,0)*F143)</f>
        <v>0</v>
      </c>
      <c r="R143" s="7">
        <f>Q143*E143/1000</f>
        <v>0</v>
      </c>
      <c r="S143" s="5" t="s">
        <v>23</v>
      </c>
    </row>
    <row r="144" ht="23" customHeight="1" spans="1:19" s="4" customFormat="1" x14ac:dyDescent="0.25">
      <c r="A144" s="5" t="s">
        <v>56</v>
      </c>
      <c r="B144" s="6" t="s">
        <v>33</v>
      </c>
      <c r="C144" s="5" t="s">
        <v>21</v>
      </c>
      <c r="D144" s="5" t="s">
        <v>22</v>
      </c>
      <c r="E144" s="5">
        <v>5</v>
      </c>
      <c r="F144" s="5">
        <v>1</v>
      </c>
      <c r="G144" s="5">
        <v>0</v>
      </c>
      <c r="H144" s="5">
        <v>0</v>
      </c>
      <c r="I144" s="5">
        <v>180</v>
      </c>
      <c r="J144" s="5">
        <v>180</v>
      </c>
      <c r="K144" s="5">
        <v>8</v>
      </c>
      <c r="L144" s="5">
        <v>62</v>
      </c>
      <c r="M144" s="5">
        <v>122</v>
      </c>
      <c r="N144" s="5">
        <v>259</v>
      </c>
      <c r="O144" s="5">
        <v>221</v>
      </c>
      <c r="P144" s="7">
        <f>O144*E144/1000</f>
        <v>1.105</v>
      </c>
      <c r="Q144" s="5">
        <f>MIN(INT(O144/F144)*F144,ROUNDUP(MAX(0,(N144*0.5+(L144/7*30)*0.3+(K144*30)*0.2)*0.8-I144)/F144,0)*F144)</f>
        <v>26</v>
      </c>
      <c r="R144" s="7">
        <f>Q144*E144/1000</f>
        <v>0.13</v>
      </c>
      <c r="S144" s="5" t="s">
        <v>23</v>
      </c>
    </row>
    <row r="145" ht="23" customHeight="1" spans="1:19" s="8" customFormat="1" x14ac:dyDescent="0.25">
      <c r="A145" s="9" t="s">
        <v>57</v>
      </c>
      <c r="B145" s="9" t="s">
        <v>23</v>
      </c>
      <c r="C145" s="9" t="s">
        <v>23</v>
      </c>
      <c r="D145" s="9" t="s">
        <v>23</v>
      </c>
      <c r="E145" s="9" t="s">
        <v>23</v>
      </c>
      <c r="F145" s="9" t="s">
        <v>23</v>
      </c>
      <c r="G145" s="9" t="s">
        <v>23</v>
      </c>
      <c r="H145" s="9" t="s">
        <v>23</v>
      </c>
      <c r="I145" s="9" t="s">
        <v>23</v>
      </c>
      <c r="J145" s="9" t="s">
        <v>23</v>
      </c>
      <c r="K145" s="9" t="s">
        <v>23</v>
      </c>
      <c r="L145" s="9" t="s">
        <v>23</v>
      </c>
      <c r="M145" s="9" t="s">
        <v>23</v>
      </c>
      <c r="N145" s="9" t="s">
        <v>23</v>
      </c>
      <c r="O145" s="9">
        <f>SUM(O134:O144)</f>
        <v>1631</v>
      </c>
      <c r="P145" s="10">
        <f>SUM(P134:P144)</f>
        <v>10.845</v>
      </c>
      <c r="Q145" s="9">
        <f>SUM(Q134:Q144)</f>
        <v>1078</v>
      </c>
      <c r="R145" s="10">
        <f>SUM(R134:R144)</f>
        <v>6.4</v>
      </c>
      <c r="S145" s="9" t="s">
        <v>23</v>
      </c>
    </row>
    <row r="146" ht="23" customHeight="1" spans="1:19" s="4" customFormat="1" x14ac:dyDescent="0.25">
      <c r="A146" s="5" t="s">
        <v>58</v>
      </c>
      <c r="B146" s="6" t="s">
        <v>20</v>
      </c>
      <c r="C146" s="5" t="s">
        <v>21</v>
      </c>
      <c r="D146" s="5" t="s">
        <v>22</v>
      </c>
      <c r="E146" s="5">
        <v>2.5</v>
      </c>
      <c r="F146" s="5">
        <v>1</v>
      </c>
      <c r="G146" s="5">
        <v>0</v>
      </c>
      <c r="H146" s="5">
        <v>0</v>
      </c>
      <c r="I146" s="5">
        <v>19</v>
      </c>
      <c r="J146" s="5">
        <v>19</v>
      </c>
      <c r="K146" s="5">
        <v>0</v>
      </c>
      <c r="L146" s="5">
        <v>4</v>
      </c>
      <c r="M146" s="5">
        <v>12</v>
      </c>
      <c r="N146" s="5">
        <v>28</v>
      </c>
      <c r="O146" s="5">
        <v>31</v>
      </c>
      <c r="P146" s="7">
        <f>O146*E146/1000</f>
        <v>0.0775</v>
      </c>
      <c r="Q146" s="5">
        <f>MIN(INT(O146/F146)*F146,ROUNDUP(MAX(0,(N146*0.5+(L146/7*30)*0.3+(K146*30)*0.2)*0.8-I146)/F146,0)*F146)</f>
        <v>0</v>
      </c>
      <c r="R146" s="7">
        <f>Q146*E146/1000</f>
        <v>0</v>
      </c>
      <c r="S146" s="5" t="s">
        <v>23</v>
      </c>
    </row>
    <row r="147" ht="23" customHeight="1" spans="1:19" s="4" customFormat="1" x14ac:dyDescent="0.25">
      <c r="A147" s="5" t="s">
        <v>58</v>
      </c>
      <c r="B147" s="6" t="s">
        <v>24</v>
      </c>
      <c r="C147" s="5" t="s">
        <v>21</v>
      </c>
      <c r="D147" s="5" t="s">
        <v>22</v>
      </c>
      <c r="E147" s="5">
        <v>10</v>
      </c>
      <c r="F147" s="5">
        <v>1</v>
      </c>
      <c r="G147" s="5">
        <v>0</v>
      </c>
      <c r="H147" s="5">
        <v>0</v>
      </c>
      <c r="I147" s="5">
        <v>14</v>
      </c>
      <c r="J147" s="5">
        <v>13</v>
      </c>
      <c r="K147" s="5">
        <v>0</v>
      </c>
      <c r="L147" s="5">
        <v>6</v>
      </c>
      <c r="M147" s="5">
        <v>21</v>
      </c>
      <c r="N147" s="5">
        <v>40</v>
      </c>
      <c r="O147" s="5">
        <v>0</v>
      </c>
      <c r="P147" s="7">
        <f>O147*E147/1000</f>
        <v>0</v>
      </c>
      <c r="Q147" s="5">
        <f>MIN(INT(O147/F147)*F147,ROUNDUP(MAX(0,(N147*0.5+(L147/7*30)*0.3+(K147*30)*0.2)*0.8-I147)/F147,0)*F147)</f>
        <v>0</v>
      </c>
      <c r="R147" s="7">
        <f>Q147*E147/1000</f>
        <v>0</v>
      </c>
      <c r="S147" s="5" t="s">
        <v>23</v>
      </c>
    </row>
    <row r="148" ht="23" customHeight="1" spans="1:19" s="4" customFormat="1" x14ac:dyDescent="0.25">
      <c r="A148" s="5" t="s">
        <v>58</v>
      </c>
      <c r="B148" s="6" t="s">
        <v>25</v>
      </c>
      <c r="C148" s="5" t="s">
        <v>21</v>
      </c>
      <c r="D148" s="5" t="s">
        <v>22</v>
      </c>
      <c r="E148" s="5">
        <v>5</v>
      </c>
      <c r="F148" s="5">
        <v>1</v>
      </c>
      <c r="G148" s="5">
        <v>0</v>
      </c>
      <c r="H148" s="5">
        <v>0</v>
      </c>
      <c r="I148" s="5">
        <v>56</v>
      </c>
      <c r="J148" s="5">
        <v>56</v>
      </c>
      <c r="K148" s="5">
        <v>2</v>
      </c>
      <c r="L148" s="5">
        <v>19</v>
      </c>
      <c r="M148" s="5">
        <v>31</v>
      </c>
      <c r="N148" s="5">
        <v>61</v>
      </c>
      <c r="O148" s="5">
        <v>114</v>
      </c>
      <c r="P148" s="7">
        <f>O148*E148/1000</f>
        <v>0.57</v>
      </c>
      <c r="Q148" s="5">
        <f>MIN(INT(O148/F148)*F148,ROUNDUP(MAX(0,(N148*0.5+(L148/7*30)*0.3+(K148*30)*0.2)*0.8-I148)/F148,0)*F148)</f>
        <v>0</v>
      </c>
      <c r="R148" s="7">
        <f>Q148*E148/1000</f>
        <v>0</v>
      </c>
      <c r="S148" s="5" t="s">
        <v>23</v>
      </c>
    </row>
    <row r="149" ht="23" customHeight="1" spans="1:19" s="4" customFormat="1" x14ac:dyDescent="0.25">
      <c r="A149" s="5" t="s">
        <v>58</v>
      </c>
      <c r="B149" s="6" t="s">
        <v>26</v>
      </c>
      <c r="C149" s="5" t="s">
        <v>21</v>
      </c>
      <c r="D149" s="5" t="s">
        <v>22</v>
      </c>
      <c r="E149" s="5">
        <v>10</v>
      </c>
      <c r="F149" s="5">
        <v>1</v>
      </c>
      <c r="G149" s="5">
        <v>0</v>
      </c>
      <c r="H149" s="5">
        <v>0</v>
      </c>
      <c r="I149" s="5">
        <v>53</v>
      </c>
      <c r="J149" s="5">
        <v>53</v>
      </c>
      <c r="K149" s="5">
        <v>3</v>
      </c>
      <c r="L149" s="5">
        <v>10</v>
      </c>
      <c r="M149" s="5">
        <v>19</v>
      </c>
      <c r="N149" s="5">
        <v>35</v>
      </c>
      <c r="O149" s="5">
        <v>17</v>
      </c>
      <c r="P149" s="7">
        <f>O149*E149/1000</f>
        <v>0.17</v>
      </c>
      <c r="Q149" s="5">
        <f>MIN(INT(O149/F149)*F149,ROUNDUP(MAX(0,(N149*0.5+(L149/7*30)*0.3+(K149*30)*0.2)*0.8-I149)/F149,0)*F149)</f>
        <v>0</v>
      </c>
      <c r="R149" s="7">
        <f>Q149*E149/1000</f>
        <v>0</v>
      </c>
      <c r="S149" s="5" t="s">
        <v>23</v>
      </c>
    </row>
    <row r="150" ht="23" customHeight="1" spans="1:19" s="4" customFormat="1" x14ac:dyDescent="0.25">
      <c r="A150" s="5" t="s">
        <v>58</v>
      </c>
      <c r="B150" s="6" t="s">
        <v>27</v>
      </c>
      <c r="C150" s="5" t="s">
        <v>21</v>
      </c>
      <c r="D150" s="5" t="s">
        <v>22</v>
      </c>
      <c r="E150" s="5">
        <v>10</v>
      </c>
      <c r="F150" s="5">
        <v>1</v>
      </c>
      <c r="G150" s="5">
        <v>0</v>
      </c>
      <c r="H150" s="5">
        <v>0</v>
      </c>
      <c r="I150" s="5">
        <v>27</v>
      </c>
      <c r="J150" s="5">
        <v>27</v>
      </c>
      <c r="K150" s="5">
        <v>1</v>
      </c>
      <c r="L150" s="5">
        <v>11</v>
      </c>
      <c r="M150" s="5">
        <v>16</v>
      </c>
      <c r="N150" s="5">
        <v>31</v>
      </c>
      <c r="O150" s="5">
        <v>9</v>
      </c>
      <c r="P150" s="7">
        <f>O150*E150/1000</f>
        <v>0.09</v>
      </c>
      <c r="Q150" s="5">
        <f>MIN(INT(O150/F150)*F150,ROUNDUP(MAX(0,(N150*0.5+(L150/7*30)*0.3+(K150*30)*0.2)*0.8-I150)/F150,0)*F150)</f>
        <v>2</v>
      </c>
      <c r="R150" s="7">
        <f>Q150*E150/1000</f>
        <v>0.02</v>
      </c>
      <c r="S150" s="5" t="s">
        <v>23</v>
      </c>
    </row>
    <row r="151" ht="23" customHeight="1" spans="1:19" s="4" customFormat="1" x14ac:dyDescent="0.25">
      <c r="A151" s="5" t="s">
        <v>58</v>
      </c>
      <c r="B151" s="6" t="s">
        <v>28</v>
      </c>
      <c r="C151" s="5" t="s">
        <v>21</v>
      </c>
      <c r="D151" s="5" t="s">
        <v>22</v>
      </c>
      <c r="E151" s="5">
        <v>5</v>
      </c>
      <c r="F151" s="5">
        <v>1</v>
      </c>
      <c r="G151" s="5">
        <v>0</v>
      </c>
      <c r="H151" s="5">
        <v>0</v>
      </c>
      <c r="I151" s="5">
        <v>13</v>
      </c>
      <c r="J151" s="5">
        <v>1</v>
      </c>
      <c r="K151" s="5">
        <v>7</v>
      </c>
      <c r="L151" s="5">
        <v>128</v>
      </c>
      <c r="M151" s="5">
        <v>301</v>
      </c>
      <c r="N151" s="5">
        <v>468</v>
      </c>
      <c r="O151" s="5">
        <v>58</v>
      </c>
      <c r="P151" s="7">
        <f>O151*E151/1000</f>
        <v>0.29</v>
      </c>
      <c r="Q151" s="5">
        <f>MIN(INT(O151/F151)*F151,ROUNDUP(MAX(0,(N151*0.5+(L151/7*30)*0.3+(K151*30)*0.2)*0.8-I151)/F151,0)*F151)</f>
        <v>58</v>
      </c>
      <c r="R151" s="7">
        <f>Q151*E151/1000</f>
        <v>0.29</v>
      </c>
      <c r="S151" s="5" t="s">
        <v>23</v>
      </c>
    </row>
    <row r="152" ht="23" customHeight="1" spans="1:19" s="4" customFormat="1" x14ac:dyDescent="0.25">
      <c r="A152" s="5" t="s">
        <v>58</v>
      </c>
      <c r="B152" s="6" t="s">
        <v>29</v>
      </c>
      <c r="C152" s="5" t="s">
        <v>21</v>
      </c>
      <c r="D152" s="5" t="s">
        <v>22</v>
      </c>
      <c r="E152" s="5">
        <v>25</v>
      </c>
      <c r="F152" s="5">
        <v>1</v>
      </c>
      <c r="G152" s="5">
        <v>0</v>
      </c>
      <c r="H152" s="5">
        <v>0</v>
      </c>
      <c r="I152" s="5">
        <v>53</v>
      </c>
      <c r="J152" s="5">
        <v>53</v>
      </c>
      <c r="K152" s="5">
        <v>0</v>
      </c>
      <c r="L152" s="5">
        <v>6</v>
      </c>
      <c r="M152" s="5">
        <v>11</v>
      </c>
      <c r="N152" s="5">
        <v>12</v>
      </c>
      <c r="O152" s="5">
        <v>29</v>
      </c>
      <c r="P152" s="7">
        <f>O152*E152/1000</f>
        <v>0.725</v>
      </c>
      <c r="Q152" s="5">
        <f>MIN(INT(O152/F152)*F152,ROUNDUP(MAX(0,(N152*0.5+(L152/7*30)*0.3+(K152*30)*0.2)*0.8-I152)/F152,0)*F152)</f>
        <v>0</v>
      </c>
      <c r="R152" s="7">
        <f>Q152*E152/1000</f>
        <v>0</v>
      </c>
      <c r="S152" s="5" t="s">
        <v>23</v>
      </c>
    </row>
    <row r="153" ht="23" customHeight="1" spans="1:19" s="4" customFormat="1" x14ac:dyDescent="0.25">
      <c r="A153" s="5" t="s">
        <v>58</v>
      </c>
      <c r="B153" s="6" t="s">
        <v>30</v>
      </c>
      <c r="C153" s="5" t="s">
        <v>21</v>
      </c>
      <c r="D153" s="5" t="s">
        <v>22</v>
      </c>
      <c r="E153" s="5">
        <v>10</v>
      </c>
      <c r="F153" s="5">
        <v>1</v>
      </c>
      <c r="G153" s="5">
        <v>58</v>
      </c>
      <c r="H153" s="5">
        <v>0</v>
      </c>
      <c r="I153" s="5">
        <v>58</v>
      </c>
      <c r="J153" s="5">
        <v>58</v>
      </c>
      <c r="K153" s="5">
        <v>3</v>
      </c>
      <c r="L153" s="5">
        <v>9</v>
      </c>
      <c r="M153" s="5">
        <v>22</v>
      </c>
      <c r="N153" s="5">
        <v>42</v>
      </c>
      <c r="O153" s="5">
        <v>19</v>
      </c>
      <c r="P153" s="7">
        <f>O153*E153/1000</f>
        <v>0.19</v>
      </c>
      <c r="Q153" s="5">
        <f>MIN(INT(O153/F153)*F153,ROUNDUP(MAX(0,(N153*0.5+(L153/7*30)*0.3+(K153*30)*0.2)*0.8-I153)/F153,0)*F153)</f>
        <v>0</v>
      </c>
      <c r="R153" s="7">
        <f>Q153*E153/1000</f>
        <v>0</v>
      </c>
      <c r="S153" s="5" t="s">
        <v>23</v>
      </c>
    </row>
    <row r="154" ht="23" customHeight="1" spans="1:19" s="4" customFormat="1" x14ac:dyDescent="0.25">
      <c r="A154" s="5" t="s">
        <v>58</v>
      </c>
      <c r="B154" s="6" t="s">
        <v>31</v>
      </c>
      <c r="C154" s="5" t="s">
        <v>21</v>
      </c>
      <c r="D154" s="5" t="s">
        <v>22</v>
      </c>
      <c r="E154" s="5">
        <v>5</v>
      </c>
      <c r="F154" s="5">
        <v>5</v>
      </c>
      <c r="G154" s="5">
        <v>20</v>
      </c>
      <c r="H154" s="5">
        <v>0</v>
      </c>
      <c r="I154" s="5">
        <v>20</v>
      </c>
      <c r="J154" s="5">
        <v>20</v>
      </c>
      <c r="K154" s="5">
        <v>0</v>
      </c>
      <c r="L154" s="5">
        <v>0</v>
      </c>
      <c r="M154" s="5">
        <v>2</v>
      </c>
      <c r="N154" s="5">
        <v>26</v>
      </c>
      <c r="O154" s="5">
        <v>0</v>
      </c>
      <c r="P154" s="7">
        <f>O154*E154/1000</f>
        <v>0</v>
      </c>
      <c r="Q154" s="5">
        <f>MIN(INT(O154/F154)*F154,ROUNDUP(MAX(0,(N154*0.5+(L154/7*30)*0.3+(K154*30)*0.2)*0.8-I154)/F154,0)*F154)</f>
        <v>0</v>
      </c>
      <c r="R154" s="7">
        <f>Q154*E154/1000</f>
        <v>0</v>
      </c>
      <c r="S154" s="5" t="s">
        <v>23</v>
      </c>
    </row>
    <row r="155" ht="23" customHeight="1" spans="1:19" s="4" customFormat="1" x14ac:dyDescent="0.25">
      <c r="A155" s="5" t="s">
        <v>58</v>
      </c>
      <c r="B155" s="6" t="s">
        <v>32</v>
      </c>
      <c r="C155" s="5" t="s">
        <v>21</v>
      </c>
      <c r="D155" s="5" t="s">
        <v>22</v>
      </c>
      <c r="E155" s="5">
        <v>2.5</v>
      </c>
      <c r="F155" s="5">
        <v>1</v>
      </c>
      <c r="G155" s="5">
        <v>0</v>
      </c>
      <c r="H155" s="5">
        <v>0</v>
      </c>
      <c r="I155" s="5">
        <v>8</v>
      </c>
      <c r="J155" s="5">
        <v>8</v>
      </c>
      <c r="K155" s="5">
        <v>2</v>
      </c>
      <c r="L155" s="5">
        <v>7</v>
      </c>
      <c r="M155" s="5">
        <v>28</v>
      </c>
      <c r="N155" s="5">
        <v>40</v>
      </c>
      <c r="O155" s="5">
        <v>0</v>
      </c>
      <c r="P155" s="7">
        <f>O155*E155/1000</f>
        <v>0</v>
      </c>
      <c r="Q155" s="5">
        <f>MIN(INT(O155/F155)*F155,ROUNDUP(MAX(0,(N155*0.5+(L155/7*30)*0.3+(K155*30)*0.2)*0.8-I155)/F155,0)*F155)</f>
        <v>0</v>
      </c>
      <c r="R155" s="7">
        <f>Q155*E155/1000</f>
        <v>0</v>
      </c>
      <c r="S155" s="5" t="s">
        <v>23</v>
      </c>
    </row>
    <row r="156" ht="23" customHeight="1" spans="1:19" s="4" customFormat="1" x14ac:dyDescent="0.25">
      <c r="A156" s="5" t="s">
        <v>58</v>
      </c>
      <c r="B156" s="6" t="s">
        <v>33</v>
      </c>
      <c r="C156" s="5" t="s">
        <v>21</v>
      </c>
      <c r="D156" s="5" t="s">
        <v>22</v>
      </c>
      <c r="E156" s="5">
        <v>5</v>
      </c>
      <c r="F156" s="5">
        <v>1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29</v>
      </c>
      <c r="M156" s="5">
        <v>85</v>
      </c>
      <c r="N156" s="5">
        <v>167</v>
      </c>
      <c r="O156" s="5">
        <v>172</v>
      </c>
      <c r="P156" s="7">
        <f>O156*E156/1000</f>
        <v>0.86</v>
      </c>
      <c r="Q156" s="5">
        <f>MIN(INT(O156/F156)*F156,ROUNDUP(MAX(0,(N156*0.5+(L156/7*30)*0.3+(K156*30)*0.2)*0.8-I156)/F156,0)*F156)</f>
        <v>97</v>
      </c>
      <c r="R156" s="7">
        <f>Q156*E156/1000</f>
        <v>0.485</v>
      </c>
      <c r="S156" s="5" t="s">
        <v>23</v>
      </c>
    </row>
    <row r="157" ht="23" customHeight="1" spans="1:19" s="8" customFormat="1" x14ac:dyDescent="0.25">
      <c r="A157" s="9" t="s">
        <v>59</v>
      </c>
      <c r="B157" s="9" t="s">
        <v>23</v>
      </c>
      <c r="C157" s="9" t="s">
        <v>23</v>
      </c>
      <c r="D157" s="9" t="s">
        <v>23</v>
      </c>
      <c r="E157" s="9" t="s">
        <v>23</v>
      </c>
      <c r="F157" s="9" t="s">
        <v>23</v>
      </c>
      <c r="G157" s="9" t="s">
        <v>23</v>
      </c>
      <c r="H157" s="9" t="s">
        <v>23</v>
      </c>
      <c r="I157" s="9" t="s">
        <v>23</v>
      </c>
      <c r="J157" s="9" t="s">
        <v>23</v>
      </c>
      <c r="K157" s="9" t="s">
        <v>23</v>
      </c>
      <c r="L157" s="9" t="s">
        <v>23</v>
      </c>
      <c r="M157" s="9" t="s">
        <v>23</v>
      </c>
      <c r="N157" s="9" t="s">
        <v>23</v>
      </c>
      <c r="O157" s="9">
        <f>SUM(O146:O156)</f>
        <v>449</v>
      </c>
      <c r="P157" s="10">
        <f>SUM(P146:P156)</f>
        <v>2.9724999999999997</v>
      </c>
      <c r="Q157" s="9">
        <f>SUM(Q146:Q156)</f>
        <v>157</v>
      </c>
      <c r="R157" s="10">
        <f>SUM(R146:R156)</f>
        <v>0.7949999999999999</v>
      </c>
      <c r="S157" s="9" t="s">
        <v>23</v>
      </c>
    </row>
    <row r="158" ht="23" customHeight="1" spans="1:19" s="4" customFormat="1" x14ac:dyDescent="0.25">
      <c r="A158" s="5" t="s">
        <v>60</v>
      </c>
      <c r="B158" s="6" t="s">
        <v>20</v>
      </c>
      <c r="C158" s="5" t="s">
        <v>21</v>
      </c>
      <c r="D158" s="5" t="s">
        <v>22</v>
      </c>
      <c r="E158" s="5">
        <v>2.5</v>
      </c>
      <c r="F158" s="5">
        <v>1</v>
      </c>
      <c r="G158" s="5">
        <v>0</v>
      </c>
      <c r="H158" s="5">
        <v>0</v>
      </c>
      <c r="I158" s="5">
        <v>157</v>
      </c>
      <c r="J158" s="5">
        <v>157</v>
      </c>
      <c r="K158" s="5">
        <v>0</v>
      </c>
      <c r="L158" s="5">
        <v>7</v>
      </c>
      <c r="M158" s="5">
        <v>14</v>
      </c>
      <c r="N158" s="5">
        <v>52</v>
      </c>
      <c r="O158" s="5">
        <v>73</v>
      </c>
      <c r="P158" s="7">
        <f>O158*E158/1000</f>
        <v>0.1825</v>
      </c>
      <c r="Q158" s="5">
        <f>MIN(INT(O158/F158)*F158,ROUNDUP(MAX(0,(N158*0.5+(L158/7*30)*0.3+(K158*30)*0.2)*0.8-I158)/F158,0)*F158)</f>
        <v>0</v>
      </c>
      <c r="R158" s="7">
        <f>Q158*E158/1000</f>
        <v>0</v>
      </c>
      <c r="S158" s="5" t="s">
        <v>23</v>
      </c>
    </row>
    <row r="159" ht="23" customHeight="1" spans="1:19" s="4" customFormat="1" x14ac:dyDescent="0.25">
      <c r="A159" s="5" t="s">
        <v>60</v>
      </c>
      <c r="B159" s="6" t="s">
        <v>24</v>
      </c>
      <c r="C159" s="5" t="s">
        <v>21</v>
      </c>
      <c r="D159" s="5" t="s">
        <v>22</v>
      </c>
      <c r="E159" s="5">
        <v>10</v>
      </c>
      <c r="F159" s="5">
        <v>1</v>
      </c>
      <c r="G159" s="5">
        <v>0</v>
      </c>
      <c r="H159" s="5">
        <v>0</v>
      </c>
      <c r="I159" s="5">
        <v>38</v>
      </c>
      <c r="J159" s="5">
        <v>38</v>
      </c>
      <c r="K159" s="5">
        <v>2</v>
      </c>
      <c r="L159" s="5">
        <v>21</v>
      </c>
      <c r="M159" s="5">
        <v>60</v>
      </c>
      <c r="N159" s="5">
        <v>85</v>
      </c>
      <c r="O159" s="5">
        <v>24</v>
      </c>
      <c r="P159" s="7">
        <f>O159*E159/1000</f>
        <v>0.24</v>
      </c>
      <c r="Q159" s="5">
        <f>MIN(INT(O159/F159)*F159,ROUNDUP(MAX(0,(N159*0.5+(L159/7*30)*0.3+(K159*30)*0.2)*0.8-I159)/F159,0)*F159)</f>
        <v>24</v>
      </c>
      <c r="R159" s="7">
        <f>Q159*E159/1000</f>
        <v>0.24</v>
      </c>
      <c r="S159" s="5" t="s">
        <v>23</v>
      </c>
    </row>
    <row r="160" ht="23" customHeight="1" spans="1:19" s="4" customFormat="1" x14ac:dyDescent="0.25">
      <c r="A160" s="5" t="s">
        <v>60</v>
      </c>
      <c r="B160" s="6" t="s">
        <v>25</v>
      </c>
      <c r="C160" s="5" t="s">
        <v>21</v>
      </c>
      <c r="D160" s="5" t="s">
        <v>22</v>
      </c>
      <c r="E160" s="5">
        <v>5</v>
      </c>
      <c r="F160" s="5">
        <v>1</v>
      </c>
      <c r="G160" s="5">
        <v>0</v>
      </c>
      <c r="H160" s="5">
        <v>0</v>
      </c>
      <c r="I160" s="5">
        <v>83</v>
      </c>
      <c r="J160" s="5">
        <v>82</v>
      </c>
      <c r="K160" s="5">
        <v>2</v>
      </c>
      <c r="L160" s="5">
        <v>14</v>
      </c>
      <c r="M160" s="5">
        <v>24</v>
      </c>
      <c r="N160" s="5">
        <v>61</v>
      </c>
      <c r="O160" s="5">
        <v>118</v>
      </c>
      <c r="P160" s="7">
        <f>O160*E160/1000</f>
        <v>0.59</v>
      </c>
      <c r="Q160" s="5">
        <f>MIN(INT(O160/F160)*F160,ROUNDUP(MAX(0,(N160*0.5+(L160/7*30)*0.3+(K160*30)*0.2)*0.8-I160)/F160,0)*F160)</f>
        <v>0</v>
      </c>
      <c r="R160" s="7">
        <f>Q160*E160/1000</f>
        <v>0</v>
      </c>
      <c r="S160" s="5" t="s">
        <v>23</v>
      </c>
    </row>
    <row r="161" ht="23" customHeight="1" spans="1:19" s="4" customFormat="1" x14ac:dyDescent="0.25">
      <c r="A161" s="5" t="s">
        <v>60</v>
      </c>
      <c r="B161" s="6" t="s">
        <v>26</v>
      </c>
      <c r="C161" s="5" t="s">
        <v>21</v>
      </c>
      <c r="D161" s="5" t="s">
        <v>22</v>
      </c>
      <c r="E161" s="5">
        <v>10</v>
      </c>
      <c r="F161" s="5">
        <v>1</v>
      </c>
      <c r="G161" s="5">
        <v>0</v>
      </c>
      <c r="H161" s="5">
        <v>0</v>
      </c>
      <c r="I161" s="5">
        <v>25</v>
      </c>
      <c r="J161" s="5">
        <v>25</v>
      </c>
      <c r="K161" s="5">
        <v>0</v>
      </c>
      <c r="L161" s="5">
        <v>11</v>
      </c>
      <c r="M161" s="5">
        <v>23</v>
      </c>
      <c r="N161" s="5">
        <v>49</v>
      </c>
      <c r="O161" s="5">
        <v>98</v>
      </c>
      <c r="P161" s="7">
        <f>O161*E161/1000</f>
        <v>0.98</v>
      </c>
      <c r="Q161" s="5">
        <f>MIN(INT(O161/F161)*F161,ROUNDUP(MAX(0,(N161*0.5+(L161/7*30)*0.3+(K161*30)*0.2)*0.8-I161)/F161,0)*F161)</f>
        <v>6</v>
      </c>
      <c r="R161" s="7">
        <f>Q161*E161/1000</f>
        <v>0.06</v>
      </c>
      <c r="S161" s="5" t="s">
        <v>23</v>
      </c>
    </row>
    <row r="162" ht="23" customHeight="1" spans="1:19" s="4" customFormat="1" x14ac:dyDescent="0.25">
      <c r="A162" s="5" t="s">
        <v>60</v>
      </c>
      <c r="B162" s="6" t="s">
        <v>27</v>
      </c>
      <c r="C162" s="5" t="s">
        <v>21</v>
      </c>
      <c r="D162" s="5" t="s">
        <v>22</v>
      </c>
      <c r="E162" s="5">
        <v>10</v>
      </c>
      <c r="F162" s="5">
        <v>1</v>
      </c>
      <c r="G162" s="5">
        <v>0</v>
      </c>
      <c r="H162" s="5">
        <v>0</v>
      </c>
      <c r="I162" s="5">
        <v>56</v>
      </c>
      <c r="J162" s="5">
        <v>56</v>
      </c>
      <c r="K162" s="5">
        <v>0</v>
      </c>
      <c r="L162" s="5">
        <v>9</v>
      </c>
      <c r="M162" s="5">
        <v>20</v>
      </c>
      <c r="N162" s="5">
        <v>61</v>
      </c>
      <c r="O162" s="5">
        <v>57</v>
      </c>
      <c r="P162" s="7">
        <f>O162*E162/1000</f>
        <v>0.57</v>
      </c>
      <c r="Q162" s="5">
        <f>MIN(INT(O162/F162)*F162,ROUNDUP(MAX(0,(N162*0.5+(L162/7*30)*0.3+(K162*30)*0.2)*0.8-I162)/F162,0)*F162)</f>
        <v>0</v>
      </c>
      <c r="R162" s="7">
        <f>Q162*E162/1000</f>
        <v>0</v>
      </c>
      <c r="S162" s="5" t="s">
        <v>23</v>
      </c>
    </row>
    <row r="163" ht="23" customHeight="1" spans="1:19" s="4" customFormat="1" x14ac:dyDescent="0.25">
      <c r="A163" s="5" t="s">
        <v>60</v>
      </c>
      <c r="B163" s="6" t="s">
        <v>28</v>
      </c>
      <c r="C163" s="5" t="s">
        <v>21</v>
      </c>
      <c r="D163" s="5" t="s">
        <v>22</v>
      </c>
      <c r="E163" s="5">
        <v>5</v>
      </c>
      <c r="F163" s="5">
        <v>1</v>
      </c>
      <c r="G163" s="5">
        <v>0</v>
      </c>
      <c r="H163" s="5">
        <v>0</v>
      </c>
      <c r="I163" s="5">
        <v>151</v>
      </c>
      <c r="J163" s="5">
        <v>146</v>
      </c>
      <c r="K163" s="5">
        <v>22</v>
      </c>
      <c r="L163" s="5">
        <v>198</v>
      </c>
      <c r="M163" s="5">
        <v>490</v>
      </c>
      <c r="N163" s="5">
        <v>769</v>
      </c>
      <c r="O163" s="5">
        <v>0</v>
      </c>
      <c r="P163" s="7">
        <f>O163*E163/1000</f>
        <v>0</v>
      </c>
      <c r="Q163" s="5">
        <f>MIN(INT(O163/F163)*F163,ROUNDUP(MAX(0,(N163*0.5+(L163/7*30)*0.3+(K163*30)*0.2)*0.8-I163)/F163,0)*F163)</f>
        <v>0</v>
      </c>
      <c r="R163" s="7">
        <f>Q163*E163/1000</f>
        <v>0</v>
      </c>
      <c r="S163" s="5" t="s">
        <v>23</v>
      </c>
    </row>
    <row r="164" ht="23" customHeight="1" spans="1:19" s="4" customFormat="1" x14ac:dyDescent="0.25">
      <c r="A164" s="5" t="s">
        <v>60</v>
      </c>
      <c r="B164" s="6" t="s">
        <v>29</v>
      </c>
      <c r="C164" s="5" t="s">
        <v>21</v>
      </c>
      <c r="D164" s="5" t="s">
        <v>22</v>
      </c>
      <c r="E164" s="5">
        <v>25</v>
      </c>
      <c r="F164" s="5">
        <v>1</v>
      </c>
      <c r="G164" s="5">
        <v>0</v>
      </c>
      <c r="H164" s="5">
        <v>0</v>
      </c>
      <c r="I164" s="5">
        <v>53</v>
      </c>
      <c r="J164" s="5">
        <v>52</v>
      </c>
      <c r="K164" s="5">
        <v>4</v>
      </c>
      <c r="L164" s="5">
        <v>34</v>
      </c>
      <c r="M164" s="5">
        <v>62</v>
      </c>
      <c r="N164" s="5">
        <v>107</v>
      </c>
      <c r="O164" s="5">
        <v>256</v>
      </c>
      <c r="P164" s="7">
        <f>O164*E164/1000</f>
        <v>6.4</v>
      </c>
      <c r="Q164" s="5">
        <f>MIN(INT(O164/F164)*F164,ROUNDUP(MAX(0,(N164*0.5+(L164/7*30)*0.3+(K164*30)*0.2)*0.8-I164)/F164,0)*F164)</f>
        <v>44</v>
      </c>
      <c r="R164" s="7">
        <f>Q164*E164/1000</f>
        <v>1.1</v>
      </c>
      <c r="S164" s="5" t="s">
        <v>23</v>
      </c>
    </row>
    <row r="165" ht="23" customHeight="1" spans="1:19" s="4" customFormat="1" x14ac:dyDescent="0.25">
      <c r="A165" s="5" t="s">
        <v>60</v>
      </c>
      <c r="B165" s="6" t="s">
        <v>30</v>
      </c>
      <c r="C165" s="5" t="s">
        <v>21</v>
      </c>
      <c r="D165" s="5" t="s">
        <v>22</v>
      </c>
      <c r="E165" s="5">
        <v>10</v>
      </c>
      <c r="F165" s="5">
        <v>1</v>
      </c>
      <c r="G165" s="5">
        <v>0</v>
      </c>
      <c r="H165" s="5">
        <v>0</v>
      </c>
      <c r="I165" s="5">
        <v>52</v>
      </c>
      <c r="J165" s="5">
        <v>52</v>
      </c>
      <c r="K165" s="5">
        <v>8</v>
      </c>
      <c r="L165" s="5">
        <v>22</v>
      </c>
      <c r="M165" s="5">
        <v>46</v>
      </c>
      <c r="N165" s="5">
        <v>88</v>
      </c>
      <c r="O165" s="5">
        <v>79</v>
      </c>
      <c r="P165" s="7">
        <f>O165*E165/1000</f>
        <v>0.79</v>
      </c>
      <c r="Q165" s="5">
        <f>MIN(INT(O165/F165)*F165,ROUNDUP(MAX(0,(N165*0.5+(L165/7*30)*0.3+(K165*30)*0.2)*0.8-I165)/F165,0)*F165)</f>
        <v>45</v>
      </c>
      <c r="R165" s="7">
        <f>Q165*E165/1000</f>
        <v>0.45</v>
      </c>
      <c r="S165" s="5" t="s">
        <v>23</v>
      </c>
    </row>
    <row r="166" ht="23" customHeight="1" spans="1:19" s="4" customFormat="1" x14ac:dyDescent="0.25">
      <c r="A166" s="5" t="s">
        <v>60</v>
      </c>
      <c r="B166" s="6" t="s">
        <v>31</v>
      </c>
      <c r="C166" s="5" t="s">
        <v>21</v>
      </c>
      <c r="D166" s="5" t="s">
        <v>22</v>
      </c>
      <c r="E166" s="5">
        <v>5</v>
      </c>
      <c r="F166" s="5">
        <v>5</v>
      </c>
      <c r="G166" s="5">
        <v>14</v>
      </c>
      <c r="H166" s="5">
        <v>17.5</v>
      </c>
      <c r="I166" s="5">
        <v>49</v>
      </c>
      <c r="J166" s="5">
        <v>49</v>
      </c>
      <c r="K166" s="5">
        <v>0</v>
      </c>
      <c r="L166" s="5">
        <v>2</v>
      </c>
      <c r="M166" s="5">
        <v>2</v>
      </c>
      <c r="N166" s="5">
        <v>12</v>
      </c>
      <c r="O166" s="5">
        <v>0</v>
      </c>
      <c r="P166" s="7">
        <f>O166*E166/1000</f>
        <v>0</v>
      </c>
      <c r="Q166" s="5">
        <f>MIN(INT(O166/F166)*F166,ROUNDUP(MAX(0,(N166*0.5+(L166/7*30)*0.3+(K166*30)*0.2)*0.8-I166)/F166,0)*F166)</f>
        <v>0</v>
      </c>
      <c r="R166" s="7">
        <f>Q166*E166/1000</f>
        <v>0</v>
      </c>
      <c r="S166" s="5" t="s">
        <v>23</v>
      </c>
    </row>
    <row r="167" ht="23" customHeight="1" spans="1:19" s="4" customFormat="1" x14ac:dyDescent="0.25">
      <c r="A167" s="5" t="s">
        <v>60</v>
      </c>
      <c r="B167" s="6" t="s">
        <v>32</v>
      </c>
      <c r="C167" s="5" t="s">
        <v>21</v>
      </c>
      <c r="D167" s="5" t="s">
        <v>22</v>
      </c>
      <c r="E167" s="5">
        <v>2.5</v>
      </c>
      <c r="F167" s="5">
        <v>1</v>
      </c>
      <c r="G167" s="5">
        <v>0</v>
      </c>
      <c r="H167" s="5">
        <v>0</v>
      </c>
      <c r="I167" s="5">
        <v>55</v>
      </c>
      <c r="J167" s="5">
        <v>55</v>
      </c>
      <c r="K167" s="5">
        <v>0</v>
      </c>
      <c r="L167" s="5">
        <v>5</v>
      </c>
      <c r="M167" s="5">
        <v>9</v>
      </c>
      <c r="N167" s="5">
        <v>37</v>
      </c>
      <c r="O167" s="5">
        <v>17</v>
      </c>
      <c r="P167" s="7">
        <f>O167*E167/1000</f>
        <v>0.0425</v>
      </c>
      <c r="Q167" s="5">
        <f>MIN(INT(O167/F167)*F167,ROUNDUP(MAX(0,(N167*0.5+(L167/7*30)*0.3+(K167*30)*0.2)*0.8-I167)/F167,0)*F167)</f>
        <v>0</v>
      </c>
      <c r="R167" s="7">
        <f>Q167*E167/1000</f>
        <v>0</v>
      </c>
      <c r="S167" s="5" t="s">
        <v>23</v>
      </c>
    </row>
    <row r="168" ht="23" customHeight="1" spans="1:19" s="4" customFormat="1" x14ac:dyDescent="0.25">
      <c r="A168" s="5" t="s">
        <v>60</v>
      </c>
      <c r="B168" s="6" t="s">
        <v>33</v>
      </c>
      <c r="C168" s="5" t="s">
        <v>21</v>
      </c>
      <c r="D168" s="5" t="s">
        <v>22</v>
      </c>
      <c r="E168" s="5">
        <v>5</v>
      </c>
      <c r="F168" s="5">
        <v>1</v>
      </c>
      <c r="G168" s="5">
        <v>0</v>
      </c>
      <c r="H168" s="5">
        <v>4.42</v>
      </c>
      <c r="I168" s="5">
        <v>103</v>
      </c>
      <c r="J168" s="5">
        <v>103</v>
      </c>
      <c r="K168" s="5">
        <v>2</v>
      </c>
      <c r="L168" s="5">
        <v>14</v>
      </c>
      <c r="M168" s="5">
        <v>34</v>
      </c>
      <c r="N168" s="5">
        <v>61</v>
      </c>
      <c r="O168" s="5">
        <v>17</v>
      </c>
      <c r="P168" s="7">
        <f>O168*E168/1000</f>
        <v>0.085</v>
      </c>
      <c r="Q168" s="5">
        <f>MIN(INT(O168/F168)*F168,ROUNDUP(MAX(0,(N168*0.5+(L168/7*30)*0.3+(K168*30)*0.2)*0.8-I168)/F168,0)*F168)</f>
        <v>0</v>
      </c>
      <c r="R168" s="7">
        <f>Q168*E168/1000</f>
        <v>0</v>
      </c>
      <c r="S168" s="5" t="s">
        <v>23</v>
      </c>
    </row>
    <row r="169" ht="23" customHeight="1" spans="1:19" s="8" customFormat="1" x14ac:dyDescent="0.25">
      <c r="A169" s="9" t="s">
        <v>61</v>
      </c>
      <c r="B169" s="9" t="s">
        <v>23</v>
      </c>
      <c r="C169" s="9" t="s">
        <v>23</v>
      </c>
      <c r="D169" s="9" t="s">
        <v>23</v>
      </c>
      <c r="E169" s="9" t="s">
        <v>23</v>
      </c>
      <c r="F169" s="9" t="s">
        <v>23</v>
      </c>
      <c r="G169" s="9" t="s">
        <v>23</v>
      </c>
      <c r="H169" s="9" t="s">
        <v>23</v>
      </c>
      <c r="I169" s="9" t="s">
        <v>23</v>
      </c>
      <c r="J169" s="9" t="s">
        <v>23</v>
      </c>
      <c r="K169" s="9" t="s">
        <v>23</v>
      </c>
      <c r="L169" s="9" t="s">
        <v>23</v>
      </c>
      <c r="M169" s="9" t="s">
        <v>23</v>
      </c>
      <c r="N169" s="9" t="s">
        <v>23</v>
      </c>
      <c r="O169" s="9">
        <f>SUM(O158:O168)</f>
        <v>739</v>
      </c>
      <c r="P169" s="10">
        <f>SUM(P158:P168)</f>
        <v>9.880000000000003</v>
      </c>
      <c r="Q169" s="9">
        <f>SUM(Q158:Q168)</f>
        <v>119</v>
      </c>
      <c r="R169" s="10">
        <f>SUM(R158:R168)</f>
        <v>1.85</v>
      </c>
      <c r="S169" s="9" t="s">
        <v>23</v>
      </c>
    </row>
    <row r="170" ht="23" customHeight="1" spans="1:19" s="4" customFormat="1" x14ac:dyDescent="0.25">
      <c r="A170" s="5" t="s">
        <v>62</v>
      </c>
      <c r="B170" s="6" t="s">
        <v>20</v>
      </c>
      <c r="C170" s="5" t="s">
        <v>21</v>
      </c>
      <c r="D170" s="5" t="s">
        <v>22</v>
      </c>
      <c r="E170" s="5">
        <v>2.5</v>
      </c>
      <c r="F170" s="5">
        <v>1</v>
      </c>
      <c r="G170" s="5">
        <v>0</v>
      </c>
      <c r="H170" s="5">
        <v>0</v>
      </c>
      <c r="I170" s="5">
        <v>234</v>
      </c>
      <c r="J170" s="5">
        <v>234</v>
      </c>
      <c r="K170" s="5">
        <v>1</v>
      </c>
      <c r="L170" s="5">
        <v>9</v>
      </c>
      <c r="M170" s="5">
        <v>12</v>
      </c>
      <c r="N170" s="5">
        <v>59</v>
      </c>
      <c r="O170" s="5">
        <v>0</v>
      </c>
      <c r="P170" s="7">
        <f>O170*E170/1000</f>
        <v>0</v>
      </c>
      <c r="Q170" s="5">
        <f>MIN(INT(O170/F170)*F170,ROUNDUP(MAX(0,(N170*0.5+(L170/7*30)*0.3+(K170*30)*0.2)*0.8-I170)/F170,0)*F170)</f>
        <v>0</v>
      </c>
      <c r="R170" s="7">
        <f>Q170*E170/1000</f>
        <v>0</v>
      </c>
      <c r="S170" s="5" t="s">
        <v>23</v>
      </c>
    </row>
    <row r="171" ht="23" customHeight="1" spans="1:19" s="4" customFormat="1" x14ac:dyDescent="0.25">
      <c r="A171" s="5" t="s">
        <v>62</v>
      </c>
      <c r="B171" s="6" t="s">
        <v>24</v>
      </c>
      <c r="C171" s="5" t="s">
        <v>21</v>
      </c>
      <c r="D171" s="5" t="s">
        <v>22</v>
      </c>
      <c r="E171" s="5">
        <v>10</v>
      </c>
      <c r="F171" s="5">
        <v>1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20</v>
      </c>
      <c r="M171" s="5">
        <v>66</v>
      </c>
      <c r="N171" s="5">
        <v>100</v>
      </c>
      <c r="O171" s="5">
        <v>0</v>
      </c>
      <c r="P171" s="7">
        <f>O171*E171/1000</f>
        <v>0</v>
      </c>
      <c r="Q171" s="5">
        <f>MIN(INT(O171/F171)*F171,ROUNDUP(MAX(0,(N171*0.5+(L171/7*30)*0.3+(K171*30)*0.2)*0.8-I171)/F171,0)*F171)</f>
        <v>0</v>
      </c>
      <c r="R171" s="7">
        <f>Q171*E171/1000</f>
        <v>0</v>
      </c>
      <c r="S171" s="5" t="s">
        <v>23</v>
      </c>
    </row>
    <row r="172" ht="23" customHeight="1" spans="1:19" s="4" customFormat="1" x14ac:dyDescent="0.25">
      <c r="A172" s="5" t="s">
        <v>62</v>
      </c>
      <c r="B172" s="6" t="s">
        <v>25</v>
      </c>
      <c r="C172" s="5" t="s">
        <v>21</v>
      </c>
      <c r="D172" s="5" t="s">
        <v>22</v>
      </c>
      <c r="E172" s="5">
        <v>5</v>
      </c>
      <c r="F172" s="5">
        <v>1</v>
      </c>
      <c r="G172" s="5">
        <v>0</v>
      </c>
      <c r="H172" s="5">
        <v>0</v>
      </c>
      <c r="I172" s="5">
        <v>13</v>
      </c>
      <c r="J172" s="5">
        <v>2</v>
      </c>
      <c r="K172" s="5">
        <v>16</v>
      </c>
      <c r="L172" s="5">
        <v>35</v>
      </c>
      <c r="M172" s="5">
        <v>53</v>
      </c>
      <c r="N172" s="5">
        <v>92</v>
      </c>
      <c r="O172" s="5">
        <v>75</v>
      </c>
      <c r="P172" s="7">
        <f>O172*E172/1000</f>
        <v>0.375</v>
      </c>
      <c r="Q172" s="5">
        <f>MIN(INT(O172/F172)*F172,ROUNDUP(MAX(0,(N172*0.5+(L172/7*30)*0.3+(K172*30)*0.2)*0.8-I172)/F172,0)*F172)</f>
        <v>75</v>
      </c>
      <c r="R172" s="7">
        <f>Q172*E172/1000</f>
        <v>0.375</v>
      </c>
      <c r="S172" s="5" t="s">
        <v>23</v>
      </c>
    </row>
    <row r="173" ht="23" customHeight="1" spans="1:19" s="4" customFormat="1" x14ac:dyDescent="0.25">
      <c r="A173" s="5" t="s">
        <v>62</v>
      </c>
      <c r="B173" s="6" t="s">
        <v>26</v>
      </c>
      <c r="C173" s="5" t="s">
        <v>21</v>
      </c>
      <c r="D173" s="5" t="s">
        <v>22</v>
      </c>
      <c r="E173" s="5">
        <v>10</v>
      </c>
      <c r="F173" s="5">
        <v>1</v>
      </c>
      <c r="G173" s="5">
        <v>0</v>
      </c>
      <c r="H173" s="5">
        <v>0</v>
      </c>
      <c r="I173" s="5">
        <v>66</v>
      </c>
      <c r="J173" s="5">
        <v>48</v>
      </c>
      <c r="K173" s="5">
        <v>1</v>
      </c>
      <c r="L173" s="5">
        <v>8</v>
      </c>
      <c r="M173" s="5">
        <v>24</v>
      </c>
      <c r="N173" s="5">
        <v>48</v>
      </c>
      <c r="O173" s="5">
        <v>0</v>
      </c>
      <c r="P173" s="7">
        <f>O173*E173/1000</f>
        <v>0</v>
      </c>
      <c r="Q173" s="5">
        <f>MIN(INT(O173/F173)*F173,ROUNDUP(MAX(0,(N173*0.5+(L173/7*30)*0.3+(K173*30)*0.2)*0.8-I173)/F173,0)*F173)</f>
        <v>0</v>
      </c>
      <c r="R173" s="7">
        <f>Q173*E173/1000</f>
        <v>0</v>
      </c>
      <c r="S173" s="5" t="s">
        <v>23</v>
      </c>
    </row>
    <row r="174" ht="23" customHeight="1" spans="1:19" s="4" customFormat="1" x14ac:dyDescent="0.25">
      <c r="A174" s="5" t="s">
        <v>62</v>
      </c>
      <c r="B174" s="6" t="s">
        <v>27</v>
      </c>
      <c r="C174" s="5" t="s">
        <v>21</v>
      </c>
      <c r="D174" s="5" t="s">
        <v>22</v>
      </c>
      <c r="E174" s="5">
        <v>10</v>
      </c>
      <c r="F174" s="5">
        <v>1</v>
      </c>
      <c r="G174" s="5">
        <v>0</v>
      </c>
      <c r="H174" s="5">
        <v>0</v>
      </c>
      <c r="I174" s="5">
        <v>52</v>
      </c>
      <c r="J174" s="5">
        <v>52</v>
      </c>
      <c r="K174" s="5">
        <v>12</v>
      </c>
      <c r="L174" s="5">
        <v>34</v>
      </c>
      <c r="M174" s="5">
        <v>64</v>
      </c>
      <c r="N174" s="5">
        <v>134</v>
      </c>
      <c r="O174" s="5">
        <v>51</v>
      </c>
      <c r="P174" s="7">
        <f>O174*E174/1000</f>
        <v>0.51</v>
      </c>
      <c r="Q174" s="5">
        <f>MIN(INT(O174/F174)*F174,ROUNDUP(MAX(0,(N174*0.5+(L174/7*30)*0.3+(K174*30)*0.2)*0.8-I174)/F174,0)*F174)</f>
        <v>51</v>
      </c>
      <c r="R174" s="7">
        <f>Q174*E174/1000</f>
        <v>0.51</v>
      </c>
      <c r="S174" s="5" t="s">
        <v>23</v>
      </c>
    </row>
    <row r="175" ht="23" customHeight="1" spans="1:19" s="4" customFormat="1" x14ac:dyDescent="0.25">
      <c r="A175" s="5" t="s">
        <v>62</v>
      </c>
      <c r="B175" s="6" t="s">
        <v>28</v>
      </c>
      <c r="C175" s="5" t="s">
        <v>21</v>
      </c>
      <c r="D175" s="5" t="s">
        <v>22</v>
      </c>
      <c r="E175" s="5">
        <v>5</v>
      </c>
      <c r="F175" s="5">
        <v>1</v>
      </c>
      <c r="G175" s="5">
        <v>0</v>
      </c>
      <c r="H175" s="5">
        <v>0</v>
      </c>
      <c r="I175" s="5">
        <v>1</v>
      </c>
      <c r="J175" s="5">
        <v>1</v>
      </c>
      <c r="K175" s="5">
        <v>0</v>
      </c>
      <c r="L175" s="5">
        <v>318</v>
      </c>
      <c r="M175" s="5">
        <v>726</v>
      </c>
      <c r="N175" s="5">
        <v>1148</v>
      </c>
      <c r="O175" s="5">
        <v>0</v>
      </c>
      <c r="P175" s="7">
        <f>O175*E175/1000</f>
        <v>0</v>
      </c>
      <c r="Q175" s="5">
        <f>MIN(INT(O175/F175)*F175,ROUNDUP(MAX(0,(N175*0.5+(L175/7*30)*0.3+(K175*30)*0.2)*0.8-I175)/F175,0)*F175)</f>
        <v>0</v>
      </c>
      <c r="R175" s="7">
        <f>Q175*E175/1000</f>
        <v>0</v>
      </c>
      <c r="S175" s="5" t="s">
        <v>23</v>
      </c>
    </row>
    <row r="176" ht="23" customHeight="1" spans="1:19" s="4" customFormat="1" x14ac:dyDescent="0.25">
      <c r="A176" s="5" t="s">
        <v>62</v>
      </c>
      <c r="B176" s="6" t="s">
        <v>29</v>
      </c>
      <c r="C176" s="5" t="s">
        <v>21</v>
      </c>
      <c r="D176" s="5" t="s">
        <v>22</v>
      </c>
      <c r="E176" s="5">
        <v>25</v>
      </c>
      <c r="F176" s="5">
        <v>1</v>
      </c>
      <c r="G176" s="5">
        <v>0</v>
      </c>
      <c r="H176" s="5">
        <v>0</v>
      </c>
      <c r="I176" s="5">
        <v>63</v>
      </c>
      <c r="J176" s="5">
        <v>61</v>
      </c>
      <c r="K176" s="5">
        <v>4</v>
      </c>
      <c r="L176" s="5">
        <v>30</v>
      </c>
      <c r="M176" s="5">
        <v>63</v>
      </c>
      <c r="N176" s="5">
        <v>96</v>
      </c>
      <c r="O176" s="5">
        <v>28</v>
      </c>
      <c r="P176" s="7">
        <f>O176*E176/1000</f>
        <v>0.7</v>
      </c>
      <c r="Q176" s="5">
        <f>MIN(INT(O176/F176)*F176,ROUNDUP(MAX(0,(N176*0.5+(L176/7*30)*0.3+(K176*30)*0.2)*0.8-I176)/F176,0)*F176)</f>
        <v>26</v>
      </c>
      <c r="R176" s="7">
        <f>Q176*E176/1000</f>
        <v>0.65</v>
      </c>
      <c r="S176" s="5" t="s">
        <v>23</v>
      </c>
    </row>
    <row r="177" ht="23" customHeight="1" spans="1:19" s="4" customFormat="1" x14ac:dyDescent="0.25">
      <c r="A177" s="5" t="s">
        <v>62</v>
      </c>
      <c r="B177" s="6" t="s">
        <v>30</v>
      </c>
      <c r="C177" s="5" t="s">
        <v>21</v>
      </c>
      <c r="D177" s="5" t="s">
        <v>22</v>
      </c>
      <c r="E177" s="5">
        <v>10</v>
      </c>
      <c r="F177" s="5">
        <v>1</v>
      </c>
      <c r="G177" s="5">
        <v>0</v>
      </c>
      <c r="H177" s="5">
        <v>0</v>
      </c>
      <c r="I177" s="5">
        <v>107</v>
      </c>
      <c r="J177" s="5">
        <v>107</v>
      </c>
      <c r="K177" s="5">
        <v>5</v>
      </c>
      <c r="L177" s="5">
        <v>33</v>
      </c>
      <c r="M177" s="5">
        <v>67</v>
      </c>
      <c r="N177" s="5">
        <v>121</v>
      </c>
      <c r="O177" s="5">
        <v>29</v>
      </c>
      <c r="P177" s="7">
        <f>O177*E177/1000</f>
        <v>0.29</v>
      </c>
      <c r="Q177" s="5">
        <f>MIN(INT(O177/F177)*F177,ROUNDUP(MAX(0,(N177*0.5+(L177/7*30)*0.3+(K177*30)*0.2)*0.8-I177)/F177,0)*F177)</f>
        <v>0</v>
      </c>
      <c r="R177" s="7">
        <f>Q177*E177/1000</f>
        <v>0</v>
      </c>
      <c r="S177" s="5" t="s">
        <v>23</v>
      </c>
    </row>
    <row r="178" ht="23" customHeight="1" spans="1:19" s="4" customFormat="1" x14ac:dyDescent="0.25">
      <c r="A178" s="5" t="s">
        <v>62</v>
      </c>
      <c r="B178" s="6" t="s">
        <v>31</v>
      </c>
      <c r="C178" s="5" t="s">
        <v>21</v>
      </c>
      <c r="D178" s="5" t="s">
        <v>22</v>
      </c>
      <c r="E178" s="5">
        <v>5</v>
      </c>
      <c r="F178" s="5">
        <v>5</v>
      </c>
      <c r="G178" s="5">
        <v>0</v>
      </c>
      <c r="H178" s="5">
        <v>0</v>
      </c>
      <c r="I178" s="5">
        <v>36</v>
      </c>
      <c r="J178" s="5">
        <v>36</v>
      </c>
      <c r="K178" s="5">
        <v>1</v>
      </c>
      <c r="L178" s="5">
        <v>7</v>
      </c>
      <c r="M178" s="5">
        <v>14</v>
      </c>
      <c r="N178" s="5">
        <v>43</v>
      </c>
      <c r="O178" s="5">
        <v>40</v>
      </c>
      <c r="P178" s="7">
        <f>O178*E178/1000</f>
        <v>0.2</v>
      </c>
      <c r="Q178" s="5">
        <f>MIN(INT(O178/F178)*F178,ROUNDUP(MAX(0,(N178*0.5+(L178/7*30)*0.3+(K178*30)*0.2)*0.8-I178)/F178,0)*F178)</f>
        <v>0</v>
      </c>
      <c r="R178" s="7">
        <f>Q178*E178/1000</f>
        <v>0</v>
      </c>
      <c r="S178" s="5" t="s">
        <v>23</v>
      </c>
    </row>
    <row r="179" ht="23" customHeight="1" spans="1:19" s="4" customFormat="1" x14ac:dyDescent="0.25">
      <c r="A179" s="5" t="s">
        <v>62</v>
      </c>
      <c r="B179" s="6" t="s">
        <v>32</v>
      </c>
      <c r="C179" s="5" t="s">
        <v>21</v>
      </c>
      <c r="D179" s="5" t="s">
        <v>22</v>
      </c>
      <c r="E179" s="5">
        <v>2.5</v>
      </c>
      <c r="F179" s="5">
        <v>1</v>
      </c>
      <c r="G179" s="5">
        <v>0</v>
      </c>
      <c r="H179" s="5">
        <v>0</v>
      </c>
      <c r="I179" s="5">
        <v>171</v>
      </c>
      <c r="J179" s="5">
        <v>171</v>
      </c>
      <c r="K179" s="5">
        <v>2</v>
      </c>
      <c r="L179" s="5">
        <v>5</v>
      </c>
      <c r="M179" s="5">
        <v>9</v>
      </c>
      <c r="N179" s="5">
        <v>26</v>
      </c>
      <c r="O179" s="5">
        <v>0</v>
      </c>
      <c r="P179" s="7">
        <f>O179*E179/1000</f>
        <v>0</v>
      </c>
      <c r="Q179" s="5">
        <f>MIN(INT(O179/F179)*F179,ROUNDUP(MAX(0,(N179*0.5+(L179/7*30)*0.3+(K179*30)*0.2)*0.8-I179)/F179,0)*F179)</f>
        <v>0</v>
      </c>
      <c r="R179" s="7">
        <f>Q179*E179/1000</f>
        <v>0</v>
      </c>
      <c r="S179" s="5" t="s">
        <v>23</v>
      </c>
    </row>
    <row r="180" ht="23" customHeight="1" spans="1:19" s="4" customFormat="1" x14ac:dyDescent="0.25">
      <c r="A180" s="5" t="s">
        <v>62</v>
      </c>
      <c r="B180" s="6" t="s">
        <v>33</v>
      </c>
      <c r="C180" s="5" t="s">
        <v>21</v>
      </c>
      <c r="D180" s="5" t="s">
        <v>22</v>
      </c>
      <c r="E180" s="5">
        <v>5</v>
      </c>
      <c r="F180" s="5">
        <v>1</v>
      </c>
      <c r="G180" s="5">
        <v>0</v>
      </c>
      <c r="H180" s="5">
        <v>0</v>
      </c>
      <c r="I180" s="5">
        <v>56</v>
      </c>
      <c r="J180" s="5">
        <v>56</v>
      </c>
      <c r="K180" s="5">
        <v>1</v>
      </c>
      <c r="L180" s="5">
        <v>28</v>
      </c>
      <c r="M180" s="5">
        <v>50</v>
      </c>
      <c r="N180" s="5">
        <v>109</v>
      </c>
      <c r="O180" s="5">
        <v>60</v>
      </c>
      <c r="P180" s="7">
        <f>O180*E180/1000</f>
        <v>0.3</v>
      </c>
      <c r="Q180" s="5">
        <f>MIN(INT(O180/F180)*F180,ROUNDUP(MAX(0,(N180*0.5+(L180/7*30)*0.3+(K180*30)*0.2)*0.8-I180)/F180,0)*F180)</f>
        <v>22</v>
      </c>
      <c r="R180" s="7">
        <f>Q180*E180/1000</f>
        <v>0.11</v>
      </c>
      <c r="S180" s="5" t="s">
        <v>23</v>
      </c>
    </row>
    <row r="181" ht="23" customHeight="1" spans="1:19" s="8" customFormat="1" x14ac:dyDescent="0.25">
      <c r="A181" s="9" t="s">
        <v>63</v>
      </c>
      <c r="B181" s="9" t="s">
        <v>23</v>
      </c>
      <c r="C181" s="9" t="s">
        <v>23</v>
      </c>
      <c r="D181" s="9" t="s">
        <v>23</v>
      </c>
      <c r="E181" s="9" t="s">
        <v>23</v>
      </c>
      <c r="F181" s="9" t="s">
        <v>23</v>
      </c>
      <c r="G181" s="9" t="s">
        <v>23</v>
      </c>
      <c r="H181" s="9" t="s">
        <v>23</v>
      </c>
      <c r="I181" s="9" t="s">
        <v>23</v>
      </c>
      <c r="J181" s="9" t="s">
        <v>23</v>
      </c>
      <c r="K181" s="9" t="s">
        <v>23</v>
      </c>
      <c r="L181" s="9" t="s">
        <v>23</v>
      </c>
      <c r="M181" s="9" t="s">
        <v>23</v>
      </c>
      <c r="N181" s="9" t="s">
        <v>23</v>
      </c>
      <c r="O181" s="9">
        <f>SUM(O170:O180)</f>
        <v>283</v>
      </c>
      <c r="P181" s="10">
        <f>SUM(P170:P180)</f>
        <v>2.375</v>
      </c>
      <c r="Q181" s="9">
        <f>SUM(Q170:Q180)</f>
        <v>174</v>
      </c>
      <c r="R181" s="10">
        <f>SUM(R170:R180)</f>
        <v>1.6450000000000002</v>
      </c>
      <c r="S181" s="9" t="s">
        <v>23</v>
      </c>
    </row>
    <row r="182" ht="23" customHeight="1" spans="1:19" s="4" customFormat="1" x14ac:dyDescent="0.25">
      <c r="A182" s="5" t="s">
        <v>64</v>
      </c>
      <c r="B182" s="6" t="s">
        <v>20</v>
      </c>
      <c r="C182" s="5" t="s">
        <v>21</v>
      </c>
      <c r="D182" s="5" t="s">
        <v>22</v>
      </c>
      <c r="E182" s="5">
        <v>2.5</v>
      </c>
      <c r="F182" s="5">
        <v>1</v>
      </c>
      <c r="G182" s="5">
        <v>0</v>
      </c>
      <c r="H182" s="5">
        <v>0</v>
      </c>
      <c r="I182" s="5">
        <v>101</v>
      </c>
      <c r="J182" s="5">
        <v>101</v>
      </c>
      <c r="K182" s="5">
        <v>2</v>
      </c>
      <c r="L182" s="5">
        <v>19</v>
      </c>
      <c r="M182" s="5">
        <v>43</v>
      </c>
      <c r="N182" s="5">
        <v>93</v>
      </c>
      <c r="O182" s="5">
        <v>166</v>
      </c>
      <c r="P182" s="7">
        <f>O182*E182/1000</f>
        <v>0.415</v>
      </c>
      <c r="Q182" s="5">
        <f>MIN(INT(O182/F182)*F182,ROUNDUP(MAX(0,(N182*0.5+(L182/7*30)*0.3+(K182*30)*0.2)*0.8-I182)/F182,0)*F182)</f>
        <v>0</v>
      </c>
      <c r="R182" s="7">
        <f>Q182*E182/1000</f>
        <v>0</v>
      </c>
      <c r="S182" s="5" t="s">
        <v>23</v>
      </c>
    </row>
    <row r="183" ht="23" customHeight="1" spans="1:19" s="4" customFormat="1" x14ac:dyDescent="0.25">
      <c r="A183" s="5" t="s">
        <v>64</v>
      </c>
      <c r="B183" s="6" t="s">
        <v>24</v>
      </c>
      <c r="C183" s="5" t="s">
        <v>21</v>
      </c>
      <c r="D183" s="5" t="s">
        <v>22</v>
      </c>
      <c r="E183" s="5">
        <v>10</v>
      </c>
      <c r="F183" s="5">
        <v>1</v>
      </c>
      <c r="G183" s="5">
        <v>0</v>
      </c>
      <c r="H183" s="5">
        <v>0</v>
      </c>
      <c r="I183" s="5">
        <v>0</v>
      </c>
      <c r="J183" s="5">
        <v>0</v>
      </c>
      <c r="K183" s="5">
        <v>1</v>
      </c>
      <c r="L183" s="5">
        <v>36</v>
      </c>
      <c r="M183" s="5">
        <v>69</v>
      </c>
      <c r="N183" s="5">
        <v>113</v>
      </c>
      <c r="O183" s="5">
        <v>63</v>
      </c>
      <c r="P183" s="7">
        <f>O183*E183/1000</f>
        <v>0.63</v>
      </c>
      <c r="Q183" s="5">
        <f>MIN(INT(O183/F183)*F183,ROUNDUP(MAX(0,(N183*0.5+(L183/7*30)*0.3+(K183*30)*0.2)*0.8-I183)/F183,0)*F183)</f>
        <v>63</v>
      </c>
      <c r="R183" s="7">
        <f>Q183*E183/1000</f>
        <v>0.63</v>
      </c>
      <c r="S183" s="5" t="s">
        <v>23</v>
      </c>
    </row>
    <row r="184" ht="23" customHeight="1" spans="1:19" s="4" customFormat="1" x14ac:dyDescent="0.25">
      <c r="A184" s="5" t="s">
        <v>64</v>
      </c>
      <c r="B184" s="6" t="s">
        <v>25</v>
      </c>
      <c r="C184" s="5" t="s">
        <v>21</v>
      </c>
      <c r="D184" s="5" t="s">
        <v>22</v>
      </c>
      <c r="E184" s="5">
        <v>5</v>
      </c>
      <c r="F184" s="5">
        <v>1</v>
      </c>
      <c r="G184" s="5">
        <v>0</v>
      </c>
      <c r="H184" s="5">
        <v>0</v>
      </c>
      <c r="I184" s="5">
        <v>22</v>
      </c>
      <c r="J184" s="5">
        <v>22</v>
      </c>
      <c r="K184" s="5">
        <v>4</v>
      </c>
      <c r="L184" s="5">
        <v>19</v>
      </c>
      <c r="M184" s="5">
        <v>58</v>
      </c>
      <c r="N184" s="5">
        <v>110</v>
      </c>
      <c r="O184" s="5">
        <v>190</v>
      </c>
      <c r="P184" s="7">
        <f>O184*E184/1000</f>
        <v>0.95</v>
      </c>
      <c r="Q184" s="5">
        <f>MIN(INT(O184/F184)*F184,ROUNDUP(MAX(0,(N184*0.5+(L184/7*30)*0.3+(K184*30)*0.2)*0.8-I184)/F184,0)*F184)</f>
        <v>61</v>
      </c>
      <c r="R184" s="7">
        <f>Q184*E184/1000</f>
        <v>0.305</v>
      </c>
      <c r="S184" s="5" t="s">
        <v>23</v>
      </c>
    </row>
    <row r="185" ht="23" customHeight="1" spans="1:19" s="4" customFormat="1" x14ac:dyDescent="0.25">
      <c r="A185" s="5" t="s">
        <v>64</v>
      </c>
      <c r="B185" s="6" t="s">
        <v>26</v>
      </c>
      <c r="C185" s="5" t="s">
        <v>21</v>
      </c>
      <c r="D185" s="5" t="s">
        <v>22</v>
      </c>
      <c r="E185" s="5">
        <v>10</v>
      </c>
      <c r="F185" s="5">
        <v>1</v>
      </c>
      <c r="G185" s="5">
        <v>0</v>
      </c>
      <c r="H185" s="5">
        <v>0</v>
      </c>
      <c r="I185" s="5">
        <v>41</v>
      </c>
      <c r="J185" s="5">
        <v>40</v>
      </c>
      <c r="K185" s="5">
        <v>0</v>
      </c>
      <c r="L185" s="5">
        <v>7</v>
      </c>
      <c r="M185" s="5">
        <v>10</v>
      </c>
      <c r="N185" s="5">
        <v>30</v>
      </c>
      <c r="O185" s="5">
        <v>38</v>
      </c>
      <c r="P185" s="7">
        <f>O185*E185/1000</f>
        <v>0.38</v>
      </c>
      <c r="Q185" s="5">
        <f>MIN(INT(O185/F185)*F185,ROUNDUP(MAX(0,(N185*0.5+(L185/7*30)*0.3+(K185*30)*0.2)*0.8-I185)/F185,0)*F185)</f>
        <v>0</v>
      </c>
      <c r="R185" s="7">
        <f>Q185*E185/1000</f>
        <v>0</v>
      </c>
      <c r="S185" s="5" t="s">
        <v>23</v>
      </c>
    </row>
    <row r="186" ht="23" customHeight="1" spans="1:19" s="4" customFormat="1" x14ac:dyDescent="0.25">
      <c r="A186" s="5" t="s">
        <v>64</v>
      </c>
      <c r="B186" s="6" t="s">
        <v>27</v>
      </c>
      <c r="C186" s="5" t="s">
        <v>21</v>
      </c>
      <c r="D186" s="5" t="s">
        <v>22</v>
      </c>
      <c r="E186" s="5">
        <v>10</v>
      </c>
      <c r="F186" s="5">
        <v>1</v>
      </c>
      <c r="G186" s="5">
        <v>0</v>
      </c>
      <c r="H186" s="5">
        <v>0</v>
      </c>
      <c r="I186" s="5">
        <v>66</v>
      </c>
      <c r="J186" s="5">
        <v>65</v>
      </c>
      <c r="K186" s="5">
        <v>2</v>
      </c>
      <c r="L186" s="5">
        <v>14</v>
      </c>
      <c r="M186" s="5">
        <v>33</v>
      </c>
      <c r="N186" s="5">
        <v>78</v>
      </c>
      <c r="O186" s="5">
        <v>72</v>
      </c>
      <c r="P186" s="7">
        <f>O186*E186/1000</f>
        <v>0.72</v>
      </c>
      <c r="Q186" s="5">
        <f>MIN(INT(O186/F186)*F186,ROUNDUP(MAX(0,(N186*0.5+(L186/7*30)*0.3+(K186*30)*0.2)*0.8-I186)/F186,0)*F186)</f>
        <v>0</v>
      </c>
      <c r="R186" s="7">
        <f>Q186*E186/1000</f>
        <v>0</v>
      </c>
      <c r="S186" s="5" t="s">
        <v>23</v>
      </c>
    </row>
    <row r="187" ht="23" customHeight="1" spans="1:19" s="4" customFormat="1" x14ac:dyDescent="0.25">
      <c r="A187" s="5" t="s">
        <v>64</v>
      </c>
      <c r="B187" s="6" t="s">
        <v>28</v>
      </c>
      <c r="C187" s="5" t="s">
        <v>21</v>
      </c>
      <c r="D187" s="5" t="s">
        <v>22</v>
      </c>
      <c r="E187" s="5">
        <v>5</v>
      </c>
      <c r="F187" s="5">
        <v>1</v>
      </c>
      <c r="G187" s="5">
        <v>0</v>
      </c>
      <c r="H187" s="5">
        <v>0</v>
      </c>
      <c r="I187" s="5">
        <v>32</v>
      </c>
      <c r="J187" s="5">
        <v>26</v>
      </c>
      <c r="K187" s="5">
        <v>36</v>
      </c>
      <c r="L187" s="5">
        <v>296</v>
      </c>
      <c r="M187" s="5">
        <v>663</v>
      </c>
      <c r="N187" s="5">
        <v>1044</v>
      </c>
      <c r="O187" s="5">
        <v>191</v>
      </c>
      <c r="P187" s="7">
        <f>O187*E187/1000</f>
        <v>0.955</v>
      </c>
      <c r="Q187" s="5">
        <f>MIN(INT(O187/F187)*F187,ROUNDUP(MAX(0,(N187*0.5+(L187/7*30)*0.3+(K187*30)*0.2)*0.8-I187)/F187,0)*F187)</f>
        <v>191</v>
      </c>
      <c r="R187" s="7">
        <f>Q187*E187/1000</f>
        <v>0.955</v>
      </c>
      <c r="S187" s="5" t="s">
        <v>23</v>
      </c>
    </row>
    <row r="188" ht="23" customHeight="1" spans="1:19" s="4" customFormat="1" x14ac:dyDescent="0.25">
      <c r="A188" s="5" t="s">
        <v>64</v>
      </c>
      <c r="B188" s="6" t="s">
        <v>29</v>
      </c>
      <c r="C188" s="5" t="s">
        <v>21</v>
      </c>
      <c r="D188" s="5" t="s">
        <v>22</v>
      </c>
      <c r="E188" s="5">
        <v>25</v>
      </c>
      <c r="F188" s="5">
        <v>1</v>
      </c>
      <c r="G188" s="5">
        <v>0</v>
      </c>
      <c r="H188" s="5">
        <v>0</v>
      </c>
      <c r="I188" s="5">
        <v>111</v>
      </c>
      <c r="J188" s="5">
        <v>111</v>
      </c>
      <c r="K188" s="5">
        <v>5</v>
      </c>
      <c r="L188" s="5">
        <v>42</v>
      </c>
      <c r="M188" s="5">
        <v>57</v>
      </c>
      <c r="N188" s="5">
        <v>115</v>
      </c>
      <c r="O188" s="5">
        <v>169</v>
      </c>
      <c r="P188" s="7">
        <f>O188*E188/1000</f>
        <v>4.225</v>
      </c>
      <c r="Q188" s="5">
        <f>MIN(INT(O188/F188)*F188,ROUNDUP(MAX(0,(N188*0.5+(L188/7*30)*0.3+(K188*30)*0.2)*0.8-I188)/F188,0)*F188)</f>
        <v>3</v>
      </c>
      <c r="R188" s="7">
        <f>Q188*E188/1000</f>
        <v>0.075</v>
      </c>
      <c r="S188" s="5" t="s">
        <v>23</v>
      </c>
    </row>
    <row r="189" ht="23" customHeight="1" spans="1:19" s="4" customFormat="1" x14ac:dyDescent="0.25">
      <c r="A189" s="5" t="s">
        <v>64</v>
      </c>
      <c r="B189" s="6" t="s">
        <v>30</v>
      </c>
      <c r="C189" s="5" t="s">
        <v>21</v>
      </c>
      <c r="D189" s="5" t="s">
        <v>22</v>
      </c>
      <c r="E189" s="5">
        <v>10</v>
      </c>
      <c r="F189" s="5">
        <v>1</v>
      </c>
      <c r="G189" s="5">
        <v>0</v>
      </c>
      <c r="H189" s="5">
        <v>0</v>
      </c>
      <c r="I189" s="5">
        <v>63</v>
      </c>
      <c r="J189" s="5">
        <v>61</v>
      </c>
      <c r="K189" s="5">
        <v>2</v>
      </c>
      <c r="L189" s="5">
        <v>20</v>
      </c>
      <c r="M189" s="5">
        <v>41</v>
      </c>
      <c r="N189" s="5">
        <v>97</v>
      </c>
      <c r="O189" s="5">
        <v>82</v>
      </c>
      <c r="P189" s="7">
        <f>O189*E189/1000</f>
        <v>0.82</v>
      </c>
      <c r="Q189" s="5">
        <f>MIN(INT(O189/F189)*F189,ROUNDUP(MAX(0,(N189*0.5+(L189/7*30)*0.3+(K189*30)*0.2)*0.8-I189)/F189,0)*F189)</f>
        <v>6</v>
      </c>
      <c r="R189" s="7">
        <f>Q189*E189/1000</f>
        <v>0.06</v>
      </c>
      <c r="S189" s="5" t="s">
        <v>23</v>
      </c>
    </row>
    <row r="190" ht="23" customHeight="1" spans="1:19" s="4" customFormat="1" x14ac:dyDescent="0.25">
      <c r="A190" s="5" t="s">
        <v>64</v>
      </c>
      <c r="B190" s="6" t="s">
        <v>31</v>
      </c>
      <c r="C190" s="5" t="s">
        <v>21</v>
      </c>
      <c r="D190" s="5" t="s">
        <v>22</v>
      </c>
      <c r="E190" s="5">
        <v>5</v>
      </c>
      <c r="F190" s="5">
        <v>5</v>
      </c>
      <c r="G190" s="5">
        <v>0</v>
      </c>
      <c r="H190" s="5">
        <v>0</v>
      </c>
      <c r="I190" s="5">
        <v>25</v>
      </c>
      <c r="J190" s="5">
        <v>25</v>
      </c>
      <c r="K190" s="5">
        <v>1</v>
      </c>
      <c r="L190" s="5">
        <v>8</v>
      </c>
      <c r="M190" s="5">
        <v>17</v>
      </c>
      <c r="N190" s="5">
        <v>50</v>
      </c>
      <c r="O190" s="5">
        <v>115</v>
      </c>
      <c r="P190" s="7">
        <f>O190*E190/1000</f>
        <v>0.575</v>
      </c>
      <c r="Q190" s="5">
        <f>MIN(INT(O190/F190)*F190,ROUNDUP(MAX(0,(N190*0.5+(L190/7*30)*0.3+(K190*30)*0.2)*0.8-I190)/F190,0)*F190)</f>
        <v>10</v>
      </c>
      <c r="R190" s="7">
        <f>Q190*E190/1000</f>
        <v>0.05</v>
      </c>
      <c r="S190" s="5" t="s">
        <v>23</v>
      </c>
    </row>
    <row r="191" ht="23" customHeight="1" spans="1:19" s="4" customFormat="1" x14ac:dyDescent="0.25">
      <c r="A191" s="5" t="s">
        <v>64</v>
      </c>
      <c r="B191" s="6" t="s">
        <v>32</v>
      </c>
      <c r="C191" s="5" t="s">
        <v>21</v>
      </c>
      <c r="D191" s="5" t="s">
        <v>22</v>
      </c>
      <c r="E191" s="5">
        <v>2.5</v>
      </c>
      <c r="F191" s="5">
        <v>1</v>
      </c>
      <c r="G191" s="5">
        <v>0</v>
      </c>
      <c r="H191" s="5">
        <v>0</v>
      </c>
      <c r="I191" s="5">
        <v>45</v>
      </c>
      <c r="J191" s="5">
        <v>45</v>
      </c>
      <c r="K191" s="5">
        <v>0</v>
      </c>
      <c r="L191" s="5">
        <v>0</v>
      </c>
      <c r="M191" s="5">
        <v>30</v>
      </c>
      <c r="N191" s="5">
        <v>48</v>
      </c>
      <c r="O191" s="5">
        <v>0</v>
      </c>
      <c r="P191" s="7">
        <f>O191*E191/1000</f>
        <v>0</v>
      </c>
      <c r="Q191" s="5">
        <f>MIN(INT(O191/F191)*F191,ROUNDUP(MAX(0,(N191*0.5+(L191/7*30)*0.3+(K191*30)*0.2)*0.8-I191)/F191,0)*F191)</f>
        <v>0</v>
      </c>
      <c r="R191" s="7">
        <f>Q191*E191/1000</f>
        <v>0</v>
      </c>
      <c r="S191" s="5" t="s">
        <v>23</v>
      </c>
    </row>
    <row r="192" ht="23" customHeight="1" spans="1:19" s="4" customFormat="1" x14ac:dyDescent="0.25">
      <c r="A192" s="5" t="s">
        <v>64</v>
      </c>
      <c r="B192" s="6" t="s">
        <v>33</v>
      </c>
      <c r="C192" s="5" t="s">
        <v>21</v>
      </c>
      <c r="D192" s="5" t="s">
        <v>22</v>
      </c>
      <c r="E192" s="5">
        <v>5</v>
      </c>
      <c r="F192" s="5">
        <v>1</v>
      </c>
      <c r="G192" s="5">
        <v>0</v>
      </c>
      <c r="H192" s="5">
        <v>0</v>
      </c>
      <c r="I192" s="5">
        <v>47</v>
      </c>
      <c r="J192" s="5">
        <v>47</v>
      </c>
      <c r="K192" s="5">
        <v>2</v>
      </c>
      <c r="L192" s="5">
        <v>18</v>
      </c>
      <c r="M192" s="5">
        <v>34</v>
      </c>
      <c r="N192" s="5">
        <v>72</v>
      </c>
      <c r="O192" s="5">
        <v>29</v>
      </c>
      <c r="P192" s="7">
        <f>O192*E192/1000</f>
        <v>0.145</v>
      </c>
      <c r="Q192" s="5">
        <f>MIN(INT(O192/F192)*F192,ROUNDUP(MAX(0,(N192*0.5+(L192/7*30)*0.3+(K192*30)*0.2)*0.8-I192)/F192,0)*F192)</f>
        <v>10</v>
      </c>
      <c r="R192" s="7">
        <f>Q192*E192/1000</f>
        <v>0.05</v>
      </c>
      <c r="S192" s="5" t="s">
        <v>23</v>
      </c>
    </row>
    <row r="193" ht="23" customHeight="1" spans="1:19" s="8" customFormat="1" x14ac:dyDescent="0.25">
      <c r="A193" s="9" t="s">
        <v>65</v>
      </c>
      <c r="B193" s="9" t="s">
        <v>23</v>
      </c>
      <c r="C193" s="9" t="s">
        <v>23</v>
      </c>
      <c r="D193" s="9" t="s">
        <v>23</v>
      </c>
      <c r="E193" s="9" t="s">
        <v>23</v>
      </c>
      <c r="F193" s="9" t="s">
        <v>23</v>
      </c>
      <c r="G193" s="9" t="s">
        <v>23</v>
      </c>
      <c r="H193" s="9" t="s">
        <v>23</v>
      </c>
      <c r="I193" s="9" t="s">
        <v>23</v>
      </c>
      <c r="J193" s="9" t="s">
        <v>23</v>
      </c>
      <c r="K193" s="9" t="s">
        <v>23</v>
      </c>
      <c r="L193" s="9" t="s">
        <v>23</v>
      </c>
      <c r="M193" s="9" t="s">
        <v>23</v>
      </c>
      <c r="N193" s="9" t="s">
        <v>23</v>
      </c>
      <c r="O193" s="9">
        <f>SUM(O182:O192)</f>
        <v>1115</v>
      </c>
      <c r="P193" s="10">
        <f>SUM(P182:P192)</f>
        <v>9.814999999999998</v>
      </c>
      <c r="Q193" s="9">
        <f>SUM(Q182:Q192)</f>
        <v>344</v>
      </c>
      <c r="R193" s="10">
        <f>SUM(R182:R192)</f>
        <v>2.1249999999999996</v>
      </c>
      <c r="S193" s="9" t="s">
        <v>23</v>
      </c>
    </row>
  </sheetData>
  <autoFilter ref="A1:S19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66</v>
      </c>
      <c r="B1" t="s">
        <v>67</v>
      </c>
    </row>
    <row r="2" spans="1:2" x14ac:dyDescent="0.25">
      <c r="A2" t="s">
        <v>68</v>
      </c>
      <c r="B2" t="s">
        <v>69</v>
      </c>
    </row>
    <row r="3" spans="1:2" x14ac:dyDescent="0.25">
      <c r="A3" t="s">
        <v>70</v>
      </c>
      <c r="B3" t="s">
        <v>71</v>
      </c>
    </row>
    <row r="4" spans="1:2" x14ac:dyDescent="0.25">
      <c r="A4" t="s">
        <v>72</v>
      </c>
      <c r="B4" t="s">
        <v>21</v>
      </c>
    </row>
    <row r="5" spans="1:2" x14ac:dyDescent="0.25">
      <c r="A5" t="s">
        <v>73</v>
      </c>
      <c r="B5" t="s">
        <v>74</v>
      </c>
    </row>
    <row r="6" spans="1:2" x14ac:dyDescent="0.25">
      <c r="A6" t="s">
        <v>75</v>
      </c>
      <c r="B6" t="s">
        <v>76</v>
      </c>
    </row>
    <row r="7" spans="1:2" x14ac:dyDescent="0.25">
      <c r="A7" t="s">
        <v>77</v>
      </c>
      <c r="B7" t="s">
        <v>78</v>
      </c>
    </row>
    <row r="8" spans="1:2" x14ac:dyDescent="0.25">
      <c r="A8" t="s">
        <v>79</v>
      </c>
      <c r="B8" t="s">
        <v>80</v>
      </c>
    </row>
    <row r="9" spans="1:2" x14ac:dyDescent="0.25">
      <c r="A9">
        <v>1</v>
      </c>
      <c r="B9" t="s">
        <v>81</v>
      </c>
    </row>
    <row r="10" spans="1:2" x14ac:dyDescent="0.25">
      <c r="A10">
        <v>2</v>
      </c>
      <c r="B1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稻花翁</vt:lpstr>
      <vt:lpstr>__回填任务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仓配订单汇总工具</dc:creator>
  <dc:title/>
  <dc:subject/>
  <dc:description/>
  <cp:keywords/>
  <cp:category/>
  <cp:lastModifiedBy>Unknown</cp:lastModifiedBy>
  <dcterms:created xsi:type="dcterms:W3CDTF">2026-09-29T13:35:13Z</dcterms:created>
  <dcterms:modified xsi:type="dcterms:W3CDTF">2026-09-29T13:35:13Z</dcterms:modified>
</cp:coreProperties>
</file>