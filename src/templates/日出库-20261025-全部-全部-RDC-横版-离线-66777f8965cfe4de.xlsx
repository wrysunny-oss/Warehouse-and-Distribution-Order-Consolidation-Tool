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国宝\Desktop\京东\补货单\"/>
    </mc:Choice>
  </mc:AlternateContent>
  <bookViews>
    <workbookView windowWidth="21600" windowHeight="10480" activeTab="2"/>
  </bookViews>
  <sheets>
    <sheet name="sheet1" sheetId="1" r:id="rId1"/>
    <sheet name="Sheet3" sheetId="3" r:id="rId2"/>
    <sheet name="Sheet5" sheetId="5" r:id="rId3"/>
  </sheets>
  <definedNames>
    <definedName name="_xlnm._FilterDatabase" localSheetId="0" hidden="1">sheet1!$A$1:$NY$187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<sst xmlns="http://schemas.openxmlformats.org/spreadsheetml/2006/main" count="1096" uniqueCount="550">
  <si>
    <t>时间</t>
  </si>
  <si>
    <t>商品名称</t>
  </si>
  <si>
    <t>SKU</t>
  </si>
  <si>
    <t>上下柜状态</t>
  </si>
  <si>
    <t>全国采购价</t>
  </si>
  <si>
    <t>全国现货库存</t>
  </si>
  <si>
    <t>全国采购未到货</t>
  </si>
  <si>
    <t>全国昨日出库商品件数</t>
  </si>
  <si>
    <t>全国近7日出库商品件数</t>
  </si>
  <si>
    <t>全国近14日出库商品件数</t>
  </si>
  <si>
    <t>全国近28日出库商品件数</t>
  </si>
  <si>
    <t>上海现货库存</t>
  </si>
  <si>
    <t>上海采购未到货</t>
  </si>
  <si>
    <t>上海昨日出库商品件数</t>
  </si>
  <si>
    <t>上海近7日出库商品件数</t>
  </si>
  <si>
    <t>上海近14日出库商品件数</t>
  </si>
  <si>
    <t>上海近28日出库商品件数</t>
  </si>
  <si>
    <t>成都现货库存</t>
  </si>
  <si>
    <t>成都采购未到货</t>
  </si>
  <si>
    <t>成都昨日出库商品件数</t>
  </si>
  <si>
    <t>成都近7日出库商品件数</t>
  </si>
  <si>
    <t>成都近14日出库商品件数</t>
  </si>
  <si>
    <t>成都近28日出库商品件数</t>
  </si>
  <si>
    <t>武汉现货库存</t>
  </si>
  <si>
    <t>武汉采购未到货</t>
  </si>
  <si>
    <t>武汉昨日出库商品件数</t>
  </si>
  <si>
    <t>武汉近7日出库商品件数</t>
  </si>
  <si>
    <t>武汉近14日出库商品件数</t>
  </si>
  <si>
    <t>武汉近28日出库商品件数</t>
  </si>
  <si>
    <t>北京现货库存</t>
  </si>
  <si>
    <t>北京采购未到货</t>
  </si>
  <si>
    <t>北京昨日出库商品件数</t>
  </si>
  <si>
    <t>北京近7日出库商品件数</t>
  </si>
  <si>
    <t>北京近14日出库商品件数</t>
  </si>
  <si>
    <t>北京近28日出库商品件数</t>
  </si>
  <si>
    <t>南京现货库存</t>
  </si>
  <si>
    <t>南京采购未到货</t>
  </si>
  <si>
    <t>南京昨日出库商品件数</t>
  </si>
  <si>
    <t>南京近7日出库商品件数</t>
  </si>
  <si>
    <t>南京近14日出库商品件数</t>
  </si>
  <si>
    <t>南京近28日出库商品件数</t>
  </si>
  <si>
    <t>沈阳现货库存</t>
  </si>
  <si>
    <t>沈阳采购未到货</t>
  </si>
  <si>
    <t>沈阳昨日出库商品件数</t>
  </si>
  <si>
    <t>沈阳近7日出库商品件数</t>
  </si>
  <si>
    <t>沈阳近14日出库商品件数</t>
  </si>
  <si>
    <t>沈阳近28日出库商品件数</t>
  </si>
  <si>
    <t>广州现货库存</t>
  </si>
  <si>
    <t>广州采购未到货</t>
  </si>
  <si>
    <t>广州昨日出库商品件数</t>
  </si>
  <si>
    <t>广州近7日出库商品件数</t>
  </si>
  <si>
    <t>广州近14日出库商品件数</t>
  </si>
  <si>
    <t>广州近28日出库商品件数</t>
  </si>
  <si>
    <t>揭阳现货库存</t>
  </si>
  <si>
    <t>揭阳采购未到货</t>
  </si>
  <si>
    <t>揭阳昨日出库商品件数</t>
  </si>
  <si>
    <t>揭阳近7日出库商品件数</t>
  </si>
  <si>
    <t>揭阳近14日出库商品件数</t>
  </si>
  <si>
    <t>揭阳近28日出库商品件数</t>
  </si>
  <si>
    <t>无锡现货库存</t>
  </si>
  <si>
    <t>无锡采购未到货</t>
  </si>
  <si>
    <t>无锡昨日出库商品件数</t>
  </si>
  <si>
    <t>无锡近7日出库商品件数</t>
  </si>
  <si>
    <t>无锡近14日出库商品件数</t>
  </si>
  <si>
    <t>无锡近28日出库商品件数</t>
  </si>
  <si>
    <t>三亚现货库存</t>
  </si>
  <si>
    <t>三亚采购未到货</t>
  </si>
  <si>
    <t>三亚昨日出库商品件数</t>
  </si>
  <si>
    <t>三亚近7日出库商品件数</t>
  </si>
  <si>
    <t>三亚近14日出库商品件数</t>
  </si>
  <si>
    <t>三亚近28日出库商品件数</t>
  </si>
  <si>
    <t>宜宾现货库存</t>
  </si>
  <si>
    <t>宜宾采购未到货</t>
  </si>
  <si>
    <t>宜宾昨日出库商品件数</t>
  </si>
  <si>
    <t>宜宾近7日出库商品件数</t>
  </si>
  <si>
    <t>宜宾近14日出库商品件数</t>
  </si>
  <si>
    <t>宜宾近28日出库商品件数</t>
  </si>
  <si>
    <t>西安现货库存</t>
  </si>
  <si>
    <t>西安采购未到货</t>
  </si>
  <si>
    <t>西安昨日出库商品件数</t>
  </si>
  <si>
    <t>西安近7日出库商品件数</t>
  </si>
  <si>
    <t>西安近14日出库商品件数</t>
  </si>
  <si>
    <t>西安近28日出库商品件数</t>
  </si>
  <si>
    <t>福州现货库存</t>
  </si>
  <si>
    <t>福州采购未到货</t>
  </si>
  <si>
    <t>福州昨日出库商品件数</t>
  </si>
  <si>
    <t>福州近7日出库商品件数</t>
  </si>
  <si>
    <t>福州近14日出库商品件数</t>
  </si>
  <si>
    <t>福州近28日出库商品件数</t>
  </si>
  <si>
    <t>嘉兴现货库存</t>
  </si>
  <si>
    <t>嘉兴采购未到货</t>
  </si>
  <si>
    <t>嘉兴昨日出库商品件数</t>
  </si>
  <si>
    <t>嘉兴近7日出库商品件数</t>
  </si>
  <si>
    <t>嘉兴近14日出库商品件数</t>
  </si>
  <si>
    <t>嘉兴近28日出库商品件数</t>
  </si>
  <si>
    <t>喀什配送中心现货库存</t>
  </si>
  <si>
    <t>喀什配送中心采购未到货</t>
  </si>
  <si>
    <t>喀什配送中心昨日出库商品件数</t>
  </si>
  <si>
    <t>喀什配送中心近7日出库商品件数</t>
  </si>
  <si>
    <t>喀什配送中心近14日出库商品件数</t>
  </si>
  <si>
    <t>喀什配送中心近28日出库商品件数</t>
  </si>
  <si>
    <t>杭州现货库存</t>
  </si>
  <si>
    <t>杭州采购未到货</t>
  </si>
  <si>
    <t>杭州昨日出库商品件数</t>
  </si>
  <si>
    <t>杭州近7日出库商品件数</t>
  </si>
  <si>
    <t>杭州近14日出库商品件数</t>
  </si>
  <si>
    <t>杭州近28日出库商品件数</t>
  </si>
  <si>
    <t>深圳现货库存</t>
  </si>
  <si>
    <t>深圳采购未到货</t>
  </si>
  <si>
    <t>深圳昨日出库商品件数</t>
  </si>
  <si>
    <t>深圳近7日出库商品件数</t>
  </si>
  <si>
    <t>深圳近14日出库商品件数</t>
  </si>
  <si>
    <t>深圳近28日出库商品件数</t>
  </si>
  <si>
    <t>重庆现货库存</t>
  </si>
  <si>
    <t>重庆采购未到货</t>
  </si>
  <si>
    <t>重庆昨日出库商品件数</t>
  </si>
  <si>
    <t>重庆近7日出库商品件数</t>
  </si>
  <si>
    <t>重庆近14日出库商品件数</t>
  </si>
  <si>
    <t>重庆近28日出库商品件数</t>
  </si>
  <si>
    <t>宁波现货库存</t>
  </si>
  <si>
    <t>宁波采购未到货</t>
  </si>
  <si>
    <t>宁波昨日出库商品件数</t>
  </si>
  <si>
    <t>宁波近7日出库商品件数</t>
  </si>
  <si>
    <t>宁波近14日出库商品件数</t>
  </si>
  <si>
    <t>宁波近28日出库商品件数</t>
  </si>
  <si>
    <t>郑州现货库存</t>
  </si>
  <si>
    <t>郑州采购未到货</t>
  </si>
  <si>
    <t>郑州昨日出库商品件数</t>
  </si>
  <si>
    <t>郑州近7日出库商品件数</t>
  </si>
  <si>
    <t>郑州近14日出库商品件数</t>
  </si>
  <si>
    <t>郑州近28日出库商品件数</t>
  </si>
  <si>
    <t>厦门现货库存</t>
  </si>
  <si>
    <t>厦门采购未到货</t>
  </si>
  <si>
    <t>厦门昨日出库商品件数</t>
  </si>
  <si>
    <t>厦门近7日出库商品件数</t>
  </si>
  <si>
    <t>厦门近14日出库商品件数</t>
  </si>
  <si>
    <t>厦门近28日出库商品件数</t>
  </si>
  <si>
    <t>南宁现货库存</t>
  </si>
  <si>
    <t>南宁采购未到货</t>
  </si>
  <si>
    <t>南宁昨日出库商品件数</t>
  </si>
  <si>
    <t>南宁近7日出库商品件数</t>
  </si>
  <si>
    <t>南宁近14日出库商品件数</t>
  </si>
  <si>
    <t>南宁近28日出库商品件数</t>
  </si>
  <si>
    <t>长沙现货库存</t>
  </si>
  <si>
    <t>长沙采购未到货</t>
  </si>
  <si>
    <t>长沙昨日出库商品件数</t>
  </si>
  <si>
    <t>长沙近7日出库商品件数</t>
  </si>
  <si>
    <t>长沙近14日出库商品件数</t>
  </si>
  <si>
    <t>长沙近28日出库商品件数</t>
  </si>
  <si>
    <t>兰州现货库存</t>
  </si>
  <si>
    <t>兰州采购未到货</t>
  </si>
  <si>
    <t>兰州昨日出库商品件数</t>
  </si>
  <si>
    <t>兰州近7日出库商品件数</t>
  </si>
  <si>
    <t>兰州近14日出库商品件数</t>
  </si>
  <si>
    <t>兰州近28日出库商品件数</t>
  </si>
  <si>
    <t>乌鲁木齐现货库存</t>
  </si>
  <si>
    <t>乌鲁木齐采购未到货</t>
  </si>
  <si>
    <t>乌鲁木齐昨日出库商品件数</t>
  </si>
  <si>
    <t>乌鲁木齐近7日出库商品件数</t>
  </si>
  <si>
    <t>乌鲁木齐近14日出库商品件数</t>
  </si>
  <si>
    <t>乌鲁木齐近28日出库商品件数</t>
  </si>
  <si>
    <t>合肥现货库存</t>
  </si>
  <si>
    <t>合肥采购未到货</t>
  </si>
  <si>
    <t>合肥昨日出库商品件数</t>
  </si>
  <si>
    <t>合肥近7日出库商品件数</t>
  </si>
  <si>
    <t>合肥近14日出库商品件数</t>
  </si>
  <si>
    <t>合肥近28日出库商品件数</t>
  </si>
  <si>
    <t>宿迁现货库存</t>
  </si>
  <si>
    <t>宿迁采购未到货</t>
  </si>
  <si>
    <t>宿迁昨日出库商品件数</t>
  </si>
  <si>
    <t>宿迁近7日出库商品件数</t>
  </si>
  <si>
    <t>宿迁近14日出库商品件数</t>
  </si>
  <si>
    <t>宿迁近28日出库商品件数</t>
  </si>
  <si>
    <t>昆明现货库存</t>
  </si>
  <si>
    <t>昆明采购未到货</t>
  </si>
  <si>
    <t>昆明昨日出库商品件数</t>
  </si>
  <si>
    <t>昆明近7日出库商品件数</t>
  </si>
  <si>
    <t>昆明近14日出库商品件数</t>
  </si>
  <si>
    <t>昆明近28日出库商品件数</t>
  </si>
  <si>
    <t>贵阳现货库存</t>
  </si>
  <si>
    <t>贵阳采购未到货</t>
  </si>
  <si>
    <t>贵阳昨日出库商品件数</t>
  </si>
  <si>
    <t>贵阳近7日出库商品件数</t>
  </si>
  <si>
    <t>贵阳近14日出库商品件数</t>
  </si>
  <si>
    <t>贵阳近28日出库商品件数</t>
  </si>
  <si>
    <t>南昌现货库存</t>
  </si>
  <si>
    <t>南昌采购未到货</t>
  </si>
  <si>
    <t>南昌昨日出库商品件数</t>
  </si>
  <si>
    <t>南昌近7日出库商品件数</t>
  </si>
  <si>
    <t>南昌近14日出库商品件数</t>
  </si>
  <si>
    <t>南昌近28日出库商品件数</t>
  </si>
  <si>
    <t>襄阳现货库存</t>
  </si>
  <si>
    <t>襄阳采购未到货</t>
  </si>
  <si>
    <t>襄阳昨日出库商品件数</t>
  </si>
  <si>
    <t>襄阳近7日出库商品件数</t>
  </si>
  <si>
    <t>襄阳近14日出库商品件数</t>
  </si>
  <si>
    <t>襄阳近28日出库商品件数</t>
  </si>
  <si>
    <t>金华现货库存</t>
  </si>
  <si>
    <t>金华采购未到货</t>
  </si>
  <si>
    <t>金华昨日出库商品件数</t>
  </si>
  <si>
    <t>金华近7日出库商品件数</t>
  </si>
  <si>
    <t>金华近14日出库商品件数</t>
  </si>
  <si>
    <t>金华近28日出库商品件数</t>
  </si>
  <si>
    <t>海口现货库存</t>
  </si>
  <si>
    <t>海口采购未到货</t>
  </si>
  <si>
    <t>海口昨日出库商品件数</t>
  </si>
  <si>
    <t>海口近7日出库商品件数</t>
  </si>
  <si>
    <t>海口近14日出库商品件数</t>
  </si>
  <si>
    <t>海口近28日出库商品件数</t>
  </si>
  <si>
    <t>南充现货库存</t>
  </si>
  <si>
    <t>南充采购未到货</t>
  </si>
  <si>
    <t>南充昨日出库商品件数</t>
  </si>
  <si>
    <t>南充近7日出库商品件数</t>
  </si>
  <si>
    <t>南充近14日出库商品件数</t>
  </si>
  <si>
    <t>南充近28日出库商品件数</t>
  </si>
  <si>
    <t>银川现货库存</t>
  </si>
  <si>
    <t>银川采购未到货</t>
  </si>
  <si>
    <t>银川昨日出库商品件数</t>
  </si>
  <si>
    <t>银川近7日出库商品件数</t>
  </si>
  <si>
    <t>银川近14日出库商品件数</t>
  </si>
  <si>
    <t>银川近28日出库商品件数</t>
  </si>
  <si>
    <t>驻马店现货库存</t>
  </si>
  <si>
    <t>驻马店采购未到货</t>
  </si>
  <si>
    <t>驻马店昨日出库商品件数</t>
  </si>
  <si>
    <t>驻马店近7日出库商品件数</t>
  </si>
  <si>
    <t>驻马店近14日出库商品件数</t>
  </si>
  <si>
    <t>驻马店近28日出库商品件数</t>
  </si>
  <si>
    <t>温州现货库存</t>
  </si>
  <si>
    <t>温州采购未到货</t>
  </si>
  <si>
    <t>温州昨日出库商品件数</t>
  </si>
  <si>
    <t>温州近7日出库商品件数</t>
  </si>
  <si>
    <t>温州近14日出库商品件数</t>
  </si>
  <si>
    <t>温州近28日出库商品件数</t>
  </si>
  <si>
    <t>茂名现货库存</t>
  </si>
  <si>
    <t>茂名采购未到货</t>
  </si>
  <si>
    <t>茂名昨日出库商品件数</t>
  </si>
  <si>
    <t>茂名近7日出库商品件数</t>
  </si>
  <si>
    <t>茂名近14日出库商品件数</t>
  </si>
  <si>
    <t>茂名近28日出库商品件数</t>
  </si>
  <si>
    <t>柳州现货库存</t>
  </si>
  <si>
    <t>柳州采购未到货</t>
  </si>
  <si>
    <t>柳州昨日出库商品件数</t>
  </si>
  <si>
    <t>柳州近7日出库商品件数</t>
  </si>
  <si>
    <t>柳州近14日出库商品件数</t>
  </si>
  <si>
    <t>柳州近28日出库商品件数</t>
  </si>
  <si>
    <t>洛阳现货库存</t>
  </si>
  <si>
    <t>洛阳采购未到货</t>
  </si>
  <si>
    <t>洛阳昨日出库商品件数</t>
  </si>
  <si>
    <t>洛阳近7日出库商品件数</t>
  </si>
  <si>
    <t>洛阳近14日出库商品件数</t>
  </si>
  <si>
    <t>洛阳近28日出库商品件数</t>
  </si>
  <si>
    <t>衡阳现货库存</t>
  </si>
  <si>
    <t>衡阳采购未到货</t>
  </si>
  <si>
    <t>衡阳昨日出库商品件数</t>
  </si>
  <si>
    <t>衡阳近7日出库商品件数</t>
  </si>
  <si>
    <t>衡阳近14日出库商品件数</t>
  </si>
  <si>
    <t>衡阳近28日出库商品件数</t>
  </si>
  <si>
    <t>德州现货库存</t>
  </si>
  <si>
    <t>德州采购未到货</t>
  </si>
  <si>
    <t>德州昨日出库商品件数</t>
  </si>
  <si>
    <t>德州近7日出库商品件数</t>
  </si>
  <si>
    <t>德州近14日出库商品件数</t>
  </si>
  <si>
    <t>德州近28日出库商品件数</t>
  </si>
  <si>
    <t>荆州现货库存</t>
  </si>
  <si>
    <t>荆州采购未到货</t>
  </si>
  <si>
    <t>荆州昨日出库商品件数</t>
  </si>
  <si>
    <t>荆州近7日出库商品件数</t>
  </si>
  <si>
    <t>荆州近14日出库商品件数</t>
  </si>
  <si>
    <t>荆州近28日出库商品件数</t>
  </si>
  <si>
    <t>拉萨现货库存</t>
  </si>
  <si>
    <t>拉萨采购未到货</t>
  </si>
  <si>
    <t>拉萨昨日出库商品件数</t>
  </si>
  <si>
    <t>拉萨近7日出库商品件数</t>
  </si>
  <si>
    <t>拉萨近14日出库商品件数</t>
  </si>
  <si>
    <t>拉萨近28日出库商品件数</t>
  </si>
  <si>
    <t>泰州现货库存</t>
  </si>
  <si>
    <t>泰州采购未到货</t>
  </si>
  <si>
    <t>泰州昨日出库商品件数</t>
  </si>
  <si>
    <t>泰州近7日出库商品件数</t>
  </si>
  <si>
    <t>泰州近14日出库商品件数</t>
  </si>
  <si>
    <t>泰州近28日出库商品件数</t>
  </si>
  <si>
    <t>鹤壁现货库存</t>
  </si>
  <si>
    <t>鹤壁采购未到货</t>
  </si>
  <si>
    <t>鹤壁昨日出库商品件数</t>
  </si>
  <si>
    <t>鹤壁近7日出库商品件数</t>
  </si>
  <si>
    <t>鹤壁近14日出库商品件数</t>
  </si>
  <si>
    <t>鹤壁近28日出库商品件数</t>
  </si>
  <si>
    <t>西宁现货库存</t>
  </si>
  <si>
    <t>西宁采购未到货</t>
  </si>
  <si>
    <t>西宁昨日出库商品件数</t>
  </si>
  <si>
    <t>西宁近7日出库商品件数</t>
  </si>
  <si>
    <t>西宁近14日出库商品件数</t>
  </si>
  <si>
    <t>西宁近28日出库商品件数</t>
  </si>
  <si>
    <t>赣州现货库存</t>
  </si>
  <si>
    <t>赣州采购未到货</t>
  </si>
  <si>
    <t>赣州昨日出库商品件数</t>
  </si>
  <si>
    <t>赣州近7日出库商品件数</t>
  </si>
  <si>
    <t>赣州近14日出库商品件数</t>
  </si>
  <si>
    <t>赣州近28日出库商品件数</t>
  </si>
  <si>
    <t>中山现货库存</t>
  </si>
  <si>
    <t>中山采购未到货</t>
  </si>
  <si>
    <t>中山昨日出库商品件数</t>
  </si>
  <si>
    <t>中山近7日出库商品件数</t>
  </si>
  <si>
    <t>中山近14日出库商品件数</t>
  </si>
  <si>
    <t>中山近28日出库商品件数</t>
  </si>
  <si>
    <t>汉中现货库存</t>
  </si>
  <si>
    <t>汉中采购未到货</t>
  </si>
  <si>
    <t>汉中昨日出库商品件数</t>
  </si>
  <si>
    <t>汉中近7日出库商品件数</t>
  </si>
  <si>
    <t>汉中近14日出库商品件数</t>
  </si>
  <si>
    <t>汉中近28日出库商品件数</t>
  </si>
  <si>
    <t>上海FDC配送中心现货库存</t>
  </si>
  <si>
    <t>上海FDC配送中心采购未到货</t>
  </si>
  <si>
    <t>上海FDC配送中心昨日出库商品件数</t>
  </si>
  <si>
    <t>上海FDC配送中心近7日出库商品件数</t>
  </si>
  <si>
    <t>上海FDC配送中心近14日出库商品件数</t>
  </si>
  <si>
    <t>上海FDC配送中心近28日出库商品件数</t>
  </si>
  <si>
    <t>广州城市现货库存</t>
  </si>
  <si>
    <t>广州城市采购未到货</t>
  </si>
  <si>
    <t>广州城市昨日出库商品件数</t>
  </si>
  <si>
    <t>广州城市近7日出库商品件数</t>
  </si>
  <si>
    <t>广州城市近14日出库商品件数</t>
  </si>
  <si>
    <t>广州城市近28日出库商品件数</t>
  </si>
  <si>
    <t>北京城市现货库存</t>
  </si>
  <si>
    <t>北京城市采购未到货</t>
  </si>
  <si>
    <t>北京城市昨日出库商品件数</t>
  </si>
  <si>
    <t>北京城市近7日出库商品件数</t>
  </si>
  <si>
    <t>北京城市近14日出库商品件数</t>
  </si>
  <si>
    <t>北京城市近28日出库商品件数</t>
  </si>
  <si>
    <t>广州补货B现货库存</t>
  </si>
  <si>
    <t>广州补货B采购未到货</t>
  </si>
  <si>
    <t>广州补货B昨日出库商品件数</t>
  </si>
  <si>
    <t>广州补货B近7日出库商品件数</t>
  </si>
  <si>
    <t>广州补货B近14日出库商品件数</t>
  </si>
  <si>
    <t>广州补货B近28日出库商品件数</t>
  </si>
  <si>
    <t>武汉补货B现货库存</t>
  </si>
  <si>
    <t>武汉补货B采购未到货</t>
  </si>
  <si>
    <t>武汉补货B昨日出库商品件数</t>
  </si>
  <si>
    <t>武汉补货B近7日出库商品件数</t>
  </si>
  <si>
    <t>武汉补货B近14日出库商品件数</t>
  </si>
  <si>
    <t>武汉补货B近28日出库商品件数</t>
  </si>
  <si>
    <t>成都补货B现货库存</t>
  </si>
  <si>
    <t>成都补货B采购未到货</t>
  </si>
  <si>
    <t>成都补货B昨日出库商品件数</t>
  </si>
  <si>
    <t>成都补货B近7日出库商品件数</t>
  </si>
  <si>
    <t>成都补货B近14日出库商品件数</t>
  </si>
  <si>
    <t>成都补货B近28日出库商品件数</t>
  </si>
  <si>
    <t>南通本地仓中心现货库存</t>
  </si>
  <si>
    <t>南通本地仓中心采购未到货</t>
  </si>
  <si>
    <t>南通本地仓中心昨日出库商品件数</t>
  </si>
  <si>
    <t>南通本地仓中心近7日出库商品件数</t>
  </si>
  <si>
    <t>南通本地仓中心近14日出库商品件数</t>
  </si>
  <si>
    <t>南通本地仓中心近28日出库商品件数</t>
  </si>
  <si>
    <t>南京补货B现货库存</t>
  </si>
  <si>
    <t>南京补货B采购未到货</t>
  </si>
  <si>
    <t>南京补货B昨日出库商品件数</t>
  </si>
  <si>
    <t>南京补货B近7日出库商品件数</t>
  </si>
  <si>
    <t>南京补货B近14日出库商品件数</t>
  </si>
  <si>
    <t>南京补货B近28日出库商品件数</t>
  </si>
  <si>
    <t>常州本地仓中心现货库存</t>
  </si>
  <si>
    <t>常州本地仓中心采购未到货</t>
  </si>
  <si>
    <t>常州本地仓中心昨日出库商品件数</t>
  </si>
  <si>
    <t>常州本地仓中心近7日出库商品件数</t>
  </si>
  <si>
    <t>常州本地仓中心近14日出库商品件数</t>
  </si>
  <si>
    <t>常州本地仓中心近28日出库商品件数</t>
  </si>
  <si>
    <t>徐州FDC配送中心现货库存</t>
  </si>
  <si>
    <t>徐州FDC配送中心采购未到货</t>
  </si>
  <si>
    <t>徐州FDC配送中心昨日出库商品件数</t>
  </si>
  <si>
    <t>徐州FDC配送中心近7日出库商品件数</t>
  </si>
  <si>
    <t>徐州FDC配送中心近14日出库商品件数</t>
  </si>
  <si>
    <t>徐州FDC配送中心近28日出库商品件数</t>
  </si>
  <si>
    <t>湛江现货库存</t>
  </si>
  <si>
    <t>湛江采购未到货</t>
  </si>
  <si>
    <t>湛江昨日出库商品件数</t>
  </si>
  <si>
    <t>湛江近7日出库商品件数</t>
  </si>
  <si>
    <t>湛江近14日出库商品件数</t>
  </si>
  <si>
    <t>湛江近28日出库商品件数</t>
  </si>
  <si>
    <t>北京北现货库存</t>
  </si>
  <si>
    <t>北京北采购未到货</t>
  </si>
  <si>
    <t>北京北昨日出库商品件数</t>
  </si>
  <si>
    <t>北京北近7日出库商品件数</t>
  </si>
  <si>
    <t>北京北近14日出库商品件数</t>
  </si>
  <si>
    <t>北京北近28日出库商品件数</t>
  </si>
  <si>
    <t>佛山城市现货库存</t>
  </si>
  <si>
    <t>佛山城市采购未到货</t>
  </si>
  <si>
    <t>佛山城市昨日出库商品件数</t>
  </si>
  <si>
    <t>佛山城市近7日出库商品件数</t>
  </si>
  <si>
    <t>佛山城市近14日出库商品件数</t>
  </si>
  <si>
    <t>佛山城市近28日出库商品件数</t>
  </si>
  <si>
    <t>2026-10-25</t>
  </si>
  <si>
    <t>国宝桥米京山桥米10斤真空绿色装 核心产区桥米10斤</t>
  </si>
  <si>
    <t>上柜</t>
  </si>
  <si>
    <t>国宝桥米油粘米10斤长粒大米 湖北鱼米之乡煲仔饭用米好吃南方籼米新米</t>
  </si>
  <si>
    <t>国宝桥米家香米10斤 当季新米 湖北长粒大米 南方籼米香软优质大米</t>
  </si>
  <si>
    <t>国宝桥米京山桥米20斤真空 绿色食品 湖北地标大米 当季新米 长粒籼米</t>
  </si>
  <si>
    <t>国宝桥米京山桥米20斤真空绿色装 核心产区桥米20斤</t>
  </si>
  <si>
    <t>稻花翁丝苗米20斤南方优质大米好吃籼米湖北特色长粒大米当季新米</t>
  </si>
  <si>
    <t>稻花翁泰玉京香20斤南方优质大米好吃大米籼米湖北特色长粒大米当季新米</t>
  </si>
  <si>
    <t>国宝桥米京山桥米10斤真空装 绿色食品地标大米南方长粒籼米当季新米</t>
  </si>
  <si>
    <t>京山桥米国宝桥米20斤 湖北地标大米 长粒籼米 当季新米 经典熊猫米</t>
  </si>
  <si>
    <t>国宝桥米京山大米20斤 当季新米 煲仔饭大米南方籼米  熊猫米 长粒米</t>
  </si>
  <si>
    <t>稻花翁御贡香米50斤南方优质好吃籼米湖北特色长粒大米当季新米</t>
  </si>
  <si>
    <t>国宝桥米京山大米10斤真空装 当季新米 湖北特色大米南方长粒籼米</t>
  </si>
  <si>
    <t>国宝桥米京山桥米国宝桥米5斤装壶口锁鲜大米新米优质南方籼米一年</t>
  </si>
  <si>
    <t>国宝桥米软香米20斤 当季新米  南方籼米 软香长粒大米湖北特色米</t>
  </si>
  <si>
    <t>稻花翁虾稻香软米20斤南方优质大米籼米湖北特色长粒大米当季新米</t>
  </si>
  <si>
    <t>稻花翁京泰香米20斤南方优质大米籼米湖北特色长粒大米当季新米</t>
  </si>
  <si>
    <t>国宝桥米严选京山桥米10斤真空装 湖北地标大米 当季新米特色长粒籼米</t>
  </si>
  <si>
    <t>国宝桥米京山桥米50斤大规格装 家庭版经典熊猫米绿色食品地标大米</t>
  </si>
  <si>
    <t>稻花翁丝苗米10斤南方优质大米好吃籼米湖北特色长粒大米当季新米</t>
  </si>
  <si>
    <t>国宝桥米江汉大米京山桥米20斤 真空装湖北优质大米地标大米京山桥米</t>
  </si>
  <si>
    <t>稻花翁虾稻油粘米20斤南方优质好吃籼米湖北特色长粒大米当季新米</t>
  </si>
  <si>
    <t>国宝桥米江汉大米京山桥米10斤双层真空装 湖北地标大米长粒新米籼米</t>
  </si>
  <si>
    <t>国宝桥米嘉靖贡米10斤真空装 当季新米南方籼米 长粒大米 湖北京山特产</t>
  </si>
  <si>
    <t>稻花翁东北珍珠米20斤一年一季 软糯香甜北方粳米当季新米大米</t>
  </si>
  <si>
    <t>国宝桥米臻靓油粘米20斤 广东名米岭南风味南方籼米 软香长粒大米新米</t>
  </si>
  <si>
    <t>国宝桥米江汉大米京山桥米10斤单层真空装湖北地标大米长粒大米新米籼米</t>
  </si>
  <si>
    <t>国宝桥米京山清泉稻米10斤 真空装长粒新米 南方籼米 湖北特色大米</t>
  </si>
  <si>
    <t>国宝桥米清香米10斤真空装 湖北特色大米当季新米 长粒南方籼米</t>
  </si>
  <si>
    <t>稻花翁香飘米20斤南方优质大米好吃籼米湖北特色长粒大米当季新米</t>
  </si>
  <si>
    <t>稻花翁秋田小町10斤东北一年一季软糯香甜北方粳米当季新米大米</t>
  </si>
  <si>
    <t>京山桥米稻自香10斤京山桥米湖北地标大米优质长粒籼米新米</t>
  </si>
  <si>
    <t>稻花翁田园香米20斤南方优质大米好吃籼米湖北特色长粒大米新米</t>
  </si>
  <si>
    <t>国宝桥米有机香米10斤真空装当季新米湖北特色大米厂里南方籼米</t>
  </si>
  <si>
    <t>国宝桥米有机桥米10斤真空装 湖北地标大米南方长粒籼米当季新米</t>
  </si>
  <si>
    <t>国宝桥米山泉稻5斤湖北京山特产 天然山泉水灌溉南方长粒籼米当季新米</t>
  </si>
  <si>
    <t>稻花翁东北大米20斤圆粒米一年一季 煮粥软糯香甜北方粳米当季新米大米</t>
  </si>
  <si>
    <t>国宝桥米山泉稻10斤湖北京山特产 天然山泉水灌溉南方长粒籼米当季新米</t>
  </si>
  <si>
    <t>京山桥米国宝桥米2斤真空装优质地标大米南方籼米当季新米</t>
  </si>
  <si>
    <t>京山桥米国宝桥米免淘桥米300g优质长粒米湖北地标大米新米</t>
  </si>
  <si>
    <t>京山桥米国宝桥米有机桥米5斤优质大米地标大米真空装新米</t>
  </si>
  <si>
    <t>稻花翁田园香米20斤 当季新米 南方长粒米籼米 湖北特色大米</t>
  </si>
  <si>
    <t>下柜</t>
  </si>
  <si>
    <t>国宝桥米低GI硒米5斤真空大米糖友稳糖米 主食低升糖食品高饱腹好吃</t>
  </si>
  <si>
    <t>稻花翁香飘米20斤 湖北特色大米南方长粒籼米当季新米 炒饭米粒分明</t>
  </si>
  <si>
    <t>稻花翁丝苗米10斤 长粒米南方籼米优质大米</t>
  </si>
  <si>
    <t>国宝桥米京山桥米268g 小包装袋装绿色食品 长粒米南方籼米新米</t>
  </si>
  <si>
    <t>稻花翁东北大米20斤 粳米圆米 当季新米</t>
  </si>
  <si>
    <t>稻花翁虾稻油粘米20斤 当季新米湖北特色大米南方长粒籼米</t>
  </si>
  <si>
    <t>国宝桥米京山桥米40斤真空装10斤*4袋（整箱) 当季新米南方长粒籼米</t>
  </si>
  <si>
    <t>稻花翁秋田小町10斤 东北大米寿司米粳米粥米圆粒米</t>
  </si>
  <si>
    <t>稻花翁东北大米20斤 圆粒米一年一季 煮粥软糯香甜北方粳米</t>
  </si>
  <si>
    <t>国宝桥米猫牙香米10斤 长粒米 炒饭大米 当季新米南方特色米籼米</t>
  </si>
  <si>
    <t>稻花翁泰玉京香20斤好吃大米南方籼米湖北特色长粒大米当季新米</t>
  </si>
  <si>
    <t>国宝桥米京山桥米40斤 真空装20斤*2袋 整箱 绿色食品 地标大米新米</t>
  </si>
  <si>
    <t>国宝桥米油粘米40斤真空装10斤*4（整箱) 当季新米 南方长粒籼米好吃</t>
  </si>
  <si>
    <t>国宝桥米湄萨罗柬埔寨香米10斤  进口原粮大米 长粒米籼米当季新米</t>
  </si>
  <si>
    <t>稻花翁虾稻香软米20斤 当季新米南方籼米 湖北长粒大米好吃大米</t>
  </si>
  <si>
    <t>稻花翁御贡香米50斤 大规格装家庭用当季新米南方长粒大米</t>
  </si>
  <si>
    <t>国宝桥米京山桥米桥米20斤湖北地标大米当季新米绿色食品南方特色长粒籼米</t>
  </si>
  <si>
    <t>稻花翁丝苗米20斤 南方长粒籼米湖北特色大米当季新米好吃</t>
  </si>
  <si>
    <t>国宝桥米江汉大米京山桥米18斤 湖北地标大米当季新米长粒籼米</t>
  </si>
  <si>
    <t>国宝桥米稻自香江汉香米10斤真空装湖北大米优质长粒籼米当季新米</t>
  </si>
  <si>
    <t>稻花翁油粘米10斤 当季新米煲仔饭用大米 南方长粒籼米特色大米</t>
  </si>
  <si>
    <t>国宝桥米京山大米40斤真空装 10斤*4袋整箱装 南方籼米当季新米长粒米</t>
  </si>
  <si>
    <t>稻花翁京泰香米20斤 当季新米南方长粒籼米湖北特色大米好吃大米</t>
  </si>
  <si>
    <t>国宝桥米 严选京山桥米5kg（中国地理标志）湖北特产籼米 长粒大米10斤</t>
  </si>
  <si>
    <t>国宝桥米 油粘米5kg 长粒大米  湖北鱼米之乡 煲仔饭用米（非真空包装）</t>
  </si>
  <si>
    <t xml:space="preserve">国宝桥米 京山大米10kg（当季新米） 煲仔饭米 籼米 油粘香软米 熊猫米 </t>
  </si>
  <si>
    <t>国宝桥米 京山桥米5kg（绿色食品 中国地理标志） 湖北特产长粒大米10斤</t>
  </si>
  <si>
    <t>国宝桥米油粘米5kg*4（整箱) 当季新米南方籼米 （真空包装） 20公斤</t>
  </si>
  <si>
    <t>国宝桥米健康米5kg  当季新米真空包装南方籼米10斤</t>
  </si>
  <si>
    <t>国宝桥米 京山香米5kg （当季新米） 南方籼米 湖北长粒大米10斤</t>
  </si>
  <si>
    <t>国宝桥米（GUOBAOQIAOMI）红莲生态米500g 南方籼米 湖北大米</t>
  </si>
  <si>
    <t>国宝桥米熊猫发夹玩偶</t>
  </si>
  <si>
    <t>国宝桥米 京山桥米10kg真空（绿色食品认证 中国地理标志）（当季新米）</t>
  </si>
  <si>
    <t>稻花翁 虾稻香软米20斤（当季新米） 南方籼米 湖北长粒大米</t>
  </si>
  <si>
    <t>稻花翁 泰玉京香10kg 当季新米 籼米 长粒大米20斤</t>
  </si>
  <si>
    <t>国宝桥米稻自香粒粒香20斤真空 新米长粒米湖北特色大米劲道南方籼米炒饭</t>
  </si>
  <si>
    <t>国宝桥米 贡香米5kg 新米 南方籼米 湖北优质大米</t>
  </si>
  <si>
    <t>国宝桥米京山桥米20斤湖北地标大米当季新米绿色食品南方特色长粒籼米</t>
  </si>
  <si>
    <t>国宝桥米 油粘米5kg 长粒大米 南方籼米 湖北鱼米之乡 煲仔饭用米（非真空包装）</t>
  </si>
  <si>
    <t>国宝桥米 贡米5kg 南方籼米 湖北大米</t>
  </si>
  <si>
    <t>国宝桥米稻花翁系列东北珍珠米5kg 圆粒米 黑土地大米10斤装当季新米</t>
  </si>
  <si>
    <t xml:space="preserve">国宝桥米 家香米5kg 当季新米 湖北长粒大米 南方籼米（非真空包装）  </t>
  </si>
  <si>
    <t>国宝桥米 京山大米5kg（当季新米）油粘香软米 湖北熊猫经典 长粒米 10斤</t>
  </si>
  <si>
    <t xml:space="preserve">国宝桥米 京山桥米10kg 匠心经典 地标产品 湖北京山特产 当季新米  南方籼米 长粒大米 </t>
  </si>
  <si>
    <t>稻花翁东北大米10kg 珍珠米20斤 圆粒米一年一季 煮粥软糯香甜</t>
  </si>
  <si>
    <t>稻花翁东北大米20斤 珍珠米圆粒米一年一季 煮粥软糯香甜北方粳米</t>
  </si>
  <si>
    <t>国宝桥米江汉大米20斤真空装 湖北优质大米地标大米京山桥米</t>
  </si>
  <si>
    <t>国宝桥米稻自香阳光香米10斤真空柬埔寨香米进口大米当季新米长粒籼米</t>
  </si>
  <si>
    <t>国宝桥米京山桥米1kg小规格真空装袋装湖北特产地标大米绿色食品</t>
  </si>
  <si>
    <t>国宝桥米油粘米10斤真空装</t>
  </si>
  <si>
    <t>国宝桥米 米饭伴侣500g 配方谷物制品17种（奇亚籽 粗杂粮饭 粥米）</t>
  </si>
  <si>
    <t>国宝桥米京山桥米5斤真空装 绿色食品湖北地标大米南方长粒籼米大米</t>
  </si>
  <si>
    <t>国宝桥米（GUOBAOQIAOMI）有机礼盒3kg 新米 洋西早 湖北京山 生态有机大米籼米</t>
  </si>
  <si>
    <t>国宝桥米 贡米5kg</t>
  </si>
  <si>
    <t>国宝桥米 臻靓油粘米5kg 岭南风味 南方籼米 软香长粒大米10斤</t>
  </si>
  <si>
    <t>国宝桥米 洋西早5kg礼盒装 南方大米 湖北京山特产</t>
  </si>
  <si>
    <t>国宝桥米稻自香系列阳光香米10kg柬埔寨香米进口大米20斤当季新米长粒籼米</t>
  </si>
  <si>
    <t>稻花翁泰玉京香20斤 当季新米 南方籼米 湖北特色长粒大米</t>
  </si>
  <si>
    <t>国宝桥米 赤小豆薏米粥1.1kg（  长粒赤小豆+薏仁米 粗粮 大米搭档 粥米伴侣）</t>
  </si>
  <si>
    <t>国宝桥米贡香晚籼米5kg 当季新米 湖北长粒大米 南方籼米（真空包装）</t>
  </si>
  <si>
    <t>国宝桥米有机桥米2.5kg 当季新米 湖北京山特产大米5斤 有机认证</t>
  </si>
  <si>
    <t>国宝桥米（GUOBAOQIAOMI）有机大米2.5kg*2 礼桶装新米湖北京山 生态有机大米籼米</t>
  </si>
  <si>
    <t>稻自香 京山泉水大米10kg（当季新米） 南方籼米 湖北长粒大米</t>
  </si>
  <si>
    <t>国宝桥米 京山桥米2.5kg*8（整箱）南方籼米 京山特产长粒大米</t>
  </si>
  <si>
    <t>国宝桥米稻自香京山桥米10斤真空装当季新米湖北地标大米长粒米籼米</t>
  </si>
  <si>
    <t>国宝桥米京山大米268g 小规格长粒米南方籼米湖北特产</t>
  </si>
  <si>
    <t>国宝桥米稻自香粒粒香10斤真空 长粒米湖北特色大米劲道南方籼米炒饭新米</t>
  </si>
  <si>
    <t>国宝桥米熊猫手环</t>
  </si>
  <si>
    <t>国宝桥米（GUOBAOQIAOMI）有机香米3kg 新米湖北京山 生态有机大米籼米</t>
  </si>
  <si>
    <t>国宝桥米靓香丝苗米10斤南方长粒米籼米炒饭煲仔饭大米软糯新米真空装</t>
  </si>
  <si>
    <t>国宝桥米 天合贡宝礼盒2kg   洋西早米 湖北京山特产礼品装</t>
  </si>
  <si>
    <t>国宝桥米 健康米5kg 新米 南方籼米 湖北优质大米</t>
  </si>
  <si>
    <t>稻自香 京山软香贡米5kg（当季新米） 南方籼米 湖北长粒大米10斤</t>
  </si>
  <si>
    <t>国宝桥米稻自香系列江汉农家香米5kg 真空装大米当季新米10斤</t>
  </si>
  <si>
    <t>国宝桥米稻花翁系列东北珍珠米10kg 圆粒米 黑土地大米20斤装当季新米大米</t>
  </si>
  <si>
    <t>国宝桥米（GUOBAOQIAOMI）有机桥米3kg 新米 湖北京山 生态有机大米籼米</t>
  </si>
  <si>
    <t>国宝桥米稻自香田园香米10斤真空装湖北大米当季新米南方长粒籼米</t>
  </si>
  <si>
    <t>稻自香 京山鲜稻米10kg（当季新米） 南方籼米 湖北长粒大米</t>
  </si>
  <si>
    <t>稻自香 京山稻香米5kg（当季新米） 南方籼米 湖北长粒大米10斤</t>
  </si>
  <si>
    <t>国宝桥米低GI硒米2.5kg 下柜</t>
  </si>
  <si>
    <t>国宝桥米 香晚优10kg 新米 长粒米 南方籼米 湖北大米</t>
  </si>
  <si>
    <t>国宝桥米 杂粮礼盒2.8kg（8种粗粮组合 黑米 糙米 糯米 黄小米 薏米 红豆 绿豆 黑豆 ）</t>
  </si>
  <si>
    <t>求和项:SKU</t>
  </si>
  <si>
    <t>求和项:全国近7日出库商品件数</t>
  </si>
  <si>
    <t>求和项:全国现货库存</t>
  </si>
  <si>
    <t>求和项:上海近7日出库商品件数</t>
  </si>
  <si>
    <t>求和项:上海现货库存</t>
  </si>
  <si>
    <t>求和项:成都近7日出库商品件数</t>
  </si>
  <si>
    <t>求和项:成都现货库存</t>
  </si>
  <si>
    <t>求和项:武汉近7日出库商品件数</t>
  </si>
  <si>
    <t>求和项:武汉现货库存</t>
  </si>
  <si>
    <t>求和项:北京近7日出库商品件数</t>
  </si>
  <si>
    <t>求和项:北京现货库存</t>
  </si>
  <si>
    <t>求和项:南京近7日出库商品件数</t>
  </si>
  <si>
    <t>求和项:南京现货库存</t>
  </si>
  <si>
    <t>求和项:广州近7日出库商品件数</t>
  </si>
  <si>
    <t>求和项:广州现货库存</t>
  </si>
  <si>
    <t>求和项:西安近7日出库商品件数</t>
  </si>
  <si>
    <t>求和项:西安现货库存</t>
  </si>
  <si>
    <t>求和项:杭州近7日出库商品件数</t>
  </si>
  <si>
    <t>求和项:杭州现货库存</t>
  </si>
  <si>
    <t>求和项:深圳近7日出库商品件数</t>
  </si>
  <si>
    <t>求和项:深圳现货库存</t>
  </si>
  <si>
    <t>求和项:长沙近7日出库商品件数</t>
  </si>
  <si>
    <t>求和项:长沙现货库存</t>
  </si>
  <si>
    <t>求和项:南昌近7日出库商品件数</t>
  </si>
  <si>
    <t>求和项:南昌现货库存</t>
  </si>
  <si>
    <t>求和项:荆州近7日出库商品件数</t>
  </si>
  <si>
    <t>求和项:荆州现货库存</t>
  </si>
  <si>
    <t>求和项:广州城市近7日出库商品件数</t>
  </si>
  <si>
    <t>求和项:广州城市现货库存</t>
  </si>
  <si>
    <t>总计</t>
  </si>
  <si>
    <t>规格（kg）</t>
  </si>
  <si>
    <t>公式</t>
  </si>
  <si>
    <t>补货数量</t>
  </si>
  <si>
    <t>重量（吨）</t>
  </si>
  <si>
    <t>重量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</si>
</sst>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ont="1" applyFill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3" borderId="0" xfId="0" applyFont="1" applyFill="1" applyAlignment="1">
      <alignment vertical="center" wrapText="1"/>
    </xf>
    <xf numFmtId="176" fontId="0" fillId="0" borderId="0" xfId="0" applyNumberFormat="1" applyFont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1.6679050926" refreshedBy="国宝" recordCount="42">
  <cacheSource type="worksheet">
    <worksheetSource ref="A1:A1" sheet="sheet1"/>
  </cacheSource>
  <cacheFields count="389">
    <cacheField name="时间" numFmtId="0">
      <sharedItems count="1">
        <s v="2026-10-25"/>
      </sharedItems>
    </cacheField>
    <cacheField name="商品名称" numFmtId="0">
      <sharedItems count="40">
        <s v="国宝桥米京山桥米10斤真空绿色装 核心产区桥米10斤"/>
        <s v="国宝桥米油粘米10斤长粒大米 湖北鱼米之乡煲仔饭用米好吃南方籼米新米"/>
        <s v="国宝桥米家香米10斤 当季新米 湖北长粒大米 南方籼米香软优质大米"/>
        <s v="国宝桥米京山桥米20斤真空 绿色食品 湖北地标大米 当季新米 长粒籼米"/>
        <s v="国宝桥米京山桥米20斤真空绿色装 核心产区桥米20斤"/>
        <s v="稻花翁丝苗米20斤南方优质大米好吃籼米湖北特色长粒大米当季新米"/>
        <s v="稻花翁泰玉京香20斤南方优质大米好吃大米籼米湖北特色长粒大米当季新米"/>
        <s v="国宝桥米京山桥米10斤真空装 绿色食品地标大米南方长粒籼米当季新米"/>
        <s v="京山桥米国宝桥米20斤 湖北地标大米 长粒籼米 当季新米 经典熊猫米"/>
        <s v="国宝桥米京山大米20斤 当季新米 煲仔饭大米南方籼米  熊猫米 长粒米"/>
        <s v="稻花翁御贡香米50斤南方优质好吃籼米湖北特色长粒大米当季新米"/>
        <s v="国宝桥米京山大米10斤真空装 当季新米 湖北特色大米南方长粒籼米"/>
        <s v="国宝桥米京山桥米国宝桥米5斤装壶口锁鲜大米新米优质南方籼米一年"/>
        <s v="国宝桥米软香米20斤 当季新米  南方籼米 软香长粒大米湖北特色米"/>
        <s v="稻花翁虾稻香软米20斤南方优质大米籼米湖北特色长粒大米当季新米"/>
        <s v="稻花翁京泰香米20斤南方优质大米籼米湖北特色长粒大米当季新米"/>
        <s v="国宝桥米严选京山桥米10斤真空装 湖北地标大米 当季新米特色长粒籼米"/>
        <s v="国宝桥米京山桥米50斤大规格装 家庭版经典熊猫米绿色食品地标大米"/>
        <s v="稻花翁丝苗米10斤南方优质大米好吃籼米湖北特色长粒大米当季新米"/>
        <s v="国宝桥米江汉大米京山桥米20斤 真空装湖北优质大米地标大米京山桥米"/>
        <s v="稻花翁虾稻油粘米20斤南方优质好吃籼米湖北特色长粒大米当季新米"/>
        <s v="国宝桥米江汉大米京山桥米10斤双层真空装 湖北地标大米长粒新米籼米"/>
        <s v="国宝桥米嘉靖贡米10斤真空装 当季新米南方籼米 长粒大米 湖北京山特产"/>
        <s v="稻花翁东北珍珠米20斤一年一季 软糯香甜北方粳米当季新米大米"/>
        <s v="国宝桥米臻靓油粘米20斤 广东名米岭南风味南方籼米 软香长粒大米新米"/>
        <s v="国宝桥米江汉大米京山桥米10斤单层真空装湖北地标大米长粒大米新米籼米"/>
        <s v="国宝桥米京山清泉稻米10斤 真空装长粒新米 南方籼米 湖北特色大米"/>
        <s v="国宝桥米清香米10斤真空装 湖北特色大米当季新米 长粒南方籼米"/>
        <s v="稻花翁香飘米20斤南方优质大米好吃籼米湖北特色长粒大米当季新米"/>
        <s v="稻花翁秋田小町10斤东北一年一季软糯香甜北方粳米当季新米大米"/>
        <s v="京山桥米稻自香10斤京山桥米湖北地标大米优质长粒籼米新米"/>
        <s v="稻花翁田园香米20斤南方优质大米好吃籼米湖北特色长粒大米新米"/>
        <s v="国宝桥米有机香米10斤真空装当季新米湖北特色大米厂里南方籼米"/>
        <s v="国宝桥米有机桥米10斤真空装 湖北地标大米南方长粒籼米当季新米"/>
        <s v="国宝桥米山泉稻5斤湖北京山特产 天然山泉水灌溉南方长粒籼米当季新米"/>
        <s v="稻花翁东北大米20斤圆粒米一年一季 煮粥软糯香甜北方粳米当季新米大米"/>
        <s v="国宝桥米山泉稻10斤湖北京山特产 天然山泉水灌溉南方长粒籼米当季新米"/>
        <s v="京山桥米国宝桥米2斤真空装优质地标大米南方籼米当季新米"/>
        <s v="京山桥米国宝桥米免淘桥米300g优质长粒米湖北地标大米新米"/>
        <s v="京山桥米国宝桥米有机桥米5斤优质大米地标大米真空装新米"/>
      </sharedItems>
    </cacheField>
    <cacheField name="SKU" numFmtId="0">
      <sharedItems containsSemiMixedTypes="0" containsString="0" containsNumber="1" containsInteger="1" minValue="0" maxValue="100437211078" count="42">
        <n v="100429918864"/>
        <n v="100268552721"/>
        <n v="100268551377"/>
        <n v="100017482746"/>
        <n v="100429921288"/>
        <n v="100289715511"/>
        <n v="100290520201"/>
        <n v="3045231"/>
        <n v="100280260287"/>
        <n v="100017482750"/>
        <n v="100378134276"/>
        <n v="100010040669"/>
        <n v="100385552302"/>
        <n v="100101940862"/>
        <n v="100378967756"/>
        <n v="100290551241"/>
        <n v="100010435395"/>
        <n v="100019896911"/>
        <n v="100289716337"/>
        <n v="100205639525"/>
        <n v="100378966926"/>
        <n v="100160527042"/>
        <n v="3396754"/>
        <n v="100290836407"/>
        <n v="100022327029"/>
        <n v="100314288492"/>
        <n v="100016216960"/>
        <n v="3045249"/>
        <n v="100378969104"/>
        <n v="100379261312"/>
        <n v="100286224075"/>
        <n v="100378935094"/>
        <n v="4198934"/>
        <n v="3751447"/>
        <n v="100233229094"/>
        <n v="100290837399"/>
        <n v="100233229068"/>
        <n v="100280161233"/>
        <n v="100280162897"/>
        <n v="100368684540"/>
        <n v="100437211078"/>
        <n v="100436342408"/>
      </sharedItems>
    </cacheField>
    <cacheField name="上下柜状态" numFmtId="0">
      <sharedItems count="1">
        <s v="上柜"/>
      </sharedItems>
    </cacheField>
    <cacheField name="全国采购价" numFmtId="0">
      <sharedItems containsString="0" containsBlank="1" containsNumber="1" minValue="0" maxValue="216" count="30">
        <n v="40.37"/>
        <n v="21.4"/>
        <n v="75"/>
        <n v="71.25"/>
        <n v="41.5"/>
        <n v="45.9"/>
        <n v="73"/>
        <n v="60"/>
        <n v="105"/>
        <n v="35"/>
        <n v="26.9"/>
        <n v="51"/>
        <n v="49"/>
        <n v="216"/>
        <n v="24.5"/>
        <n v="80"/>
        <n v="52"/>
        <n v="43.5"/>
        <n v="50"/>
        <n v="42"/>
        <n v="78"/>
        <n v="23.5"/>
        <n v="47.6"/>
        <n v="96"/>
        <n v="110"/>
        <n v="27.5"/>
        <n v="55.5"/>
        <n v="12.5"/>
        <n v="5.5"/>
        <m/>
      </sharedItems>
    </cacheField>
    <cacheField name="全国现货库存" numFmtId="0">
      <sharedItems containsSemiMixedTypes="0" containsString="0" containsNumber="1" containsInteger="1" minValue="0" maxValue="26462" count="39">
        <n v="0"/>
        <n v="26462"/>
        <n v="22633"/>
        <n v="5603"/>
        <n v="5084"/>
        <n v="10504"/>
        <n v="4746"/>
        <n v="648"/>
        <n v="2515"/>
        <n v="2833"/>
        <n v="1464"/>
        <n v="216"/>
        <n v="83"/>
        <n v="221"/>
        <n v="726"/>
        <n v="299"/>
        <n v="290"/>
        <n v="415"/>
        <n v="254"/>
        <n v="277"/>
        <n v="232"/>
        <n v="171"/>
        <n v="141"/>
        <n v="111"/>
        <n v="297"/>
        <n v="194"/>
        <n v="239"/>
        <n v="127"/>
        <n v="100"/>
        <n v="92"/>
        <n v="109"/>
        <n v="189"/>
        <n v="174"/>
        <n v="132"/>
        <n v="145"/>
        <n v="66"/>
        <n v="161"/>
        <n v="183"/>
        <n v="152"/>
      </sharedItems>
    </cacheField>
    <cacheField name="全国采购未到货" numFmtId="0">
      <sharedItems containsSemiMixedTypes="0" containsString="0" containsNumber="1" containsInteger="1" minValue="0" maxValue="8535" count="17">
        <n v="0"/>
        <n v="8535"/>
        <n v="1400"/>
        <n v="1600"/>
        <n v="1270"/>
        <n v="580"/>
        <n v="100"/>
        <n v="2000"/>
        <n v="320"/>
        <n v="300"/>
        <n v="70"/>
        <n v="50"/>
        <n v="60"/>
        <n v="20"/>
        <n v="120"/>
        <n v="40"/>
        <n v="80"/>
      </sharedItems>
    </cacheField>
    <cacheField name="全国昨日出库商品件数" numFmtId="0">
      <sharedItems containsSemiMixedTypes="0" containsString="0" containsNumber="1" containsInteger="1" minValue="0" maxValue="1245" count="18">
        <n v="0"/>
        <n v="1245"/>
        <n v="182"/>
        <n v="231"/>
        <n v="165"/>
        <n v="92"/>
        <n v="45"/>
        <n v="111"/>
        <n v="89"/>
        <n v="94"/>
        <n v="33"/>
        <n v="10"/>
        <n v="19"/>
        <n v="2"/>
        <n v="5"/>
        <n v="3"/>
        <n v="4"/>
        <n v="1"/>
      </sharedItems>
    </cacheField>
    <cacheField name="全国近7日出库商品件数" numFmtId="0">
      <sharedItems containsSemiMixedTypes="0" containsString="0" containsNumber="1" containsInteger="1" minValue="0" maxValue="10873" count="31">
        <n v="0"/>
        <n v="10873"/>
        <n v="3906"/>
        <n v="2734"/>
        <n v="1557"/>
        <n v="1063"/>
        <n v="1064"/>
        <n v="1073"/>
        <n v="794"/>
        <n v="593"/>
        <n v="242"/>
        <n v="150"/>
        <n v="94"/>
        <n v="53"/>
        <n v="48"/>
        <n v="37"/>
        <n v="35"/>
        <n v="26"/>
        <n v="20"/>
        <n v="16"/>
        <n v="14"/>
        <n v="13"/>
        <n v="12"/>
        <n v="11"/>
        <n v="9"/>
        <n v="7"/>
        <n v="6"/>
        <n v="4"/>
        <n v="3"/>
        <n v="2"/>
        <n v="1"/>
      </sharedItems>
    </cacheField>
    <cacheField name="全国近14日出库商品件数" numFmtId="0">
      <sharedItems containsSemiMixedTypes="0" containsString="0" containsNumber="1" containsInteger="1" minValue="0" maxValue="17173" count="33">
        <n v="0"/>
        <n v="17173"/>
        <n v="5226"/>
        <n v="4385"/>
        <n v="2443"/>
        <n v="1714"/>
        <n v="1411"/>
        <n v="1309"/>
        <n v="1216"/>
        <n v="1158"/>
        <n v="406"/>
        <n v="343"/>
        <n v="135"/>
        <n v="77"/>
        <n v="82"/>
        <n v="70"/>
        <n v="46"/>
        <n v="49"/>
        <n v="39"/>
        <n v="74"/>
        <n v="35"/>
        <n v="23"/>
        <n v="27"/>
        <n v="14"/>
        <n v="21"/>
        <n v="13"/>
        <n v="10"/>
        <n v="16"/>
        <n v="11"/>
        <n v="8"/>
        <n v="4"/>
        <n v="6"/>
        <n v="5"/>
      </sharedItems>
    </cacheField>
    <cacheField name="全国近28日出库商品件数" numFmtId="0">
      <sharedItems containsSemiMixedTypes="0" containsString="0" containsNumber="1" containsInteger="1" minValue="0" maxValue="24632" count="38">
        <n v="0"/>
        <n v="24632"/>
        <n v="9669"/>
        <n v="5924"/>
        <n v="4528"/>
        <n v="2635"/>
        <n v="1887"/>
        <n v="1706"/>
        <n v="1999"/>
        <n v="2008"/>
        <n v="712"/>
        <n v="386"/>
        <n v="164"/>
        <n v="231"/>
        <n v="178"/>
        <n v="138"/>
        <n v="135"/>
        <n v="117"/>
        <n v="133"/>
        <n v="207"/>
        <n v="56"/>
        <n v="53"/>
        <n v="81"/>
        <n v="52"/>
        <n v="75"/>
        <n v="27"/>
        <n v="31"/>
        <n v="36"/>
        <n v="34"/>
        <n v="33"/>
        <n v="38"/>
        <n v="71"/>
        <n v="13"/>
        <n v="5"/>
        <n v="12"/>
        <n v="16"/>
        <n v="11"/>
        <n v="15"/>
      </sharedItems>
    </cacheField>
    <cacheField name="上海现货库存" numFmtId="0">
      <sharedItems containsString="0" containsBlank="1" containsNumber="1" containsInteger="1" minValue="0" maxValue="3805" count="27">
        <n v="0"/>
        <n v="3195"/>
        <n v="3805"/>
        <n v="485"/>
        <n v="33"/>
        <n v="3656"/>
        <n v="554"/>
        <n v="218"/>
        <n v="183"/>
        <n v="407"/>
        <n v="268"/>
        <n v="48"/>
        <n v="26"/>
        <n v="31"/>
        <n v="39"/>
        <n v="64"/>
        <n v="59"/>
        <n v="28"/>
        <n v="35"/>
        <n v="19"/>
        <n v="37"/>
        <n v="32"/>
        <n v="16"/>
        <n v="73"/>
        <m/>
        <n v="20"/>
        <n v="17"/>
      </sharedItems>
    </cacheField>
    <cacheField name="上海采购未到货" numFmtId="0">
      <sharedItems containsString="0" containsBlank="1" containsNumber="1" containsInteger="1" minValue="0" maxValue="1200" count="3">
        <n v="0"/>
        <n v="1200"/>
        <m/>
      </sharedItems>
    </cacheField>
    <cacheField name="上海昨日出库商品件数" numFmtId="0">
      <sharedItems containsString="0" containsBlank="1" containsNumber="1" containsInteger="1" minValue="0" maxValue="71" count="13">
        <n v="0"/>
        <n v="71"/>
        <n v="12"/>
        <n v="15"/>
        <n v="25"/>
        <n v="13"/>
        <n v="4"/>
        <n v="3"/>
        <n v="5"/>
        <n v="10"/>
        <n v="7"/>
        <n v="1"/>
        <m/>
      </sharedItems>
    </cacheField>
    <cacheField name="上海近7日出库商品件数" numFmtId="0">
      <sharedItems containsString="0" containsBlank="1" containsNumber="1" containsInteger="1" minValue="0" maxValue="501" count="20">
        <n v="0"/>
        <n v="501"/>
        <n v="202"/>
        <n v="169"/>
        <n v="196"/>
        <n v="99"/>
        <n v="39"/>
        <n v="53"/>
        <n v="82"/>
        <n v="76"/>
        <n v="25"/>
        <n v="40"/>
        <n v="8"/>
        <n v="3"/>
        <n v="7"/>
        <n v="6"/>
        <n v="1"/>
        <n v="9"/>
        <n v="2"/>
        <m/>
      </sharedItems>
    </cacheField>
    <cacheField name="上海近14日出库商品件数" numFmtId="0">
      <sharedItems containsString="0" containsBlank="1" containsNumber="1" containsInteger="1" minValue="0" maxValue="772" count="20">
        <n v="0"/>
        <n v="772"/>
        <n v="252"/>
        <n v="269"/>
        <n v="288"/>
        <n v="152"/>
        <n v="66"/>
        <n v="65"/>
        <n v="129"/>
        <n v="130"/>
        <n v="38"/>
        <n v="72"/>
        <n v="10"/>
        <n v="8"/>
        <n v="9"/>
        <n v="6"/>
        <n v="1"/>
        <n v="2"/>
        <m/>
        <n v="4"/>
      </sharedItems>
    </cacheField>
    <cacheField name="上海近28日出库商品件数" numFmtId="0">
      <sharedItems containsString="0" containsBlank="1" containsNumber="1" containsInteger="1" minValue="0" maxValue="1017" count="26">
        <n v="0"/>
        <n v="1017"/>
        <n v="563"/>
        <n v="311"/>
        <n v="458"/>
        <n v="227"/>
        <n v="81"/>
        <n v="68"/>
        <n v="172"/>
        <n v="224"/>
        <n v="55"/>
        <n v="72"/>
        <n v="15"/>
        <n v="22"/>
        <n v="6"/>
        <n v="12"/>
        <n v="24"/>
        <n v="5"/>
        <n v="10"/>
        <n v="9"/>
        <n v="4"/>
        <m/>
        <n v="3"/>
        <n v="7"/>
        <n v="2"/>
        <n v="1"/>
      </sharedItems>
    </cacheField>
    <cacheField name="成都现货库存" numFmtId="0">
      <sharedItems containsString="0" containsBlank="1" containsNumber="1" containsInteger="1" minValue="0" maxValue="473" count="16">
        <n v="0"/>
        <n v="349"/>
        <n v="132"/>
        <n v="89"/>
        <n v="24"/>
        <n v="69"/>
        <n v="78"/>
        <n v="4"/>
        <n v="473"/>
        <n v="18"/>
        <n v="5"/>
        <n v="10"/>
        <n v="27"/>
        <n v="16"/>
        <n v="1"/>
        <m/>
      </sharedItems>
    </cacheField>
    <cacheField name="成都采购未到货" numFmtId="0">
      <sharedItems containsString="0" containsBlank="1" containsNumber="1" containsInteger="1" minValue="0" maxValue="1200" count="7">
        <n v="0"/>
        <n v="400"/>
        <n v="1200"/>
        <n v="300"/>
        <n v="360"/>
        <n v="20"/>
        <m/>
      </sharedItems>
    </cacheField>
    <cacheField name="成都昨日出库商品件数" numFmtId="0">
      <sharedItems containsString="0" containsBlank="1" containsNumber="1" containsInteger="1" minValue="0" maxValue="121" count="10">
        <n v="0"/>
        <n v="121"/>
        <n v="17"/>
        <n v="18"/>
        <n v="8"/>
        <n v="19"/>
        <n v="2"/>
        <n v="3"/>
        <n v="7"/>
        <m/>
      </sharedItems>
    </cacheField>
    <cacheField name="成都近7日出库商品件数" numFmtId="0">
      <sharedItems containsString="0" containsBlank="1" containsNumber="1" containsInteger="1" minValue="0" maxValue="977" count="14">
        <n v="0"/>
        <n v="977"/>
        <n v="225"/>
        <n v="86"/>
        <n v="126"/>
        <n v="114"/>
        <n v="9"/>
        <n v="26"/>
        <n v="46"/>
        <n v="65"/>
        <n v="10"/>
        <n v="27"/>
        <n v="5"/>
        <m/>
      </sharedItems>
    </cacheField>
    <cacheField name="成都近14日出库商品件数" numFmtId="0">
      <sharedItems containsString="0" containsBlank="1" containsNumber="1" containsInteger="1" minValue="0" maxValue="1409" count="15">
        <n v="0"/>
        <n v="1409"/>
        <n v="630"/>
        <n v="153"/>
        <n v="244"/>
        <n v="22"/>
        <n v="34"/>
        <n v="70"/>
        <n v="155"/>
        <n v="19"/>
        <n v="40"/>
        <n v="9"/>
        <n v="3"/>
        <n v="1"/>
        <m/>
      </sharedItems>
    </cacheField>
    <cacheField name="成都近28日出库商品件数" numFmtId="0">
      <sharedItems containsString="0" containsBlank="1" containsNumber="1" containsInteger="1" minValue="0" maxValue="1754" count="22">
        <n v="0"/>
        <n v="1754"/>
        <n v="1061"/>
        <n v="215"/>
        <n v="598"/>
        <n v="448"/>
        <n v="35"/>
        <n v="42"/>
        <n v="115"/>
        <n v="277"/>
        <n v="33"/>
        <n v="40"/>
        <n v="30"/>
        <n v="4"/>
        <n v="5"/>
        <n v="32"/>
        <n v="9"/>
        <n v="11"/>
        <n v="6"/>
        <n v="3"/>
        <n v="7"/>
        <m/>
      </sharedItems>
    </cacheField>
    <cacheField name="武汉现货库存" numFmtId="0">
      <sharedItems containsString="0" containsBlank="1" containsNumber="1" containsInteger="1" minValue="0" maxValue="7136" count="38">
        <n v="0"/>
        <n v="7136"/>
        <n v="6397"/>
        <n v="3109"/>
        <n v="577"/>
        <n v="2882"/>
        <n v="3615"/>
        <n v="184"/>
        <n v="1817"/>
        <n v="701"/>
        <n v="998"/>
        <n v="103"/>
        <n v="47"/>
        <n v="45"/>
        <n v="101"/>
        <n v="120"/>
        <n v="196"/>
        <n v="84"/>
        <n v="126"/>
        <n v="42"/>
        <n v="141"/>
        <n v="105"/>
        <n v="50"/>
        <n v="61"/>
        <n v="255"/>
        <n v="158"/>
        <n v="68"/>
        <n v="48"/>
        <n v="74"/>
        <n v="28"/>
        <n v="79"/>
        <n v="89"/>
        <n v="129"/>
        <n v="55"/>
        <n v="110"/>
        <n v="97"/>
        <n v="72"/>
        <m/>
      </sharedItems>
    </cacheField>
    <cacheField name="武汉采购未到货" numFmtId="0">
      <sharedItems containsString="0" containsBlank="1" containsNumber="1" containsInteger="1" minValue="0" maxValue="2000" count="7">
        <n v="0"/>
        <n v="1600"/>
        <n v="100"/>
        <n v="2000"/>
        <n v="300"/>
        <n v="60"/>
        <m/>
      </sharedItems>
    </cacheField>
    <cacheField name="武汉昨日出库商品件数" numFmtId="0">
      <sharedItems containsString="0" containsBlank="1" containsNumber="1" containsInteger="1" minValue="0" maxValue="157" count="15">
        <n v="0"/>
        <n v="126"/>
        <n v="31"/>
        <n v="157"/>
        <n v="20"/>
        <n v="3"/>
        <n v="28"/>
        <n v="96"/>
        <n v="66"/>
        <n v="21"/>
        <n v="1"/>
        <n v="12"/>
        <n v="4"/>
        <n v="2"/>
        <m/>
      </sharedItems>
    </cacheField>
    <cacheField name="武汉近7日出库商品件数" numFmtId="0">
      <sharedItems containsString="0" containsBlank="1" containsNumber="1" containsInteger="1" minValue="0" maxValue="2044" count="25">
        <n v="0"/>
        <n v="1194"/>
        <n v="537"/>
        <n v="2044"/>
        <n v="150"/>
        <n v="133"/>
        <n v="961"/>
        <n v="880"/>
        <n v="539"/>
        <n v="34"/>
        <n v="27"/>
        <n v="80"/>
        <n v="6"/>
        <n v="3"/>
        <n v="37"/>
        <n v="33"/>
        <n v="4"/>
        <n v="19"/>
        <n v="12"/>
        <n v="7"/>
        <n v="2"/>
        <n v="9"/>
        <n v="10"/>
        <n v="1"/>
        <m/>
      </sharedItems>
    </cacheField>
    <cacheField name="武汉近14日出库商品件数" numFmtId="0">
      <sharedItems containsString="0" containsBlank="1" containsNumber="1" containsInteger="1" minValue="0" maxValue="3220" count="29">
        <n v="0"/>
        <n v="1794"/>
        <n v="709"/>
        <n v="3220"/>
        <n v="256"/>
        <n v="180"/>
        <n v="1209"/>
        <n v="1060"/>
        <n v="782"/>
        <n v="66"/>
        <n v="248"/>
        <n v="91"/>
        <n v="118"/>
        <n v="10"/>
        <n v="15"/>
        <n v="59"/>
        <n v="40"/>
        <n v="7"/>
        <n v="24"/>
        <n v="22"/>
        <n v="8"/>
        <n v="3"/>
        <n v="21"/>
        <n v="11"/>
        <n v="2"/>
        <n v="4"/>
        <n v="5"/>
        <n v="1"/>
        <m/>
      </sharedItems>
    </cacheField>
    <cacheField name="武汉近28日出库商品件数" numFmtId="0">
      <sharedItems containsString="0" containsBlank="1" containsNumber="1" containsInteger="1" minValue="0" maxValue="4482" count="36">
        <n v="0"/>
        <n v="2556"/>
        <n v="1422"/>
        <n v="4482"/>
        <n v="519"/>
        <n v="300"/>
        <n v="1591"/>
        <n v="1396"/>
        <n v="1365"/>
        <n v="124"/>
        <n v="501"/>
        <n v="119"/>
        <n v="135"/>
        <n v="31"/>
        <n v="34"/>
        <n v="87"/>
        <n v="17"/>
        <n v="85"/>
        <n v="44"/>
        <n v="18"/>
        <n v="25"/>
        <n v="20"/>
        <n v="29"/>
        <n v="38"/>
        <n v="14"/>
        <n v="10"/>
        <n v="2"/>
        <n v="7"/>
        <n v="4"/>
        <n v="11"/>
        <n v="52"/>
        <n v="8"/>
        <n v="13"/>
        <n v="3"/>
        <n v="6"/>
        <m/>
      </sharedItems>
    </cacheField>
    <cacheField name="北京现货库存" numFmtId="0">
      <sharedItems containsString="0" containsBlank="1" containsNumber="1" containsInteger="1" minValue="0" maxValue="195" count="13">
        <n v="0"/>
        <m/>
        <n v="195"/>
        <n v="64"/>
        <n v="2"/>
        <n v="29"/>
        <n v="51"/>
        <n v="6"/>
        <n v="14"/>
        <n v="10"/>
        <n v="12"/>
        <n v="3"/>
        <n v="11"/>
      </sharedItems>
    </cacheField>
    <cacheField name="北京采购未到货" numFmtId="0">
      <sharedItems containsString="0" containsBlank="1" containsNumber="1" containsInteger="1" minValue="0" maxValue="0" count="2">
        <n v="0"/>
        <m/>
      </sharedItems>
    </cacheField>
    <cacheField name="北京昨日出库商品件数" numFmtId="0">
      <sharedItems containsString="0" containsBlank="1" containsNumber="1" containsInteger="1" minValue="0" maxValue="6" count="4">
        <n v="0"/>
        <m/>
        <n v="6"/>
        <n v="1"/>
      </sharedItems>
    </cacheField>
    <cacheField name="北京近7日出库商品件数" numFmtId="0">
      <sharedItems containsString="0" containsBlank="1" containsNumber="1" containsInteger="1" minValue="0" maxValue="47" count="9">
        <n v="0"/>
        <m/>
        <n v="47"/>
        <n v="12"/>
        <n v="15"/>
        <n v="34"/>
        <n v="11"/>
        <n v="6"/>
        <n v="1"/>
      </sharedItems>
    </cacheField>
    <cacheField name="北京近14日出库商品件数" numFmtId="0">
      <sharedItems containsString="0" containsBlank="1" containsNumber="1" containsInteger="1" minValue="0" maxValue="91" count="12">
        <n v="0"/>
        <m/>
        <n v="91"/>
        <n v="31"/>
        <n v="20"/>
        <n v="58"/>
        <n v="24"/>
        <n v="33"/>
        <n v="9"/>
        <n v="1"/>
        <n v="2"/>
        <n v="5"/>
      </sharedItems>
    </cacheField>
    <cacheField name="北京近28日出库商品件数" numFmtId="0">
      <sharedItems containsString="0" containsBlank="1" containsNumber="1" containsInteger="1" minValue="0" maxValue="105" count="16">
        <n v="0"/>
        <m/>
        <n v="105"/>
        <n v="48"/>
        <n v="22"/>
        <n v="76"/>
        <n v="29"/>
        <n v="34"/>
        <n v="9"/>
        <n v="16"/>
        <n v="2"/>
        <n v="15"/>
        <n v="3"/>
        <n v="10"/>
        <n v="1"/>
        <n v="5"/>
      </sharedItems>
    </cacheField>
    <cacheField name="南京现货库存" numFmtId="0">
      <sharedItems containsString="0" containsBlank="1" containsNumber="1" containsInteger="1" minValue="0" maxValue="1877" count="11">
        <m/>
        <n v="626"/>
        <n v="1877"/>
        <n v="278"/>
        <n v="1747"/>
        <n v="160"/>
        <n v="8"/>
        <n v="114"/>
        <n v="13"/>
        <n v="2"/>
        <n v="0"/>
      </sharedItems>
    </cacheField>
    <cacheField name="南京采购未到货" numFmtId="0">
      <sharedItems containsString="0" containsBlank="1" containsNumber="1" containsInteger="1" minValue="0" maxValue="1200" count="3">
        <m/>
        <n v="1200"/>
        <n v="0"/>
      </sharedItems>
    </cacheField>
    <cacheField name="南京昨日出库商品件数" numFmtId="0">
      <sharedItems containsString="0" containsBlank="1" containsNumber="1" containsInteger="1" minValue="0" maxValue="75" count="7">
        <m/>
        <n v="75"/>
        <n v="7"/>
        <n v="9"/>
        <n v="6"/>
        <n v="2"/>
        <n v="0"/>
      </sharedItems>
    </cacheField>
    <cacheField name="南京近7日出库商品件数" numFmtId="0">
      <sharedItems containsString="0" containsBlank="1" containsNumber="1" containsInteger="1" minValue="0" maxValue="644" count="10">
        <m/>
        <n v="644"/>
        <n v="439"/>
        <n v="129"/>
        <n v="48"/>
        <n v="53"/>
        <n v="10"/>
        <n v="1"/>
        <n v="2"/>
        <n v="0"/>
      </sharedItems>
    </cacheField>
    <cacheField name="南京近14日出库商品件数" numFmtId="0">
      <sharedItems containsString="0" containsBlank="1" containsNumber="1" containsInteger="1" minValue="0" maxValue="1017" count="11">
        <m/>
        <n v="1017"/>
        <n v="501"/>
        <n v="206"/>
        <n v="97"/>
        <n v="91"/>
        <n v="10"/>
        <n v="2"/>
        <n v="5"/>
        <n v="4"/>
        <n v="0"/>
      </sharedItems>
    </cacheField>
    <cacheField name="南京近28日出库商品件数" numFmtId="0">
      <sharedItems containsString="0" containsBlank="1" containsNumber="1" containsInteger="1" minValue="0" maxValue="1344" count="11">
        <m/>
        <n v="1344"/>
        <n v="762"/>
        <n v="364"/>
        <n v="151"/>
        <n v="160"/>
        <n v="26"/>
        <n v="7"/>
        <n v="16"/>
        <n v="15"/>
        <n v="0"/>
      </sharedItems>
    </cacheField>
    <cacheField name="沈阳现货库存" numFmtId="0">
      <sharedItems containsString="0" containsBlank="1" containsNumber="1" containsInteger="1" minValue="0" maxValue="3" count="3">
        <n v="0"/>
        <m/>
        <n v="3"/>
      </sharedItems>
    </cacheField>
    <cacheField name="沈阳采购未到货" numFmtId="0">
      <sharedItems containsString="0" containsBlank="1" containsNumber="1" containsInteger="1" minValue="0" maxValue="0" count="2">
        <n v="0"/>
        <m/>
      </sharedItems>
    </cacheField>
    <cacheField name="沈阳昨日出库商品件数" numFmtId="0">
      <sharedItems containsString="0" containsBlank="1" containsNumber="1" containsInteger="1" minValue="0" maxValue="0" count="2">
        <n v="0"/>
        <m/>
      </sharedItems>
    </cacheField>
    <cacheField name="沈阳近7日出库商品件数" numFmtId="0">
      <sharedItems containsString="0" containsBlank="1" containsNumber="1" containsInteger="1" minValue="0" maxValue="0" count="2">
        <n v="0"/>
        <m/>
      </sharedItems>
    </cacheField>
    <cacheField name="沈阳近14日出库商品件数" numFmtId="0">
      <sharedItems containsString="0" containsBlank="1" containsNumber="1" containsInteger="1" minValue="0" maxValue="1" count="3">
        <n v="0"/>
        <m/>
        <n v="1"/>
      </sharedItems>
    </cacheField>
    <cacheField name="沈阳近28日出库商品件数" numFmtId="0">
      <sharedItems containsString="0" containsBlank="1" containsNumber="1" containsInteger="1" minValue="0" maxValue="1" count="3">
        <n v="0"/>
        <m/>
        <n v="1"/>
      </sharedItems>
    </cacheField>
    <cacheField name="广州现货库存" numFmtId="0">
      <sharedItems containsString="0" containsBlank="1" containsNumber="1" containsInteger="1" minValue="0" maxValue="5332" count="33">
        <n v="0"/>
        <n v="4104"/>
        <n v="5332"/>
        <n v="929"/>
        <n v="3947"/>
        <n v="1428"/>
        <n v="218"/>
        <n v="70"/>
        <n v="409"/>
        <n v="353"/>
        <n v="91"/>
        <n v="9"/>
        <n v="10"/>
        <n v="17"/>
        <n v="234"/>
        <n v="115"/>
        <n v="24"/>
        <n v="34"/>
        <n v="77"/>
        <n v="72"/>
        <n v="15"/>
        <n v="18"/>
        <n v="4"/>
        <n v="47"/>
        <n v="13"/>
        <n v="36"/>
        <n v="20"/>
        <n v="37"/>
        <n v="31"/>
        <n v="97"/>
        <n v="16"/>
        <n v="25"/>
        <m/>
      </sharedItems>
    </cacheField>
    <cacheField name="广州采购未到货" numFmtId="0">
      <sharedItems containsString="0" containsBlank="1" containsNumber="1" containsInteger="1" minValue="0" maxValue="1200" count="5">
        <n v="0"/>
        <n v="1200"/>
        <n v="30"/>
        <n v="20"/>
        <m/>
      </sharedItems>
    </cacheField>
    <cacheField name="广州昨日出库商品件数" numFmtId="0">
      <sharedItems containsString="0" containsBlank="1" containsNumber="1" containsInteger="1" minValue="0" maxValue="371" count="14">
        <n v="0"/>
        <n v="371"/>
        <n v="43"/>
        <n v="19"/>
        <n v="82"/>
        <n v="24"/>
        <n v="8"/>
        <n v="5"/>
        <n v="9"/>
        <n v="3"/>
        <n v="4"/>
        <n v="1"/>
        <n v="2"/>
        <m/>
      </sharedItems>
    </cacheField>
    <cacheField name="广州近7日出库商品件数" numFmtId="0">
      <sharedItems containsString="0" containsBlank="1" containsNumber="1" containsInteger="1" minValue="0" maxValue="3224" count="22">
        <n v="0"/>
        <n v="3224"/>
        <n v="919"/>
        <n v="212"/>
        <n v="506"/>
        <n v="183"/>
        <n v="25"/>
        <n v="68"/>
        <n v="90"/>
        <n v="104"/>
        <n v="12"/>
        <n v="24"/>
        <n v="6"/>
        <n v="5"/>
        <n v="2"/>
        <n v="10"/>
        <n v="3"/>
        <n v="8"/>
        <n v="7"/>
        <n v="4"/>
        <n v="1"/>
        <m/>
      </sharedItems>
    </cacheField>
    <cacheField name="广州近14日出库商品件数" numFmtId="0">
      <sharedItems containsString="0" containsBlank="1" containsNumber="1" containsInteger="1" minValue="0" maxValue="4966" count="24">
        <n v="0"/>
        <n v="4966"/>
        <n v="1111"/>
        <n v="376"/>
        <n v="720"/>
        <n v="289"/>
        <n v="50"/>
        <n v="84"/>
        <n v="138"/>
        <n v="238"/>
        <n v="32"/>
        <n v="67"/>
        <n v="7"/>
        <n v="14"/>
        <n v="19"/>
        <n v="5"/>
        <n v="4"/>
        <n v="13"/>
        <n v="3"/>
        <n v="8"/>
        <n v="6"/>
        <n v="2"/>
        <n v="1"/>
        <m/>
      </sharedItems>
    </cacheField>
    <cacheField name="广州近28日出库商品件数" numFmtId="0">
      <sharedItems containsString="0" containsBlank="1" containsNumber="1" containsInteger="1" minValue="0" maxValue="6832" count="30">
        <n v="0"/>
        <n v="6832"/>
        <n v="1646"/>
        <n v="522"/>
        <n v="1263"/>
        <n v="446"/>
        <n v="69"/>
        <n v="109"/>
        <n v="225"/>
        <n v="404"/>
        <n v="49"/>
        <n v="70"/>
        <n v="14"/>
        <n v="66"/>
        <n v="36"/>
        <n v="13"/>
        <n v="12"/>
        <n v="32"/>
        <n v="10"/>
        <n v="20"/>
        <n v="8"/>
        <n v="11"/>
        <n v="28"/>
        <n v="3"/>
        <n v="5"/>
        <n v="4"/>
        <n v="1"/>
        <n v="2"/>
        <n v="7"/>
        <m/>
      </sharedItems>
    </cacheField>
    <cacheField name="揭阳现货库存" numFmtId="0">
      <sharedItems containsString="0" containsBlank="1" containsNumber="1" containsInteger="1" minValue="0" maxValue="0" count="2">
        <m/>
        <n v="0"/>
      </sharedItems>
    </cacheField>
    <cacheField name="揭阳采购未到货" numFmtId="0">
      <sharedItems containsString="0" containsBlank="1" containsNumber="1" containsInteger="1" minValue="0" maxValue="0" count="2">
        <m/>
        <n v="0"/>
      </sharedItems>
    </cacheField>
    <cacheField name="揭阳昨日出库商品件数" numFmtId="0">
      <sharedItems containsString="0" containsBlank="1" containsNumber="1" containsInteger="1" minValue="0" maxValue="0" count="2">
        <m/>
        <n v="0"/>
      </sharedItems>
    </cacheField>
    <cacheField name="揭阳近7日出库商品件数" numFmtId="0">
      <sharedItems containsString="0" containsBlank="1" containsNumber="1" containsInteger="1" minValue="0" maxValue="0" count="2">
        <m/>
        <n v="0"/>
      </sharedItems>
    </cacheField>
    <cacheField name="揭阳近14日出库商品件数" numFmtId="0">
      <sharedItems containsString="0" containsBlank="1" containsNumber="1" containsInteger="1" minValue="0" maxValue="0" count="2">
        <m/>
        <n v="0"/>
      </sharedItems>
    </cacheField>
    <cacheField name="揭阳近28日出库商品件数" numFmtId="0">
      <sharedItems containsString="0" containsBlank="1" containsNumber="1" containsInteger="1" minValue="0" maxValue="0" count="2">
        <m/>
        <n v="0"/>
      </sharedItems>
    </cacheField>
    <cacheField name="无锡现货库存" numFmtId="0">
      <sharedItems containsString="0" containsBlank="1" containsNumber="1" containsInteger="1" minValue="0" maxValue="5" count="6">
        <m/>
        <n v="1"/>
        <n v="4"/>
        <n v="0"/>
        <n v="5"/>
        <n v="2"/>
      </sharedItems>
    </cacheField>
    <cacheField name="无锡采购未到货" numFmtId="0">
      <sharedItems containsString="0" containsBlank="1" containsNumber="1" containsInteger="1" minValue="0" maxValue="0" count="2">
        <m/>
        <n v="0"/>
      </sharedItems>
    </cacheField>
    <cacheField name="无锡昨日出库商品件数" numFmtId="0">
      <sharedItems containsString="0" containsBlank="1" containsNumber="1" containsInteger="1" minValue="0" maxValue="5" count="3">
        <m/>
        <n v="5"/>
        <n v="0"/>
      </sharedItems>
    </cacheField>
    <cacheField name="无锡近7日出库商品件数" numFmtId="0">
      <sharedItems containsString="0" containsBlank="1" containsNumber="1" containsInteger="1" minValue="0" maxValue="54" count="7">
        <m/>
        <n v="54"/>
        <n v="26"/>
        <n v="1"/>
        <n v="4"/>
        <n v="9"/>
        <n v="0"/>
      </sharedItems>
    </cacheField>
    <cacheField name="无锡近14日出库商品件数" numFmtId="0">
      <sharedItems containsString="0" containsBlank="1" containsNumber="1" containsInteger="1" minValue="0" maxValue="81" count="8">
        <m/>
        <n v="81"/>
        <n v="32"/>
        <n v="1"/>
        <n v="7"/>
        <n v="16"/>
        <n v="13"/>
        <n v="0"/>
      </sharedItems>
    </cacheField>
    <cacheField name="无锡近28日出库商品件数" numFmtId="0">
      <sharedItems containsString="0" containsBlank="1" containsNumber="1" containsInteger="1" minValue="0" maxValue="106" count="8">
        <m/>
        <n v="106"/>
        <n v="54"/>
        <n v="1"/>
        <n v="8"/>
        <n v="26"/>
        <n v="21"/>
        <n v="0"/>
      </sharedItems>
    </cacheField>
    <cacheField name="三亚现货库存" numFmtId="0">
      <sharedItems containsString="0" containsBlank="1" containsNumber="1" containsInteger="1" minValue="0" maxValue="0" count="2">
        <m/>
        <n v="0"/>
      </sharedItems>
    </cacheField>
    <cacheField name="三亚采购未到货" numFmtId="0">
      <sharedItems containsString="0" containsBlank="1" containsNumber="1" containsInteger="1" minValue="0" maxValue="0" count="2">
        <m/>
        <n v="0"/>
      </sharedItems>
    </cacheField>
    <cacheField name="三亚昨日出库商品件数" numFmtId="0">
      <sharedItems containsString="0" containsBlank="1" containsNumber="1" containsInteger="1" minValue="0" maxValue="0" count="2">
        <m/>
        <n v="0"/>
      </sharedItems>
    </cacheField>
    <cacheField name="三亚近7日出库商品件数" numFmtId="0">
      <sharedItems containsString="0" containsBlank="1" containsNumber="1" containsInteger="1" minValue="0" maxValue="0" count="2">
        <m/>
        <n v="0"/>
      </sharedItems>
    </cacheField>
    <cacheField name="三亚近14日出库商品件数" numFmtId="0">
      <sharedItems containsString="0" containsBlank="1" containsNumber="1" containsInteger="1" minValue="0" maxValue="0" count="2">
        <m/>
        <n v="0"/>
      </sharedItems>
    </cacheField>
    <cacheField name="三亚近28日出库商品件数" numFmtId="0">
      <sharedItems containsString="0" containsBlank="1" containsNumber="1" containsInteger="1" minValue="0" maxValue="0" count="2">
        <m/>
        <n v="0"/>
      </sharedItems>
    </cacheField>
    <cacheField name="宜宾现货库存" numFmtId="0">
      <sharedItems containsString="0" containsBlank="1" containsNumber="1" containsInteger="1" minValue="0" maxValue="0" count="2">
        <m/>
        <n v="0"/>
      </sharedItems>
    </cacheField>
    <cacheField name="宜宾采购未到货" numFmtId="0">
      <sharedItems containsString="0" containsBlank="1" containsNumber="1" containsInteger="1" minValue="0" maxValue="0" count="2">
        <m/>
        <n v="0"/>
      </sharedItems>
    </cacheField>
    <cacheField name="宜宾昨日出库商品件数" numFmtId="0">
      <sharedItems containsString="0" containsBlank="1" containsNumber="1" containsInteger="1" minValue="0" maxValue="0" count="2">
        <m/>
        <n v="0"/>
      </sharedItems>
    </cacheField>
    <cacheField name="宜宾近7日出库商品件数" numFmtId="0">
      <sharedItems containsString="0" containsBlank="1" containsNumber="1" containsInteger="1" minValue="0" maxValue="0" count="2">
        <m/>
        <n v="0"/>
      </sharedItems>
    </cacheField>
    <cacheField name="宜宾近14日出库商品件数" numFmtId="0">
      <sharedItems containsString="0" containsBlank="1" containsNumber="1" containsInteger="1" minValue="0" maxValue="0" count="2">
        <m/>
        <n v="0"/>
      </sharedItems>
    </cacheField>
    <cacheField name="宜宾近28日出库商品件数" numFmtId="0">
      <sharedItems containsString="0" containsBlank="1" containsNumber="1" containsInteger="1" minValue="0" maxValue="0" count="2">
        <m/>
        <n v="0"/>
      </sharedItems>
    </cacheField>
    <cacheField name="西安现货库存" numFmtId="0">
      <sharedItems containsString="0" containsBlank="1" containsNumber="1" containsInteger="1" minValue="0" maxValue="2689" count="19">
        <n v="0"/>
        <n v="2689"/>
        <n v="1444"/>
        <n v="186"/>
        <n v="144"/>
        <n v="222"/>
        <n v="191"/>
        <n v="90"/>
        <n v="73"/>
        <n v="182"/>
        <n v="34"/>
        <n v="35"/>
        <n v="28"/>
        <n v="32"/>
        <m/>
        <n v="11"/>
        <n v="13"/>
        <n v="7"/>
        <n v="1"/>
      </sharedItems>
    </cacheField>
    <cacheField name="西安采购未到货" numFmtId="0">
      <sharedItems containsString="0" containsBlank="1" containsNumber="1" containsInteger="1" minValue="0" maxValue="1200" count="3">
        <n v="0"/>
        <n v="1200"/>
        <m/>
      </sharedItems>
    </cacheField>
    <cacheField name="西安昨日出库商品件数" numFmtId="0">
      <sharedItems containsString="0" containsBlank="1" containsNumber="1" containsInteger="1" minValue="0" maxValue="32" count="7">
        <n v="0"/>
        <n v="32"/>
        <n v="3"/>
        <n v="10"/>
        <n v="4"/>
        <n v="1"/>
        <m/>
      </sharedItems>
    </cacheField>
    <cacheField name="西安近7日出库商品件数" numFmtId="0">
      <sharedItems containsString="0" containsBlank="1" containsNumber="1" containsInteger="1" minValue="0" maxValue="248" count="14">
        <n v="0"/>
        <n v="248"/>
        <n v="121"/>
        <n v="5"/>
        <n v="45"/>
        <n v="23"/>
        <n v="8"/>
        <n v="6"/>
        <n v="3"/>
        <n v="15"/>
        <n v="4"/>
        <n v="2"/>
        <m/>
        <n v="1"/>
      </sharedItems>
    </cacheField>
    <cacheField name="西安近14日出库商品件数" numFmtId="0">
      <sharedItems containsString="0" containsBlank="1" containsNumber="1" containsInteger="1" minValue="0" maxValue="378" count="14">
        <n v="0"/>
        <n v="378"/>
        <n v="156"/>
        <n v="12"/>
        <n v="63"/>
        <n v="35"/>
        <n v="9"/>
        <n v="11"/>
        <n v="6"/>
        <n v="28"/>
        <n v="5"/>
        <n v="1"/>
        <m/>
        <n v="3"/>
      </sharedItems>
    </cacheField>
    <cacheField name="西安近28日出库商品件数" numFmtId="0">
      <sharedItems containsString="0" containsBlank="1" containsNumber="1" containsInteger="1" minValue="0" maxValue="509" count="17">
        <n v="0"/>
        <n v="509"/>
        <n v="280"/>
        <n v="14"/>
        <n v="115"/>
        <n v="68"/>
        <n v="9"/>
        <n v="12"/>
        <n v="7"/>
        <n v="100"/>
        <n v="6"/>
        <n v="5"/>
        <n v="4"/>
        <n v="1"/>
        <m/>
        <n v="8"/>
        <n v="3"/>
      </sharedItems>
    </cacheField>
    <cacheField name="福州现货库存" numFmtId="0">
      <sharedItems containsString="0" containsBlank="1" containsNumber="1" containsInteger="1" minValue="0" maxValue="0" count="2">
        <m/>
        <n v="0"/>
      </sharedItems>
    </cacheField>
    <cacheField name="福州采购未到货" numFmtId="0">
      <sharedItems containsString="0" containsBlank="1" containsNumber="1" containsInteger="1" minValue="0" maxValue="0" count="2">
        <m/>
        <n v="0"/>
      </sharedItems>
    </cacheField>
    <cacheField name="福州昨日出库商品件数" numFmtId="0">
      <sharedItems containsString="0" containsBlank="1" containsNumber="1" containsInteger="1" minValue="0" maxValue="0" count="2">
        <m/>
        <n v="0"/>
      </sharedItems>
    </cacheField>
    <cacheField name="福州近7日出库商品件数" numFmtId="0">
      <sharedItems containsString="0" containsBlank="1" containsNumber="1" containsInteger="1" minValue="0" maxValue="0" count="2">
        <m/>
        <n v="0"/>
      </sharedItems>
    </cacheField>
    <cacheField name="福州近14日出库商品件数" numFmtId="0">
      <sharedItems containsString="0" containsBlank="1" containsNumber="1" containsInteger="1" minValue="0" maxValue="0" count="2">
        <m/>
        <n v="0"/>
      </sharedItems>
    </cacheField>
    <cacheField name="福州近28日出库商品件数" numFmtId="0">
      <sharedItems containsString="0" containsBlank="1" containsNumber="1" containsInteger="1" minValue="0" maxValue="0" count="2">
        <m/>
        <n v="0"/>
      </sharedItems>
    </cacheField>
    <cacheField name="嘉兴现货库存" numFmtId="0">
      <sharedItems containsString="0" containsBlank="1" containsNumber="1" containsInteger="1" minValue="0" maxValue="54" count="5">
        <m/>
        <n v="54"/>
        <n v="6"/>
        <n v="0"/>
        <n v="4"/>
      </sharedItems>
    </cacheField>
    <cacheField name="嘉兴采购未到货" numFmtId="0">
      <sharedItems containsString="0" containsBlank="1" containsNumber="1" containsInteger="1" minValue="0" maxValue="0" count="2">
        <m/>
        <n v="0"/>
      </sharedItems>
    </cacheField>
    <cacheField name="嘉兴昨日出库商品件数" numFmtId="0">
      <sharedItems containsString="0" containsBlank="1" containsNumber="1" containsInteger="1" minValue="0" maxValue="6" count="4">
        <m/>
        <n v="6"/>
        <n v="1"/>
        <n v="0"/>
      </sharedItems>
    </cacheField>
    <cacheField name="嘉兴近7日出库商品件数" numFmtId="0">
      <sharedItems containsString="0" containsBlank="1" containsNumber="1" containsInteger="1" minValue="0" maxValue="24" count="6">
        <m/>
        <n v="24"/>
        <n v="5"/>
        <n v="10"/>
        <n v="7"/>
        <n v="2"/>
      </sharedItems>
    </cacheField>
    <cacheField name="嘉兴近14日出库商品件数" numFmtId="0">
      <sharedItems containsString="0" containsBlank="1" containsNumber="1" containsInteger="1" minValue="0" maxValue="24" count="6">
        <m/>
        <n v="24"/>
        <n v="5"/>
        <n v="10"/>
        <n v="8"/>
        <n v="2"/>
      </sharedItems>
    </cacheField>
    <cacheField name="嘉兴近28日出库商品件数" numFmtId="0">
      <sharedItems containsString="0" containsBlank="1" containsNumber="1" containsInteger="1" minValue="0" maxValue="24" count="6">
        <m/>
        <n v="24"/>
        <n v="5"/>
        <n v="10"/>
        <n v="8"/>
        <n v="2"/>
      </sharedItems>
    </cacheField>
    <cacheField name="喀什配送中心现货库存" numFmtId="0">
      <sharedItems containsString="0" containsBlank="1" containsNumber="1" containsInteger="1" minValue="0" maxValue="0" count="2">
        <m/>
        <n v="0"/>
      </sharedItems>
    </cacheField>
    <cacheField name="喀什配送中心采购未到货" numFmtId="0">
      <sharedItems containsString="0" containsBlank="1" containsNumber="1" containsInteger="1" minValue="0" maxValue="0" count="2">
        <m/>
        <n v="0"/>
      </sharedItems>
    </cacheField>
    <cacheField name="喀什配送中心昨日出库商品件数" numFmtId="0">
      <sharedItems containsString="0" containsBlank="1" containsNumber="1" containsInteger="1" minValue="0" maxValue="0" count="2">
        <m/>
        <n v="0"/>
      </sharedItems>
    </cacheField>
    <cacheField name="喀什配送中心近7日出库商品件数" numFmtId="0">
      <sharedItems containsString="0" containsBlank="1" containsNumber="1" containsInteger="1" minValue="0" maxValue="0" count="2">
        <m/>
        <n v="0"/>
      </sharedItems>
    </cacheField>
    <cacheField name="喀什配送中心近14日出库商品件数" numFmtId="0">
      <sharedItems containsString="0" containsBlank="1" containsNumber="1" containsInteger="1" minValue="0" maxValue="0" count="2">
        <m/>
        <n v="0"/>
      </sharedItems>
    </cacheField>
    <cacheField name="喀什配送中心近28日出库商品件数" numFmtId="0">
      <sharedItems containsString="0" containsBlank="1" containsNumber="1" containsInteger="1" minValue="0" maxValue="0" count="2">
        <m/>
        <n v="0"/>
      </sharedItems>
    </cacheField>
    <cacheField name="杭州现货库存" numFmtId="0">
      <sharedItems containsString="0" containsBlank="1" containsNumber="1" containsInteger="1" minValue="0" maxValue="652" count="11">
        <m/>
        <n v="652"/>
        <n v="4"/>
        <n v="0"/>
        <n v="73"/>
        <n v="114"/>
        <n v="33"/>
        <n v="41"/>
        <n v="31"/>
        <n v="131"/>
        <n v="22"/>
      </sharedItems>
    </cacheField>
    <cacheField name="杭州采购未到货" numFmtId="0">
      <sharedItems containsString="0" containsBlank="1" containsNumber="1" containsInteger="1" minValue="0" maxValue="300" count="6">
        <m/>
        <n v="300"/>
        <n v="200"/>
        <n v="0"/>
        <n v="50"/>
        <n v="40"/>
      </sharedItems>
    </cacheField>
    <cacheField name="杭州昨日出库商品件数" numFmtId="0">
      <sharedItems containsString="0" containsBlank="1" containsNumber="1" containsInteger="1" minValue="0" maxValue="54" count="7">
        <m/>
        <n v="54"/>
        <n v="7"/>
        <n v="0"/>
        <n v="3"/>
        <n v="5"/>
        <n v="1"/>
      </sharedItems>
    </cacheField>
    <cacheField name="杭州近7日出库商品件数" numFmtId="0">
      <sharedItems containsString="0" containsBlank="1" containsNumber="1" containsInteger="1" minValue="0" maxValue="465" count="9">
        <m/>
        <n v="465"/>
        <n v="223"/>
        <n v="0"/>
        <n v="68"/>
        <n v="21"/>
        <n v="5"/>
        <n v="3"/>
        <n v="2"/>
      </sharedItems>
    </cacheField>
    <cacheField name="杭州近14日出库商品件数" numFmtId="0">
      <sharedItems containsString="0" containsBlank="1" containsNumber="1" containsInteger="1" minValue="0" maxValue="760" count="11">
        <m/>
        <n v="760"/>
        <n v="306"/>
        <n v="0"/>
        <n v="150"/>
        <n v="49"/>
        <n v="7"/>
        <n v="4"/>
        <n v="5"/>
        <n v="35"/>
        <n v="2"/>
      </sharedItems>
    </cacheField>
    <cacheField name="杭州近28日出库商品件数" numFmtId="0">
      <sharedItems containsString="0" containsBlank="1" containsNumber="1" containsInteger="1" minValue="0" maxValue="1023" count="12">
        <m/>
        <n v="1023"/>
        <n v="548"/>
        <n v="49"/>
        <n v="191"/>
        <n v="97"/>
        <n v="15"/>
        <n v="9"/>
        <n v="5"/>
        <n v="36"/>
        <n v="6"/>
        <n v="1"/>
      </sharedItems>
    </cacheField>
    <cacheField name="深圳现货库存" numFmtId="0">
      <sharedItems containsString="0" containsBlank="1" containsNumber="1" containsInteger="1" minValue="0" maxValue="494" count="3">
        <m/>
        <n v="0"/>
        <n v="494"/>
      </sharedItems>
    </cacheField>
    <cacheField name="深圳采购未到货" numFmtId="0">
      <sharedItems containsString="0" containsBlank="1" containsNumber="1" containsInteger="1" minValue="0" maxValue="1800" count="3">
        <m/>
        <n v="1800"/>
        <n v="0"/>
      </sharedItems>
    </cacheField>
    <cacheField name="深圳昨日出库商品件数" numFmtId="0">
      <sharedItems containsString="0" containsBlank="1" containsNumber="1" containsInteger="1" minValue="0" maxValue="35" count="3">
        <m/>
        <n v="0"/>
        <n v="35"/>
      </sharedItems>
    </cacheField>
    <cacheField name="深圳近7日出库商品件数" numFmtId="0">
      <sharedItems containsString="0" containsBlank="1" containsNumber="1" containsInteger="1" minValue="0" maxValue="240" count="3">
        <m/>
        <n v="2"/>
        <n v="240"/>
      </sharedItems>
    </cacheField>
    <cacheField name="深圳近14日出库商品件数" numFmtId="0">
      <sharedItems containsString="0" containsBlank="1" containsNumber="1" containsInteger="1" minValue="0" maxValue="572" count="3">
        <m/>
        <n v="572"/>
        <n v="295"/>
      </sharedItems>
    </cacheField>
    <cacheField name="深圳近28日出库商品件数" numFmtId="0">
      <sharedItems containsString="0" containsBlank="1" containsNumber="1" containsInteger="1" minValue="0" maxValue="2015" count="3">
        <m/>
        <n v="2015"/>
        <n v="1008"/>
      </sharedItems>
    </cacheField>
    <cacheField name="重庆现货库存" numFmtId="0">
      <sharedItems containsString="0" containsBlank="1" containsNumber="1" containsInteger="1" minValue="0" maxValue="0" count="2">
        <m/>
        <n v="0"/>
      </sharedItems>
    </cacheField>
    <cacheField name="重庆采购未到货" numFmtId="0">
      <sharedItems containsString="0" containsBlank="1" containsNumber="1" containsInteger="1" minValue="0" maxValue="0" count="2">
        <m/>
        <n v="0"/>
      </sharedItems>
    </cacheField>
    <cacheField name="重庆昨日出库商品件数" numFmtId="0">
      <sharedItems containsString="0" containsBlank="1" containsNumber="1" containsInteger="1" minValue="0" maxValue="0" count="2">
        <m/>
        <n v="0"/>
      </sharedItems>
    </cacheField>
    <cacheField name="重庆近7日出库商品件数" numFmtId="0">
      <sharedItems containsString="0" containsBlank="1" containsNumber="1" containsInteger="1" minValue="0" maxValue="0" count="2">
        <m/>
        <n v="0"/>
      </sharedItems>
    </cacheField>
    <cacheField name="重庆近14日出库商品件数" numFmtId="0">
      <sharedItems containsString="0" containsBlank="1" containsNumber="1" containsInteger="1" minValue="0" maxValue="0" count="2">
        <m/>
        <n v="0"/>
      </sharedItems>
    </cacheField>
    <cacheField name="重庆近28日出库商品件数" numFmtId="0">
      <sharedItems containsString="0" containsBlank="1" containsNumber="1" containsInteger="1" minValue="0" maxValue="0" count="2">
        <m/>
        <n v="0"/>
      </sharedItems>
    </cacheField>
    <cacheField name="宁波现货库存" numFmtId="0">
      <sharedItems containsString="0" containsBlank="1" containsNumber="1" containsInteger="1" minValue="0" maxValue="0" count="2">
        <m/>
        <n v="0"/>
      </sharedItems>
    </cacheField>
    <cacheField name="宁波采购未到货" numFmtId="0">
      <sharedItems containsString="0" containsBlank="1" containsNumber="1" containsInteger="1" minValue="0" maxValue="0" count="2">
        <m/>
        <n v="0"/>
      </sharedItems>
    </cacheField>
    <cacheField name="宁波昨日出库商品件数" numFmtId="0">
      <sharedItems containsString="0" containsBlank="1" containsNumber="1" containsInteger="1" minValue="0" maxValue="0" count="2">
        <m/>
        <n v="0"/>
      </sharedItems>
    </cacheField>
    <cacheField name="宁波近7日出库商品件数" numFmtId="0">
      <sharedItems containsString="0" containsBlank="1" containsNumber="1" containsInteger="1" minValue="0" maxValue="0" count="2">
        <m/>
        <n v="0"/>
      </sharedItems>
    </cacheField>
    <cacheField name="宁波近14日出库商品件数" numFmtId="0">
      <sharedItems containsString="0" containsBlank="1" containsNumber="1" containsInteger="1" minValue="0" maxValue="0" count="2">
        <m/>
        <n v="0"/>
      </sharedItems>
    </cacheField>
    <cacheField name="宁波近28日出库商品件数" numFmtId="0">
      <sharedItems containsString="0" containsBlank="1" containsNumber="1" containsInteger="1" minValue="0" maxValue="0" count="2">
        <m/>
        <n v="0"/>
      </sharedItems>
    </cacheField>
    <cacheField name="郑州现货库存" numFmtId="0">
      <sharedItems containsString="0" containsBlank="1" containsNumber="1" containsInteger="1" minValue="0" maxValue="0" count="2">
        <m/>
        <n v="0"/>
      </sharedItems>
    </cacheField>
    <cacheField name="郑州采购未到货" numFmtId="0">
      <sharedItems containsString="0" containsBlank="1" containsNumber="1" containsInteger="1" minValue="0" maxValue="0" count="2">
        <m/>
        <n v="0"/>
      </sharedItems>
    </cacheField>
    <cacheField name="郑州昨日出库商品件数" numFmtId="0">
      <sharedItems containsString="0" containsBlank="1" containsNumber="1" containsInteger="1" minValue="0" maxValue="0" count="2">
        <m/>
        <n v="0"/>
      </sharedItems>
    </cacheField>
    <cacheField name="郑州近7日出库商品件数" numFmtId="0">
      <sharedItems containsString="0" containsBlank="1" containsNumber="1" containsInteger="1" minValue="0" maxValue="0" count="2">
        <m/>
        <n v="0"/>
      </sharedItems>
    </cacheField>
    <cacheField name="郑州近14日出库商品件数" numFmtId="0">
      <sharedItems containsString="0" containsBlank="1" containsNumber="1" containsInteger="1" minValue="0" maxValue="0" count="2">
        <m/>
        <n v="0"/>
      </sharedItems>
    </cacheField>
    <cacheField name="郑州近28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厦门现货库存" numFmtId="0">
      <sharedItems containsString="0" containsBlank="1" containsNumber="1" containsInteger="1" minValue="0" maxValue="0" count="2">
        <m/>
        <n v="0"/>
      </sharedItems>
    </cacheField>
    <cacheField name="厦门采购未到货" numFmtId="0">
      <sharedItems containsString="0" containsBlank="1" containsNumber="1" containsInteger="1" minValue="0" maxValue="0" count="2">
        <m/>
        <n v="0"/>
      </sharedItems>
    </cacheField>
    <cacheField name="厦门昨日出库商品件数" numFmtId="0">
      <sharedItems containsString="0" containsBlank="1" containsNumber="1" containsInteger="1" minValue="0" maxValue="0" count="2">
        <m/>
        <n v="0"/>
      </sharedItems>
    </cacheField>
    <cacheField name="厦门近7日出库商品件数" numFmtId="0">
      <sharedItems containsString="0" containsBlank="1" containsNumber="1" containsInteger="1" minValue="0" maxValue="0" count="2">
        <m/>
        <n v="0"/>
      </sharedItems>
    </cacheField>
    <cacheField name="厦门近14日出库商品件数" numFmtId="0">
      <sharedItems containsString="0" containsBlank="1" containsNumber="1" containsInteger="1" minValue="0" maxValue="0" count="2">
        <m/>
        <n v="0"/>
      </sharedItems>
    </cacheField>
    <cacheField name="厦门近28日出库商品件数" numFmtId="0">
      <sharedItems containsString="0" containsBlank="1" containsNumber="1" containsInteger="1" minValue="0" maxValue="0" count="2">
        <m/>
        <n v="0"/>
      </sharedItems>
    </cacheField>
    <cacheField name="南宁现货库存" numFmtId="0">
      <sharedItems containsString="0" containsBlank="1" containsNumber="1" containsInteger="1" minValue="0" maxValue="0" count="2">
        <m/>
        <n v="0"/>
      </sharedItems>
    </cacheField>
    <cacheField name="南宁采购未到货" numFmtId="0">
      <sharedItems containsString="0" containsBlank="1" containsNumber="1" containsInteger="1" minValue="0" maxValue="0" count="2">
        <m/>
        <n v="0"/>
      </sharedItems>
    </cacheField>
    <cacheField name="南宁昨日出库商品件数" numFmtId="0">
      <sharedItems containsString="0" containsBlank="1" containsNumber="1" containsInteger="1" minValue="0" maxValue="0" count="2">
        <m/>
        <n v="0"/>
      </sharedItems>
    </cacheField>
    <cacheField name="南宁近7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南宁近14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南宁近28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长沙现货库存" numFmtId="0">
      <sharedItems containsString="0" containsBlank="1" containsNumber="1" containsInteger="1" minValue="0" maxValue="1437" count="10">
        <m/>
        <n v="1437"/>
        <n v="129"/>
        <n v="0"/>
        <n v="35"/>
        <n v="93"/>
        <n v="24"/>
        <n v="1"/>
        <n v="34"/>
        <n v="9"/>
      </sharedItems>
    </cacheField>
    <cacheField name="长沙采购未到货" numFmtId="0">
      <sharedItems containsString="0" containsBlank="1" containsNumber="1" containsInteger="1" minValue="0" maxValue="0" count="2">
        <m/>
        <n v="0"/>
      </sharedItems>
    </cacheField>
    <cacheField name="长沙昨日出库商品件数" numFmtId="0">
      <sharedItems containsString="0" containsBlank="1" containsNumber="1" containsInteger="1" minValue="0" maxValue="88" count="6">
        <m/>
        <n v="88"/>
        <n v="8"/>
        <n v="0"/>
        <n v="6"/>
        <n v="2"/>
      </sharedItems>
    </cacheField>
    <cacheField name="长沙近7日出库商品件数" numFmtId="0">
      <sharedItems containsString="0" containsBlank="1" containsNumber="1" containsInteger="1" minValue="0" maxValue="840" count="11">
        <m/>
        <n v="840"/>
        <n v="345"/>
        <n v="68"/>
        <n v="123"/>
        <n v="26"/>
        <n v="1"/>
        <n v="7"/>
        <n v="2"/>
        <n v="3"/>
        <n v="0"/>
      </sharedItems>
    </cacheField>
    <cacheField name="长沙近14日出库商品件数" numFmtId="0">
      <sharedItems containsString="0" containsBlank="1" containsNumber="1" containsInteger="1" minValue="0" maxValue="1236" count="11">
        <m/>
        <n v="1236"/>
        <n v="410"/>
        <n v="140"/>
        <n v="159"/>
        <n v="55"/>
        <n v="4"/>
        <n v="8"/>
        <n v="6"/>
        <n v="0"/>
        <n v="1"/>
      </sharedItems>
    </cacheField>
    <cacheField name="长沙近28日出库商品件数" numFmtId="0">
      <sharedItems containsString="0" containsBlank="1" containsNumber="1" containsInteger="1" minValue="0" maxValue="1683" count="13">
        <m/>
        <n v="1683"/>
        <n v="672"/>
        <n v="297"/>
        <n v="224"/>
        <n v="120"/>
        <n v="15"/>
        <n v="16"/>
        <n v="10"/>
        <n v="27"/>
        <n v="5"/>
        <n v="0"/>
        <n v="12"/>
      </sharedItems>
    </cacheField>
    <cacheField name="兰州现货库存" numFmtId="0">
      <sharedItems containsString="0" containsBlank="1" containsNumber="1" containsInteger="1" minValue="0" maxValue="0" count="2">
        <m/>
        <n v="0"/>
      </sharedItems>
    </cacheField>
    <cacheField name="兰州采购未到货" numFmtId="0">
      <sharedItems containsString="0" containsBlank="1" containsNumber="1" containsInteger="1" minValue="0" maxValue="0" count="2">
        <m/>
        <n v="0"/>
      </sharedItems>
    </cacheField>
    <cacheField name="兰州昨日出库商品件数" numFmtId="0">
      <sharedItems containsString="0" containsBlank="1" containsNumber="1" containsInteger="1" minValue="0" maxValue="0" count="2">
        <m/>
        <n v="0"/>
      </sharedItems>
    </cacheField>
    <cacheField name="兰州近7日出库商品件数" numFmtId="0">
      <sharedItems containsString="0" containsBlank="1" containsNumber="1" containsInteger="1" minValue="0" maxValue="0" count="2">
        <m/>
        <n v="0"/>
      </sharedItems>
    </cacheField>
    <cacheField name="兰州近14日出库商品件数" numFmtId="0">
      <sharedItems containsString="0" containsBlank="1" containsNumber="1" containsInteger="1" minValue="0" maxValue="0" count="2">
        <m/>
        <n v="0"/>
      </sharedItems>
    </cacheField>
    <cacheField name="兰州近28日出库商品件数" numFmtId="0">
      <sharedItems containsString="0" containsBlank="1" containsNumber="1" containsInteger="1" minValue="0" maxValue="0" count="2">
        <m/>
        <n v="0"/>
      </sharedItems>
    </cacheField>
    <cacheField name="乌鲁木齐现货库存" numFmtId="0">
      <sharedItems containsString="0" containsBlank="1" containsNumber="1" containsInteger="1" minValue="0" maxValue="0" count="2">
        <m/>
        <n v="0"/>
      </sharedItems>
    </cacheField>
    <cacheField name="乌鲁木齐采购未到货" numFmtId="0">
      <sharedItems containsString="0" containsBlank="1" containsNumber="1" containsInteger="1" minValue="0" maxValue="0" count="2">
        <m/>
        <n v="0"/>
      </sharedItems>
    </cacheField>
    <cacheField name="乌鲁木齐昨日出库商品件数" numFmtId="0">
      <sharedItems containsString="0" containsBlank="1" containsNumber="1" containsInteger="1" minValue="0" maxValue="0" count="2">
        <m/>
        <n v="0"/>
      </sharedItems>
    </cacheField>
    <cacheField name="乌鲁木齐近7日出库商品件数" numFmtId="0">
      <sharedItems containsString="0" containsBlank="1" containsNumber="1" containsInteger="1" minValue="0" maxValue="0" count="2">
        <m/>
        <n v="0"/>
      </sharedItems>
    </cacheField>
    <cacheField name="乌鲁木齐近14日出库商品件数" numFmtId="0">
      <sharedItems containsString="0" containsBlank="1" containsNumber="1" containsInteger="1" minValue="0" maxValue="0" count="2">
        <m/>
        <n v="0"/>
      </sharedItems>
    </cacheField>
    <cacheField name="乌鲁木齐近28日出库商品件数" numFmtId="0">
      <sharedItems containsString="0" containsBlank="1" containsNumber="1" containsInteger="1" minValue="0" maxValue="0" count="2">
        <m/>
        <n v="0"/>
      </sharedItems>
    </cacheField>
    <cacheField name="合肥现货库存" numFmtId="0">
      <sharedItems containsString="0" containsBlank="1" containsNumber="1" containsInteger="1" minValue="0" maxValue="0" count="2">
        <m/>
        <n v="0"/>
      </sharedItems>
    </cacheField>
    <cacheField name="合肥采购未到货" numFmtId="0">
      <sharedItems containsString="0" containsBlank="1" containsNumber="1" containsInteger="1" minValue="0" maxValue="0" count="2">
        <m/>
        <n v="0"/>
      </sharedItems>
    </cacheField>
    <cacheField name="合肥昨日出库商品件数" numFmtId="0">
      <sharedItems containsString="0" containsBlank="1" containsNumber="1" containsInteger="1" minValue="0" maxValue="0" count="2">
        <m/>
        <n v="0"/>
      </sharedItems>
    </cacheField>
    <cacheField name="合肥近7日出库商品件数" numFmtId="0">
      <sharedItems containsString="0" containsBlank="1" containsNumber="1" containsInteger="1" minValue="0" maxValue="0" count="2">
        <m/>
        <n v="0"/>
      </sharedItems>
    </cacheField>
    <cacheField name="合肥近14日出库商品件数" numFmtId="0">
      <sharedItems containsString="0" containsBlank="1" containsNumber="1" containsInteger="1" minValue="0" maxValue="0" count="2">
        <m/>
        <n v="0"/>
      </sharedItems>
    </cacheField>
    <cacheField name="合肥近28日出库商品件数" numFmtId="0">
      <sharedItems containsString="0" containsBlank="1" containsNumber="1" containsInteger="1" minValue="0" maxValue="0" count="2">
        <m/>
        <n v="0"/>
      </sharedItems>
    </cacheField>
    <cacheField name="宿迁现货库存" numFmtId="0">
      <sharedItems containsString="0" containsBlank="1" containsNumber="1" containsInteger="1" minValue="0" maxValue="0" count="2">
        <m/>
        <n v="0"/>
      </sharedItems>
    </cacheField>
    <cacheField name="宿迁采购未到货" numFmtId="0">
      <sharedItems containsString="0" containsBlank="1" containsNumber="1" containsInteger="1" minValue="0" maxValue="0" count="2">
        <m/>
        <n v="0"/>
      </sharedItems>
    </cacheField>
    <cacheField name="宿迁昨日出库商品件数" numFmtId="0">
      <sharedItems containsString="0" containsBlank="1" containsNumber="1" containsInteger="1" minValue="0" maxValue="0" count="2">
        <m/>
        <n v="0"/>
      </sharedItems>
    </cacheField>
    <cacheField name="宿迁近7日出库商品件数" numFmtId="0">
      <sharedItems containsString="0" containsBlank="1" containsNumber="1" containsInteger="1" minValue="0" maxValue="0" count="2">
        <m/>
        <n v="0"/>
      </sharedItems>
    </cacheField>
    <cacheField name="宿迁近14日出库商品件数" numFmtId="0">
      <sharedItems containsString="0" containsBlank="1" containsNumber="1" containsInteger="1" minValue="0" maxValue="0" count="2">
        <m/>
        <n v="0"/>
      </sharedItems>
    </cacheField>
    <cacheField name="宿迁近28日出库商品件数" numFmtId="0">
      <sharedItems containsString="0" containsBlank="1" containsNumber="1" containsInteger="1" minValue="0" maxValue="0" count="2">
        <m/>
        <n v="0"/>
      </sharedItems>
    </cacheField>
    <cacheField name="昆明现货库存" numFmtId="0">
      <sharedItems containsString="0" containsBlank="1" containsNumber="1" containsInteger="1" minValue="0" maxValue="0" count="2">
        <m/>
        <n v="0"/>
      </sharedItems>
    </cacheField>
    <cacheField name="昆明采购未到货" numFmtId="0">
      <sharedItems containsString="0" containsBlank="1" containsNumber="1" containsInteger="1" minValue="0" maxValue="0" count="2">
        <m/>
        <n v="0"/>
      </sharedItems>
    </cacheField>
    <cacheField name="昆明昨日出库商品件数" numFmtId="0">
      <sharedItems containsString="0" containsBlank="1" containsNumber="1" containsInteger="1" minValue="0" maxValue="0" count="2">
        <m/>
        <n v="0"/>
      </sharedItems>
    </cacheField>
    <cacheField name="昆明近7日出库商品件数" numFmtId="0">
      <sharedItems containsString="0" containsBlank="1" containsNumber="1" containsInteger="1" minValue="0" maxValue="0" count="2">
        <m/>
        <n v="0"/>
      </sharedItems>
    </cacheField>
    <cacheField name="昆明近14日出库商品件数" numFmtId="0">
      <sharedItems containsString="0" containsBlank="1" containsNumber="1" containsInteger="1" minValue="0" maxValue="0" count="2">
        <m/>
        <n v="0"/>
      </sharedItems>
    </cacheField>
    <cacheField name="昆明近28日出库商品件数" numFmtId="0">
      <sharedItems containsString="0" containsBlank="1" containsNumber="1" containsInteger="1" minValue="0" maxValue="0" count="2">
        <m/>
        <n v="0"/>
      </sharedItems>
    </cacheField>
    <cacheField name="贵阳现货库存" numFmtId="0">
      <sharedItems containsString="0" containsBlank="1" containsNumber="1" containsInteger="1" minValue="0" maxValue="0" count="2">
        <m/>
        <n v="0"/>
      </sharedItems>
    </cacheField>
    <cacheField name="贵阳采购未到货" numFmtId="0">
      <sharedItems containsString="0" containsBlank="1" containsNumber="1" containsInteger="1" minValue="0" maxValue="0" count="2">
        <m/>
        <n v="0"/>
      </sharedItems>
    </cacheField>
    <cacheField name="贵阳昨日出库商品件数" numFmtId="0">
      <sharedItems containsString="0" containsBlank="1" containsNumber="1" containsInteger="1" minValue="0" maxValue="0" count="2">
        <m/>
        <n v="0"/>
      </sharedItems>
    </cacheField>
    <cacheField name="贵阳近7日出库商品件数" numFmtId="0">
      <sharedItems containsString="0" containsBlank="1" containsNumber="1" containsInteger="1" minValue="0" maxValue="0" count="2">
        <m/>
        <n v="0"/>
      </sharedItems>
    </cacheField>
    <cacheField name="贵阳近14日出库商品件数" numFmtId="0">
      <sharedItems containsString="0" containsBlank="1" containsNumber="1" containsInteger="1" minValue="0" maxValue="0" count="2">
        <m/>
        <n v="0"/>
      </sharedItems>
    </cacheField>
    <cacheField name="贵阳近28日出库商品件数" numFmtId="0">
      <sharedItems containsString="0" containsBlank="1" containsNumber="1" containsInteger="1" minValue="0" maxValue="0" count="2">
        <m/>
        <n v="0"/>
      </sharedItems>
    </cacheField>
    <cacheField name="南昌现货库存" numFmtId="0">
      <sharedItems containsString="0" containsBlank="1" containsNumber="1" containsInteger="1" minValue="0" maxValue="212" count="9">
        <m/>
        <n v="9"/>
        <n v="1"/>
        <n v="77"/>
        <n v="212"/>
        <n v="187"/>
        <n v="69"/>
        <n v="36"/>
        <n v="2"/>
      </sharedItems>
    </cacheField>
    <cacheField name="南昌采购未到货" numFmtId="0">
      <sharedItems containsString="0" containsBlank="1" containsNumber="1" containsInteger="1" minValue="0" maxValue="0" count="2">
        <m/>
        <n v="0"/>
      </sharedItems>
    </cacheField>
    <cacheField name="南昌昨日出库商品件数" numFmtId="0">
      <sharedItems containsString="0" containsBlank="1" containsNumber="1" containsInteger="1" minValue="0" maxValue="55" count="6">
        <m/>
        <n v="55"/>
        <n v="0"/>
        <n v="9"/>
        <n v="4"/>
        <n v="5"/>
      </sharedItems>
    </cacheField>
    <cacheField name="南昌近7日出库商品件数" numFmtId="0">
      <sharedItems containsString="0" containsBlank="1" containsNumber="1" containsInteger="1" minValue="0" maxValue="813" count="9">
        <m/>
        <n v="813"/>
        <n v="207"/>
        <n v="121"/>
        <n v="45"/>
        <n v="27"/>
        <n v="22"/>
        <n v="2"/>
        <n v="0"/>
      </sharedItems>
    </cacheField>
    <cacheField name="南昌近14日出库商品件数" numFmtId="0">
      <sharedItems containsString="0" containsBlank="1" containsNumber="1" containsInteger="1" minValue="0" maxValue="1041" count="9">
        <m/>
        <n v="1041"/>
        <n v="250"/>
        <n v="123"/>
        <n v="62"/>
        <n v="52"/>
        <n v="23"/>
        <n v="2"/>
        <n v="0"/>
      </sharedItems>
    </cacheField>
    <cacheField name="南昌近28日出库商品件数" numFmtId="0">
      <sharedItems containsString="0" containsBlank="1" containsNumber="1" containsInteger="1" minValue="0" maxValue="1332" count="10">
        <m/>
        <n v="1332"/>
        <n v="555"/>
        <n v="123"/>
        <n v="104"/>
        <n v="90"/>
        <n v="27"/>
        <n v="6"/>
        <n v="3"/>
        <n v="0"/>
      </sharedItems>
    </cacheField>
    <cacheField name="襄阳现货库存" numFmtId="0">
      <sharedItems containsString="0" containsBlank="1" containsNumber="1" containsInteger="1" minValue="0" maxValue="0" count="2">
        <m/>
        <n v="0"/>
      </sharedItems>
    </cacheField>
    <cacheField name="襄阳采购未到货" numFmtId="0">
      <sharedItems containsString="0" containsBlank="1" containsNumber="1" containsInteger="1" minValue="0" maxValue="0" count="2">
        <m/>
        <n v="0"/>
      </sharedItems>
    </cacheField>
    <cacheField name="襄阳昨日出库商品件数" numFmtId="0">
      <sharedItems containsString="0" containsBlank="1" containsNumber="1" containsInteger="1" minValue="0" maxValue="0" count="2">
        <m/>
        <n v="0"/>
      </sharedItems>
    </cacheField>
    <cacheField name="襄阳近7日出库商品件数" numFmtId="0">
      <sharedItems containsString="0" containsBlank="1" containsNumber="1" containsInteger="1" minValue="0" maxValue="0" count="2">
        <m/>
        <n v="0"/>
      </sharedItems>
    </cacheField>
    <cacheField name="襄阳近14日出库商品件数" numFmtId="0">
      <sharedItems containsString="0" containsBlank="1" containsNumber="1" containsInteger="1" minValue="0" maxValue="0" count="2">
        <m/>
        <n v="0"/>
      </sharedItems>
    </cacheField>
    <cacheField name="襄阳近28日出库商品件数" numFmtId="0">
      <sharedItems containsString="0" containsBlank="1" containsNumber="1" containsInteger="1" minValue="0" maxValue="0" count="2">
        <m/>
        <n v="0"/>
      </sharedItems>
    </cacheField>
    <cacheField name="金华现货库存" numFmtId="0">
      <sharedItems containsString="0" containsBlank="1" containsNumber="1" containsInteger="1" minValue="0" maxValue="0" count="2">
        <m/>
        <n v="0"/>
      </sharedItems>
    </cacheField>
    <cacheField name="金华采购未到货" numFmtId="0">
      <sharedItems containsString="0" containsBlank="1" containsNumber="1" containsInteger="1" minValue="0" maxValue="0" count="2">
        <m/>
        <n v="0"/>
      </sharedItems>
    </cacheField>
    <cacheField name="金华昨日出库商品件数" numFmtId="0">
      <sharedItems containsString="0" containsBlank="1" containsNumber="1" containsInteger="1" minValue="0" maxValue="0" count="2">
        <m/>
        <n v="0"/>
      </sharedItems>
    </cacheField>
    <cacheField name="金华近7日出库商品件数" numFmtId="0">
      <sharedItems containsString="0" containsBlank="1" containsNumber="1" containsInteger="1" minValue="0" maxValue="0" count="2">
        <m/>
        <n v="0"/>
      </sharedItems>
    </cacheField>
    <cacheField name="金华近14日出库商品件数" numFmtId="0">
      <sharedItems containsString="0" containsBlank="1" containsNumber="1" containsInteger="1" minValue="0" maxValue="0" count="2">
        <m/>
        <n v="0"/>
      </sharedItems>
    </cacheField>
    <cacheField name="金华近28日出库商品件数" numFmtId="0">
      <sharedItems containsString="0" containsBlank="1" containsNumber="1" containsInteger="1" minValue="0" maxValue="0" count="2">
        <m/>
        <n v="0"/>
      </sharedItems>
    </cacheField>
    <cacheField name="海口现货库存" numFmtId="0">
      <sharedItems containsString="0" containsBlank="1" containsNumber="1" containsInteger="1" minValue="0" maxValue="0" count="2">
        <m/>
        <n v="0"/>
      </sharedItems>
    </cacheField>
    <cacheField name="海口采购未到货" numFmtId="0">
      <sharedItems containsString="0" containsBlank="1" containsNumber="1" containsInteger="1" minValue="0" maxValue="0" count="2">
        <m/>
        <n v="0"/>
      </sharedItems>
    </cacheField>
    <cacheField name="海口昨日出库商品件数" numFmtId="0">
      <sharedItems containsString="0" containsBlank="1" containsNumber="1" containsInteger="1" minValue="0" maxValue="0" count="2">
        <m/>
        <n v="0"/>
      </sharedItems>
    </cacheField>
    <cacheField name="海口近7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海口近14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海口近28日出库商品件数" numFmtId="0">
      <sharedItems containsString="0" containsBlank="1" containsNumber="1" containsInteger="1" minValue="0" maxValue="2" count="4">
        <m/>
        <n v="0"/>
        <n v="2"/>
        <n v="1"/>
      </sharedItems>
    </cacheField>
    <cacheField name="南充现货库存" numFmtId="0">
      <sharedItems containsString="0" containsBlank="1" containsNumber="1" containsInteger="1" minValue="0" maxValue="0" count="2">
        <m/>
        <n v="0"/>
      </sharedItems>
    </cacheField>
    <cacheField name="南充采购未到货" numFmtId="0">
      <sharedItems containsString="0" containsBlank="1" containsNumber="1" containsInteger="1" minValue="0" maxValue="0" count="2">
        <m/>
        <n v="0"/>
      </sharedItems>
    </cacheField>
    <cacheField name="南充昨日出库商品件数" numFmtId="0">
      <sharedItems containsString="0" containsBlank="1" containsNumber="1" containsInteger="1" minValue="0" maxValue="0" count="2">
        <m/>
        <n v="0"/>
      </sharedItems>
    </cacheField>
    <cacheField name="南充近7日出库商品件数" numFmtId="0">
      <sharedItems containsString="0" containsBlank="1" containsNumber="1" containsInteger="1" minValue="0" maxValue="0" count="2">
        <m/>
        <n v="0"/>
      </sharedItems>
    </cacheField>
    <cacheField name="南充近14日出库商品件数" numFmtId="0">
      <sharedItems containsString="0" containsBlank="1" containsNumber="1" containsInteger="1" minValue="0" maxValue="0" count="2">
        <m/>
        <n v="0"/>
      </sharedItems>
    </cacheField>
    <cacheField name="南充近28日出库商品件数" numFmtId="0">
      <sharedItems containsString="0" containsBlank="1" containsNumber="1" containsInteger="1" minValue="0" maxValue="0" count="2">
        <m/>
        <n v="0"/>
      </sharedItems>
    </cacheField>
    <cacheField name="银川现货库存" numFmtId="0">
      <sharedItems containsString="0" containsBlank="1" containsNumber="1" containsInteger="1" minValue="0" maxValue="0" count="2">
        <m/>
        <n v="0"/>
      </sharedItems>
    </cacheField>
    <cacheField name="银川采购未到货" numFmtId="0">
      <sharedItems containsString="0" containsBlank="1" containsNumber="1" containsInteger="1" minValue="0" maxValue="0" count="2">
        <m/>
        <n v="0"/>
      </sharedItems>
    </cacheField>
    <cacheField name="银川昨日出库商品件数" numFmtId="0">
      <sharedItems containsString="0" containsBlank="1" containsNumber="1" containsInteger="1" minValue="0" maxValue="0" count="2">
        <m/>
        <n v="0"/>
      </sharedItems>
    </cacheField>
    <cacheField name="银川近7日出库商品件数" numFmtId="0">
      <sharedItems containsString="0" containsBlank="1" containsNumber="1" containsInteger="1" minValue="0" maxValue="0" count="2">
        <m/>
        <n v="0"/>
      </sharedItems>
    </cacheField>
    <cacheField name="银川近14日出库商品件数" numFmtId="0">
      <sharedItems containsString="0" containsBlank="1" containsNumber="1" containsInteger="1" minValue="0" maxValue="0" count="2">
        <m/>
        <n v="0"/>
      </sharedItems>
    </cacheField>
    <cacheField name="银川近28日出库商品件数" numFmtId="0">
      <sharedItems containsString="0" containsBlank="1" containsNumber="1" containsInteger="1" minValue="0" maxValue="0" count="2">
        <m/>
        <n v="0"/>
      </sharedItems>
    </cacheField>
    <cacheField name="驻马店现货库存" numFmtId="0">
      <sharedItems containsString="0" containsBlank="1" containsNumber="1" containsInteger="1" minValue="0" maxValue="0" count="2">
        <m/>
        <n v="0"/>
      </sharedItems>
    </cacheField>
    <cacheField name="驻马店采购未到货" numFmtId="0">
      <sharedItems containsString="0" containsBlank="1" containsNumber="1" containsInteger="1" minValue="0" maxValue="0" count="2">
        <m/>
        <n v="0"/>
      </sharedItems>
    </cacheField>
    <cacheField name="驻马店昨日出库商品件数" numFmtId="0">
      <sharedItems containsString="0" containsBlank="1" containsNumber="1" containsInteger="1" minValue="0" maxValue="0" count="2">
        <m/>
        <n v="0"/>
      </sharedItems>
    </cacheField>
    <cacheField name="驻马店近7日出库商品件数" numFmtId="0">
      <sharedItems containsString="0" containsBlank="1" containsNumber="1" containsInteger="1" minValue="0" maxValue="0" count="2">
        <m/>
        <n v="0"/>
      </sharedItems>
    </cacheField>
    <cacheField name="驻马店近14日出库商品件数" numFmtId="0">
      <sharedItems containsString="0" containsBlank="1" containsNumber="1" containsInteger="1" minValue="0" maxValue="0" count="2">
        <m/>
        <n v="0"/>
      </sharedItems>
    </cacheField>
    <cacheField name="驻马店近28日出库商品件数" numFmtId="0">
      <sharedItems containsString="0" containsBlank="1" containsNumber="1" containsInteger="1" minValue="0" maxValue="0" count="2">
        <m/>
        <n v="0"/>
      </sharedItems>
    </cacheField>
    <cacheField name="温州现货库存" numFmtId="0">
      <sharedItems containsString="0" containsBlank="1" containsNumber="1" containsInteger="1" minValue="0" maxValue="0" count="2">
        <m/>
        <n v="0"/>
      </sharedItems>
    </cacheField>
    <cacheField name="温州采购未到货" numFmtId="0">
      <sharedItems containsString="0" containsBlank="1" containsNumber="1" containsInteger="1" minValue="0" maxValue="0" count="2">
        <m/>
        <n v="0"/>
      </sharedItems>
    </cacheField>
    <cacheField name="温州昨日出库商品件数" numFmtId="0">
      <sharedItems containsString="0" containsBlank="1" containsNumber="1" containsInteger="1" minValue="0" maxValue="0" count="2">
        <m/>
        <n v="0"/>
      </sharedItems>
    </cacheField>
    <cacheField name="温州近7日出库商品件数" numFmtId="0">
      <sharedItems containsString="0" containsBlank="1" containsNumber="1" containsInteger="1" minValue="0" maxValue="0" count="2">
        <m/>
        <n v="0"/>
      </sharedItems>
    </cacheField>
    <cacheField name="温州近14日出库商品件数" numFmtId="0">
      <sharedItems containsString="0" containsBlank="1" containsNumber="1" containsInteger="1" minValue="0" maxValue="0" count="2">
        <m/>
        <n v="0"/>
      </sharedItems>
    </cacheField>
    <cacheField name="温州近28日出库商品件数" numFmtId="0">
      <sharedItems containsString="0" containsBlank="1" containsNumber="1" containsInteger="1" minValue="0" maxValue="0" count="2">
        <m/>
        <n v="0"/>
      </sharedItems>
    </cacheField>
    <cacheField name="茂名现货库存" numFmtId="0">
      <sharedItems containsString="0" containsBlank="1" containsNumber="1" containsInteger="1" minValue="0" maxValue="0" count="2">
        <m/>
        <n v="0"/>
      </sharedItems>
    </cacheField>
    <cacheField name="茂名采购未到货" numFmtId="0">
      <sharedItems containsString="0" containsBlank="1" containsNumber="1" containsInteger="1" minValue="0" maxValue="0" count="2">
        <m/>
        <n v="0"/>
      </sharedItems>
    </cacheField>
    <cacheField name="茂名昨日出库商品件数" numFmtId="0">
      <sharedItems containsString="0" containsBlank="1" containsNumber="1" containsInteger="1" minValue="0" maxValue="0" count="2">
        <m/>
        <n v="0"/>
      </sharedItems>
    </cacheField>
    <cacheField name="茂名近7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茂名近14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茂名近28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柳州现货库存" numFmtId="0">
      <sharedItems containsString="0" containsBlank="1" containsNumber="1" containsInteger="1" minValue="0" maxValue="0" count="2">
        <m/>
        <n v="0"/>
      </sharedItems>
    </cacheField>
    <cacheField name="柳州采购未到货" numFmtId="0">
      <sharedItems containsString="0" containsBlank="1" containsNumber="1" containsInteger="1" minValue="0" maxValue="0" count="2">
        <m/>
        <n v="0"/>
      </sharedItems>
    </cacheField>
    <cacheField name="柳州昨日出库商品件数" numFmtId="0">
      <sharedItems containsString="0" containsBlank="1" containsNumber="1" containsInteger="1" minValue="0" maxValue="0" count="2">
        <m/>
        <n v="0"/>
      </sharedItems>
    </cacheField>
    <cacheField name="柳州近7日出库商品件数" numFmtId="0">
      <sharedItems containsString="0" containsBlank="1" containsNumber="1" containsInteger="1" minValue="0" maxValue="6" count="3">
        <m/>
        <n v="0"/>
        <n v="6"/>
      </sharedItems>
    </cacheField>
    <cacheField name="柳州近14日出库商品件数" numFmtId="0">
      <sharedItems containsString="0" containsBlank="1" containsNumber="1" containsInteger="1" minValue="0" maxValue="6" count="3">
        <m/>
        <n v="0"/>
        <n v="6"/>
      </sharedItems>
    </cacheField>
    <cacheField name="柳州近28日出库商品件数" numFmtId="0">
      <sharedItems containsString="0" containsBlank="1" containsNumber="1" containsInteger="1" minValue="0" maxValue="6" count="3">
        <m/>
        <n v="0"/>
        <n v="6"/>
      </sharedItems>
    </cacheField>
    <cacheField name="洛阳现货库存" numFmtId="0">
      <sharedItems containsString="0" containsBlank="1" containsNumber="1" containsInteger="1" minValue="0" maxValue="0" count="2">
        <m/>
        <n v="0"/>
      </sharedItems>
    </cacheField>
    <cacheField name="洛阳采购未到货" numFmtId="0">
      <sharedItems containsString="0" containsBlank="1" containsNumber="1" containsInteger="1" minValue="0" maxValue="0" count="2">
        <m/>
        <n v="0"/>
      </sharedItems>
    </cacheField>
    <cacheField name="洛阳昨日出库商品件数" numFmtId="0">
      <sharedItems containsString="0" containsBlank="1" containsNumber="1" containsInteger="1" minValue="0" maxValue="0" count="2">
        <m/>
        <n v="0"/>
      </sharedItems>
    </cacheField>
    <cacheField name="洛阳近7日出库商品件数" numFmtId="0">
      <sharedItems containsString="0" containsBlank="1" containsNumber="1" containsInteger="1" minValue="0" maxValue="0" count="2">
        <m/>
        <n v="0"/>
      </sharedItems>
    </cacheField>
    <cacheField name="洛阳近14日出库商品件数" numFmtId="0">
      <sharedItems containsString="0" containsBlank="1" containsNumber="1" containsInteger="1" minValue="0" maxValue="0" count="2">
        <m/>
        <n v="0"/>
      </sharedItems>
    </cacheField>
    <cacheField name="洛阳近28日出库商品件数" numFmtId="0">
      <sharedItems containsString="0" containsBlank="1" containsNumber="1" containsInteger="1" minValue="0" maxValue="0" count="2">
        <m/>
        <n v="0"/>
      </sharedItems>
    </cacheField>
    <cacheField name="衡阳现货库存" numFmtId="0">
      <sharedItems containsString="0" containsBlank="1" containsNumber="1" containsInteger="1" minValue="0" maxValue="0" count="2">
        <m/>
        <n v="0"/>
      </sharedItems>
    </cacheField>
    <cacheField name="衡阳采购未到货" numFmtId="0">
      <sharedItems containsString="0" containsBlank="1" containsNumber="1" containsInteger="1" minValue="0" maxValue="0" count="2">
        <m/>
        <n v="0"/>
      </sharedItems>
    </cacheField>
    <cacheField name="衡阳昨日出库商品件数" numFmtId="0">
      <sharedItems containsString="0" containsBlank="1" containsNumber="1" containsInteger="1" minValue="0" maxValue="0" count="2">
        <m/>
        <n v="0"/>
      </sharedItems>
    </cacheField>
    <cacheField name="衡阳近7日出库商品件数" numFmtId="0">
      <sharedItems containsString="0" containsBlank="1" containsNumber="1" containsInteger="1" minValue="0" maxValue="0" count="2">
        <m/>
        <n v="0"/>
      </sharedItems>
    </cacheField>
    <cacheField name="衡阳近14日出库商品件数" numFmtId="0">
      <sharedItems containsString="0" containsBlank="1" containsNumber="1" containsInteger="1" minValue="0" maxValue="0" count="2">
        <m/>
        <n v="0"/>
      </sharedItems>
    </cacheField>
    <cacheField name="衡阳近28日出库商品件数" numFmtId="0">
      <sharedItems containsString="0" containsBlank="1" containsNumber="1" containsInteger="1" minValue="0" maxValue="0" count="2">
        <m/>
        <n v="0"/>
      </sharedItems>
    </cacheField>
    <cacheField name="德州现货库存" numFmtId="0">
      <sharedItems containsString="0" containsBlank="1" containsNumber="1" containsInteger="1" minValue="0" maxValue="2" count="3">
        <n v="0"/>
        <m/>
        <n v="2"/>
      </sharedItems>
    </cacheField>
    <cacheField name="德州采购未到货" numFmtId="0">
      <sharedItems containsString="0" containsBlank="1" containsNumber="1" containsInteger="1" minValue="0" maxValue="0" count="2">
        <n v="0"/>
        <m/>
      </sharedItems>
    </cacheField>
    <cacheField name="德州昨日出库商品件数" numFmtId="0">
      <sharedItems containsString="0" containsBlank="1" containsNumber="1" containsInteger="1" minValue="0" maxValue="0" count="2">
        <n v="0"/>
        <m/>
      </sharedItems>
    </cacheField>
    <cacheField name="德州近7日出库商品件数" numFmtId="0">
      <sharedItems containsString="0" containsBlank="1" containsNumber="1" containsInteger="1" minValue="0" maxValue="0" count="2">
        <n v="0"/>
        <m/>
      </sharedItems>
    </cacheField>
    <cacheField name="德州近14日出库商品件数" numFmtId="0">
      <sharedItems containsString="0" containsBlank="1" containsNumber="1" containsInteger="1" minValue="0" maxValue="0" count="2">
        <n v="0"/>
        <m/>
      </sharedItems>
    </cacheField>
    <cacheField name="德州近28日出库商品件数" numFmtId="0">
      <sharedItems containsString="0" containsBlank="1" containsNumber="1" containsInteger="1" minValue="0" maxValue="0" count="2">
        <n v="0"/>
        <m/>
      </sharedItems>
    </cacheField>
    <cacheField name="荆州现货库存" numFmtId="0">
      <sharedItems containsString="0" containsBlank="1" containsNumber="1" containsInteger="1" minValue="0" maxValue="1152" count="12">
        <m/>
        <n v="1152"/>
        <n v="486"/>
        <n v="7"/>
        <n v="14"/>
        <n v="92"/>
        <n v="58"/>
        <n v="18"/>
        <n v="56"/>
        <n v="19"/>
        <n v="42"/>
        <n v="0"/>
      </sharedItems>
    </cacheField>
    <cacheField name="荆州采购未到货" numFmtId="0">
      <sharedItems containsString="0" containsBlank="1" containsNumber="1" containsInteger="1" minValue="0" maxValue="1200" count="3">
        <m/>
        <n v="1200"/>
        <n v="0"/>
      </sharedItems>
    </cacheField>
    <cacheField name="荆州昨日出库商品件数" numFmtId="0">
      <sharedItems containsString="0" containsBlank="1" containsNumber="1" containsInteger="1" minValue="0" maxValue="6" count="5">
        <m/>
        <n v="6"/>
        <n v="2"/>
        <n v="0"/>
        <n v="1"/>
      </sharedItems>
    </cacheField>
    <cacheField name="荆州近7日出库商品件数" numFmtId="0">
      <sharedItems containsString="0" containsBlank="1" containsNumber="1" containsInteger="1" minValue="0" maxValue="112" count="8">
        <m/>
        <n v="112"/>
        <n v="51"/>
        <n v="16"/>
        <n v="15"/>
        <n v="6"/>
        <n v="0"/>
        <n v="1"/>
      </sharedItems>
    </cacheField>
    <cacheField name="荆州近14日出库商品件数" numFmtId="0">
      <sharedItems containsString="0" containsBlank="1" containsNumber="1" containsInteger="1" minValue="0" maxValue="175" count="8">
        <m/>
        <n v="175"/>
        <n v="74"/>
        <n v="20"/>
        <n v="19"/>
        <n v="8"/>
        <n v="1"/>
        <n v="0"/>
      </sharedItems>
    </cacheField>
    <cacheField name="荆州近28日出库商品件数" numFmtId="0">
      <sharedItems containsString="0" containsBlank="1" containsNumber="1" containsInteger="1" minValue="0" maxValue="272" count="10">
        <m/>
        <n v="272"/>
        <n v="162"/>
        <n v="46"/>
        <n v="32"/>
        <n v="15"/>
        <n v="4"/>
        <n v="2"/>
        <n v="0"/>
        <n v="1"/>
      </sharedItems>
    </cacheField>
    <cacheField name="拉萨现货库存" numFmtId="0">
      <sharedItems containsString="0" containsBlank="1" containsNumber="1" containsInteger="1" minValue="0" maxValue="0" count="2">
        <m/>
        <n v="0"/>
      </sharedItems>
    </cacheField>
    <cacheField name="拉萨采购未到货" numFmtId="0">
      <sharedItems containsString="0" containsBlank="1" containsNumber="1" containsInteger="1" minValue="0" maxValue="0" count="2">
        <m/>
        <n v="0"/>
      </sharedItems>
    </cacheField>
    <cacheField name="拉萨昨日出库商品件数" numFmtId="0">
      <sharedItems containsString="0" containsBlank="1" containsNumber="1" containsInteger="1" minValue="0" maxValue="0" count="2">
        <m/>
        <n v="0"/>
      </sharedItems>
    </cacheField>
    <cacheField name="拉萨近7日出库商品件数" numFmtId="0">
      <sharedItems containsString="0" containsBlank="1" containsNumber="1" containsInteger="1" minValue="0" maxValue="0" count="2">
        <m/>
        <n v="0"/>
      </sharedItems>
    </cacheField>
    <cacheField name="拉萨近14日出库商品件数" numFmtId="0">
      <sharedItems containsString="0" containsBlank="1" containsNumber="1" containsInteger="1" minValue="0" maxValue="0" count="2">
        <m/>
        <n v="0"/>
      </sharedItems>
    </cacheField>
    <cacheField name="拉萨近28日出库商品件数" numFmtId="0">
      <sharedItems containsString="0" containsBlank="1" containsNumber="1" containsInteger="1" minValue="0" maxValue="0" count="2">
        <m/>
        <n v="0"/>
      </sharedItems>
    </cacheField>
    <cacheField name="泰州现货库存" numFmtId="0">
      <sharedItems containsString="0" containsBlank="1" containsNumber="1" containsInteger="1" minValue="0" maxValue="0" count="2">
        <m/>
        <n v="0"/>
      </sharedItems>
    </cacheField>
    <cacheField name="泰州采购未到货" numFmtId="0">
      <sharedItems containsString="0" containsBlank="1" containsNumber="1" containsInteger="1" minValue="0" maxValue="0" count="2">
        <m/>
        <n v="0"/>
      </sharedItems>
    </cacheField>
    <cacheField name="泰州昨日出库商品件数" numFmtId="0">
      <sharedItems containsString="0" containsBlank="1" containsNumber="1" containsInteger="1" minValue="0" maxValue="0" count="2">
        <m/>
        <n v="0"/>
      </sharedItems>
    </cacheField>
    <cacheField name="泰州近7日出库商品件数" numFmtId="0">
      <sharedItems containsString="0" containsBlank="1" containsNumber="1" containsInteger="1" minValue="0" maxValue="0" count="2">
        <m/>
        <n v="0"/>
      </sharedItems>
    </cacheField>
    <cacheField name="泰州近14日出库商品件数" numFmtId="0">
      <sharedItems containsString="0" containsBlank="1" containsNumber="1" containsInteger="1" minValue="0" maxValue="0" count="2">
        <m/>
        <n v="0"/>
      </sharedItems>
    </cacheField>
    <cacheField name="泰州近28日出库商品件数" numFmtId="0">
      <sharedItems containsString="0" containsBlank="1" containsNumber="1" containsInteger="1" minValue="0" maxValue="0" count="2">
        <m/>
        <n v="0"/>
      </sharedItems>
    </cacheField>
    <cacheField name="鹤壁现货库存" numFmtId="0">
      <sharedItems containsString="0" containsBlank="1" containsNumber="1" containsInteger="1" minValue="0" maxValue="0" count="2">
        <m/>
        <n v="0"/>
      </sharedItems>
    </cacheField>
    <cacheField name="鹤壁采购未到货" numFmtId="0">
      <sharedItems containsString="0" containsBlank="1" containsNumber="1" containsInteger="1" minValue="0" maxValue="0" count="2">
        <m/>
        <n v="0"/>
      </sharedItems>
    </cacheField>
    <cacheField name="鹤壁昨日出库商品件数" numFmtId="0">
      <sharedItems containsString="0" containsBlank="1" containsNumber="1" containsInteger="1" minValue="0" maxValue="0" count="2">
        <m/>
        <n v="0"/>
      </sharedItems>
    </cacheField>
    <cacheField name="鹤壁近7日出库商品件数" numFmtId="0">
      <sharedItems containsString="0" containsBlank="1" containsNumber="1" containsInteger="1" minValue="0" maxValue="0" count="2">
        <m/>
        <n v="0"/>
      </sharedItems>
    </cacheField>
    <cacheField name="鹤壁近14日出库商品件数" numFmtId="0">
      <sharedItems containsString="0" containsBlank="1" containsNumber="1" containsInteger="1" minValue="0" maxValue="0" count="2">
        <m/>
        <n v="0"/>
      </sharedItems>
    </cacheField>
    <cacheField name="鹤壁近28日出库商品件数" numFmtId="0">
      <sharedItems containsString="0" containsBlank="1" containsNumber="1" containsInteger="1" minValue="0" maxValue="0" count="2">
        <m/>
        <n v="0"/>
      </sharedItems>
    </cacheField>
    <cacheField name="西宁现货库存" numFmtId="0">
      <sharedItems containsString="0" containsBlank="1" containsNumber="1" containsInteger="1" minValue="0" maxValue="0" count="2">
        <m/>
        <n v="0"/>
      </sharedItems>
    </cacheField>
    <cacheField name="西宁采购未到货" numFmtId="0">
      <sharedItems containsString="0" containsBlank="1" containsNumber="1" containsInteger="1" minValue="0" maxValue="0" count="2">
        <m/>
        <n v="0"/>
      </sharedItems>
    </cacheField>
    <cacheField name="西宁昨日出库商品件数" numFmtId="0">
      <sharedItems containsString="0" containsBlank="1" containsNumber="1" containsInteger="1" minValue="0" maxValue="0" count="2">
        <m/>
        <n v="0"/>
      </sharedItems>
    </cacheField>
    <cacheField name="西宁近7日出库商品件数" numFmtId="0">
      <sharedItems containsString="0" containsBlank="1" containsNumber="1" containsInteger="1" minValue="0" maxValue="0" count="2">
        <m/>
        <n v="0"/>
      </sharedItems>
    </cacheField>
    <cacheField name="西宁近14日出库商品件数" numFmtId="0">
      <sharedItems containsString="0" containsBlank="1" containsNumber="1" containsInteger="1" minValue="0" maxValue="0" count="2">
        <m/>
        <n v="0"/>
      </sharedItems>
    </cacheField>
    <cacheField name="西宁近28日出库商品件数" numFmtId="0">
      <sharedItems containsString="0" containsBlank="1" containsNumber="1" containsInteger="1" minValue="0" maxValue="0" count="2">
        <m/>
        <n v="0"/>
      </sharedItems>
    </cacheField>
    <cacheField name="赣州现货库存" numFmtId="0">
      <sharedItems containsString="0" containsBlank="1" containsNumber="1" containsInteger="1" minValue="0" maxValue="0" count="2">
        <m/>
        <n v="0"/>
      </sharedItems>
    </cacheField>
    <cacheField name="赣州采购未到货" numFmtId="0">
      <sharedItems containsString="0" containsBlank="1" containsNumber="1" containsInteger="1" minValue="0" maxValue="0" count="2">
        <m/>
        <n v="0"/>
      </sharedItems>
    </cacheField>
    <cacheField name="赣州昨日出库商品件数" numFmtId="0">
      <sharedItems containsString="0" containsBlank="1" containsNumber="1" containsInteger="1" minValue="0" maxValue="0" count="2">
        <m/>
        <n v="0"/>
      </sharedItems>
    </cacheField>
    <cacheField name="赣州近7日出库商品件数" numFmtId="0">
      <sharedItems containsString="0" containsBlank="1" containsNumber="1" containsInteger="1" minValue="0" maxValue="0" count="2">
        <m/>
        <n v="0"/>
      </sharedItems>
    </cacheField>
    <cacheField name="赣州近14日出库商品件数" numFmtId="0">
      <sharedItems containsString="0" containsBlank="1" containsNumber="1" containsInteger="1" minValue="0" maxValue="0" count="2">
        <m/>
        <n v="0"/>
      </sharedItems>
    </cacheField>
    <cacheField name="赣州近28日出库商品件数" numFmtId="0">
      <sharedItems containsString="0" containsBlank="1" containsNumber="1" containsInteger="1" minValue="0" maxValue="0" count="2">
        <m/>
        <n v="0"/>
      </sharedItems>
    </cacheField>
    <cacheField name="中山现货库存" numFmtId="0">
      <sharedItems containsString="0" containsBlank="1" containsNumber="1" containsInteger="1" minValue="0" maxValue="0" count="2">
        <m/>
        <n v="0"/>
      </sharedItems>
    </cacheField>
    <cacheField name="中山采购未到货" numFmtId="0">
      <sharedItems containsString="0" containsBlank="1" containsNumber="1" containsInteger="1" minValue="0" maxValue="0" count="2">
        <m/>
        <n v="0"/>
      </sharedItems>
    </cacheField>
    <cacheField name="中山昨日出库商品件数" numFmtId="0">
      <sharedItems containsString="0" containsBlank="1" containsNumber="1" containsInteger="1" minValue="0" maxValue="0" count="2">
        <m/>
        <n v="0"/>
      </sharedItems>
    </cacheField>
    <cacheField name="中山近7日出库商品件数" numFmtId="0">
      <sharedItems containsString="0" containsBlank="1" containsNumber="1" containsInteger="1" minValue="0" maxValue="0" count="2">
        <m/>
        <n v="0"/>
      </sharedItems>
    </cacheField>
    <cacheField name="中山近14日出库商品件数" numFmtId="0">
      <sharedItems containsString="0" containsBlank="1" containsNumber="1" containsInteger="1" minValue="0" maxValue="0" count="2">
        <m/>
        <n v="0"/>
      </sharedItems>
    </cacheField>
    <cacheField name="中山近28日出库商品件数" numFmtId="0">
      <sharedItems containsString="0" containsBlank="1" containsNumber="1" containsInteger="1" minValue="0" maxValue="0" count="2">
        <m/>
        <n v="0"/>
      </sharedItems>
    </cacheField>
    <cacheField name="汉中现货库存" numFmtId="0">
      <sharedItems containsString="0" containsBlank="1" containsNumber="1" containsInteger="1" minValue="0" maxValue="0" count="2">
        <m/>
        <n v="0"/>
      </sharedItems>
    </cacheField>
    <cacheField name="汉中采购未到货" numFmtId="0">
      <sharedItems containsString="0" containsBlank="1" containsNumber="1" containsInteger="1" minValue="0" maxValue="0" count="2">
        <m/>
        <n v="0"/>
      </sharedItems>
    </cacheField>
    <cacheField name="汉中昨日出库商品件数" numFmtId="0">
      <sharedItems containsString="0" containsBlank="1" containsNumber="1" containsInteger="1" minValue="0" maxValue="0" count="2">
        <m/>
        <n v="0"/>
      </sharedItems>
    </cacheField>
    <cacheField name="汉中近7日出库商品件数" numFmtId="0">
      <sharedItems containsString="0" containsBlank="1" containsNumber="1" containsInteger="1" minValue="0" maxValue="0" count="2">
        <m/>
        <n v="0"/>
      </sharedItems>
    </cacheField>
    <cacheField name="汉中近14日出库商品件数" numFmtId="0">
      <sharedItems containsString="0" containsBlank="1" containsNumber="1" containsInteger="1" minValue="0" maxValue="0" count="2">
        <m/>
        <n v="0"/>
      </sharedItems>
    </cacheField>
    <cacheField name="汉中近28日出库商品件数" numFmtId="0">
      <sharedItems containsString="0" containsBlank="1" containsNumber="1" containsInteger="1" minValue="0" maxValue="0" count="2">
        <m/>
        <n v="0"/>
      </sharedItems>
    </cacheField>
    <cacheField name="上海FDC配送中心现货库存" numFmtId="0">
      <sharedItems containsString="0" containsBlank="1" containsNumber="1" containsInteger="1" minValue="0" maxValue="0" count="2">
        <m/>
        <n v="0"/>
      </sharedItems>
    </cacheField>
    <cacheField name="上海FDC配送中心采购未到货" numFmtId="0">
      <sharedItems containsString="0" containsBlank="1" containsNumber="1" containsInteger="1" minValue="0" maxValue="0" count="2">
        <m/>
        <n v="0"/>
      </sharedItems>
    </cacheField>
    <cacheField name="上海FDC配送中心昨日出库商品件数" numFmtId="0">
      <sharedItems containsString="0" containsBlank="1" containsNumber="1" containsInteger="1" minValue="0" maxValue="0" count="2">
        <m/>
        <n v="0"/>
      </sharedItems>
    </cacheField>
    <cacheField name="上海FDC配送中心近7日出库商品件数" numFmtId="0">
      <sharedItems containsString="0" containsBlank="1" containsNumber="1" containsInteger="1" minValue="0" maxValue="0" count="2">
        <m/>
        <n v="0"/>
      </sharedItems>
    </cacheField>
    <cacheField name="上海FDC配送中心近14日出库商品件数" numFmtId="0">
      <sharedItems containsString="0" containsBlank="1" containsNumber="1" containsInteger="1" minValue="0" maxValue="0" count="2">
        <m/>
        <n v="0"/>
      </sharedItems>
    </cacheField>
    <cacheField name="上海FDC配送中心近28日出库商品件数" numFmtId="0">
      <sharedItems containsString="0" containsBlank="1" containsNumber="1" containsInteger="1" minValue="0" maxValue="0" count="2">
        <m/>
        <n v="0"/>
      </sharedItems>
    </cacheField>
    <cacheField name="广州城市现货库存" numFmtId="0">
      <sharedItems containsString="0" containsBlank="1" containsNumber="1" containsInteger="1" minValue="0" maxValue="5016" count="25">
        <m/>
        <n v="5016"/>
        <n v="2513"/>
        <n v="606"/>
        <n v="14"/>
        <n v="194"/>
        <n v="35"/>
        <n v="1"/>
        <n v="0"/>
        <n v="61"/>
        <n v="4"/>
        <n v="21"/>
        <n v="38"/>
        <n v="11"/>
        <n v="167"/>
        <n v="16"/>
        <n v="13"/>
        <n v="10"/>
        <n v="9"/>
        <n v="3"/>
        <n v="19"/>
        <n v="12"/>
        <n v="17"/>
        <n v="29"/>
        <n v="15"/>
      </sharedItems>
    </cacheField>
    <cacheField name="广州城市采购未到货" numFmtId="0">
      <sharedItems containsString="0" containsBlank="1" containsNumber="1" containsInteger="1" minValue="0" maxValue="740" count="5">
        <m/>
        <n v="0"/>
        <n v="740"/>
        <n v="300"/>
        <n v="20"/>
      </sharedItems>
    </cacheField>
    <cacheField name="广州城市昨日出库商品件数" numFmtId="0">
      <sharedItems containsString="0" containsBlank="1" containsNumber="1" containsInteger="1" minValue="0" maxValue="235" count="10">
        <m/>
        <n v="235"/>
        <n v="13"/>
        <n v="16"/>
        <n v="1"/>
        <n v="8"/>
        <n v="3"/>
        <n v="0"/>
        <n v="46"/>
        <n v="2"/>
      </sharedItems>
    </cacheField>
    <cacheField name="广州城市近7日出库商品件数" numFmtId="0">
      <sharedItems containsString="0" containsBlank="1" containsNumber="1" containsInteger="1" minValue="0" maxValue="1746" count="18">
        <m/>
        <n v="1746"/>
        <n v="314"/>
        <n v="169"/>
        <n v="167"/>
        <n v="174"/>
        <n v="10"/>
        <n v="25"/>
        <n v="0"/>
        <n v="152"/>
        <n v="30"/>
        <n v="18"/>
        <n v="8"/>
        <n v="1"/>
        <n v="7"/>
        <n v="2"/>
        <n v="3"/>
        <n v="5"/>
      </sharedItems>
    </cacheField>
    <cacheField name="广州城市近14日出库商品件数" numFmtId="0">
      <sharedItems containsString="0" containsBlank="1" containsNumber="1" containsInteger="1" minValue="0" maxValue="2894" count="20">
        <m/>
        <n v="2894"/>
        <n v="428"/>
        <n v="248"/>
        <n v="342"/>
        <n v="255"/>
        <n v="24"/>
        <n v="35"/>
        <n v="33"/>
        <n v="268"/>
        <n v="39"/>
        <n v="0"/>
        <n v="12"/>
        <n v="1"/>
        <n v="10"/>
        <n v="6"/>
        <n v="2"/>
        <n v="4"/>
        <n v="5"/>
        <n v="3"/>
      </sharedItems>
    </cacheField>
    <cacheField name="广州城市近28日出库商品件数" numFmtId="0">
      <sharedItems containsString="0" containsBlank="1" containsNumber="1" containsInteger="1" minValue="0" maxValue="4094" count="26">
        <m/>
        <n v="4094"/>
        <n v="825"/>
        <n v="259"/>
        <n v="651"/>
        <n v="338"/>
        <n v="54"/>
        <n v="57"/>
        <n v="39"/>
        <n v="369"/>
        <n v="46"/>
        <n v="0"/>
        <n v="19"/>
        <n v="22"/>
        <n v="11"/>
        <n v="16"/>
        <n v="23"/>
        <n v="24"/>
        <n v="5"/>
        <n v="10"/>
        <n v="2"/>
        <n v="6"/>
        <n v="13"/>
        <n v="12"/>
        <n v="8"/>
        <n v="1"/>
      </sharedItems>
    </cacheField>
    <cacheField name="北京城市现货库存" numFmtId="0">
      <sharedItems containsString="0" containsBlank="1" containsNonDate="0" count="1">
        <m/>
      </sharedItems>
    </cacheField>
    <cacheField name="北京城市采购未到货" numFmtId="0">
      <sharedItems containsString="0" containsBlank="1" containsNonDate="0" count="1">
        <m/>
      </sharedItems>
    </cacheField>
    <cacheField name="北京城市昨日出库商品件数" numFmtId="0">
      <sharedItems containsString="0" containsBlank="1" containsNonDate="0" count="1">
        <m/>
      </sharedItems>
    </cacheField>
    <cacheField name="北京城市近7日出库商品件数" numFmtId="0">
      <sharedItems containsString="0" containsBlank="1" containsNonDate="0" count="1">
        <m/>
      </sharedItems>
    </cacheField>
    <cacheField name="北京城市近14日出库商品件数" numFmtId="0">
      <sharedItems containsString="0" containsBlank="1" containsNonDate="0" count="1">
        <m/>
      </sharedItems>
    </cacheField>
    <cacheField name="北京城市近28日出库商品件数" numFmtId="0">
      <sharedItems containsString="0" containsBlank="1" containsNonDate="0" count="1">
        <m/>
      </sharedItems>
    </cacheField>
    <cacheField name="广州补货B现货库存" numFmtId="0">
      <sharedItems containsString="0" containsBlank="1" containsNumber="1" containsInteger="1" minValue="0" maxValue="0" count="2">
        <m/>
        <n v="0"/>
      </sharedItems>
    </cacheField>
    <cacheField name="广州补货B采购未到货" numFmtId="0">
      <sharedItems containsString="0" containsBlank="1" containsNumber="1" containsInteger="1" minValue="0" maxValue="0" count="2">
        <m/>
        <n v="0"/>
      </sharedItems>
    </cacheField>
    <cacheField name="广州补货B昨日出库商品件数" numFmtId="0">
      <sharedItems containsString="0" containsBlank="1" containsNumber="1" containsInteger="1" minValue="0" maxValue="0" count="2">
        <m/>
        <n v="0"/>
      </sharedItems>
    </cacheField>
    <cacheField name="广州补货B近7日出库商品件数" numFmtId="0">
      <sharedItems containsString="0" containsBlank="1" containsNumber="1" containsInteger="1" minValue="0" maxValue="0" count="2">
        <m/>
        <n v="0"/>
      </sharedItems>
    </cacheField>
    <cacheField name="广州补货B近14日出库商品件数" numFmtId="0">
      <sharedItems containsString="0" containsBlank="1" containsNumber="1" containsInteger="1" minValue="0" maxValue="0" count="2">
        <m/>
        <n v="0"/>
      </sharedItems>
    </cacheField>
    <cacheField name="广州补货B近28日出库商品件数" numFmtId="0">
      <sharedItems containsString="0" containsBlank="1" containsNumber="1" containsInteger="1" minValue="0" maxValue="0" count="2">
        <m/>
        <n v="0"/>
      </sharedItems>
    </cacheField>
    <cacheField name="武汉补货B现货库存" numFmtId="0">
      <sharedItems containsString="0" containsBlank="1" containsNumber="1" containsInteger="1" minValue="0" maxValue="0" count="2">
        <n v="0"/>
        <m/>
      </sharedItems>
    </cacheField>
    <cacheField name="武汉补货B采购未到货" numFmtId="0">
      <sharedItems containsString="0" containsBlank="1" containsNumber="1" containsInteger="1" minValue="0" maxValue="0" count="2">
        <n v="0"/>
        <m/>
      </sharedItems>
    </cacheField>
    <cacheField name="武汉补货B昨日出库商品件数" numFmtId="0">
      <sharedItems containsString="0" containsBlank="1" containsNumber="1" containsInteger="1" minValue="0" maxValue="0" count="2">
        <n v="0"/>
        <m/>
      </sharedItems>
    </cacheField>
    <cacheField name="武汉补货B近7日出库商品件数" numFmtId="0">
      <sharedItems containsString="0" containsBlank="1" containsNumber="1" containsInteger="1" minValue="0" maxValue="0" count="2">
        <n v="0"/>
        <m/>
      </sharedItems>
    </cacheField>
    <cacheField name="武汉补货B近14日出库商品件数" numFmtId="0">
      <sharedItems containsString="0" containsBlank="1" containsNumber="1" containsInteger="1" minValue="0" maxValue="0" count="2">
        <n v="0"/>
        <m/>
      </sharedItems>
    </cacheField>
    <cacheField name="武汉补货B近28日出库商品件数" numFmtId="0">
      <sharedItems containsString="0" containsBlank="1" containsNumber="1" containsInteger="1" minValue="0" maxValue="0" count="2">
        <n v="0"/>
        <m/>
      </sharedItems>
    </cacheField>
    <cacheField name="成都补货B现货库存" numFmtId="0">
      <sharedItems containsString="0" containsBlank="1" containsNumber="1" containsInteger="1" minValue="0" maxValue="0" count="2">
        <m/>
        <n v="0"/>
      </sharedItems>
    </cacheField>
    <cacheField name="成都补货B采购未到货" numFmtId="0">
      <sharedItems containsString="0" containsBlank="1" containsNumber="1" containsInteger="1" minValue="0" maxValue="0" count="2">
        <m/>
        <n v="0"/>
      </sharedItems>
    </cacheField>
    <cacheField name="成都补货B昨日出库商品件数" numFmtId="0">
      <sharedItems containsString="0" containsBlank="1" containsNumber="1" containsInteger="1" minValue="0" maxValue="0" count="2">
        <m/>
        <n v="0"/>
      </sharedItems>
    </cacheField>
    <cacheField name="成都补货B近7日出库商品件数" numFmtId="0">
      <sharedItems containsString="0" containsBlank="1" containsNumber="1" containsInteger="1" minValue="0" maxValue="0" count="2">
        <m/>
        <n v="0"/>
      </sharedItems>
    </cacheField>
    <cacheField name="成都补货B近14日出库商品件数" numFmtId="0">
      <sharedItems containsString="0" containsBlank="1" containsNumber="1" containsInteger="1" minValue="0" maxValue="0" count="2">
        <m/>
        <n v="0"/>
      </sharedItems>
    </cacheField>
    <cacheField name="成都补货B近28日出库商品件数" numFmtId="0">
      <sharedItems containsString="0" containsBlank="1" containsNumber="1" containsInteger="1" minValue="0" maxValue="0" count="2">
        <m/>
        <n v="0"/>
      </sharedItems>
    </cacheField>
    <cacheField name="南通本地仓中心现货库存" numFmtId="0">
      <sharedItems containsString="0" containsBlank="1" containsNumber="1" containsInteger="1" minValue="0" maxValue="2" count="3">
        <m/>
        <n v="0"/>
        <n v="2"/>
      </sharedItems>
    </cacheField>
    <cacheField name="南通本地仓中心采购未到货" numFmtId="0">
      <sharedItems containsString="0" containsBlank="1" containsNumber="1" containsInteger="1" minValue="0" maxValue="35" count="3">
        <m/>
        <n v="35"/>
        <n v="0"/>
      </sharedItems>
    </cacheField>
    <cacheField name="南通本地仓中心昨日出库商品件数" numFmtId="0">
      <sharedItems containsString="0" containsBlank="1" containsNumber="1" containsInteger="1" minValue="0" maxValue="1" count="3">
        <m/>
        <n v="0"/>
        <n v="1"/>
      </sharedItems>
    </cacheField>
    <cacheField name="南通本地仓中心近7日出库商品件数" numFmtId="0">
      <sharedItems containsString="0" containsBlank="1" containsNumber="1" containsInteger="1" minValue="0" maxValue="21" count="6">
        <m/>
        <n v="21"/>
        <n v="8"/>
        <n v="6"/>
        <n v="2"/>
        <n v="3"/>
      </sharedItems>
    </cacheField>
    <cacheField name="南通本地仓中心近14日出库商品件数" numFmtId="0">
      <sharedItems containsString="0" containsBlank="1" containsNumber="1" containsInteger="1" minValue="0" maxValue="33" count="6">
        <m/>
        <n v="33"/>
        <n v="14"/>
        <n v="6"/>
        <n v="5"/>
        <n v="3"/>
      </sharedItems>
    </cacheField>
    <cacheField name="南通本地仓中心近28日出库商品件数" numFmtId="0">
      <sharedItems containsString="0" containsBlank="1" containsNumber="1" containsInteger="1" minValue="0" maxValue="44" count="6">
        <m/>
        <n v="44"/>
        <n v="25"/>
        <n v="6"/>
        <n v="8"/>
        <n v="5"/>
      </sharedItems>
    </cacheField>
    <cacheField name="南京补货B现货库存" numFmtId="0">
      <sharedItems containsString="0" containsBlank="1" containsNumber="1" containsInteger="1" minValue="0" maxValue="0" count="2">
        <m/>
        <n v="0"/>
      </sharedItems>
    </cacheField>
    <cacheField name="南京补货B采购未到货" numFmtId="0">
      <sharedItems containsString="0" containsBlank="1" containsNumber="1" containsInteger="1" minValue="0" maxValue="0" count="2">
        <m/>
        <n v="0"/>
      </sharedItems>
    </cacheField>
    <cacheField name="南京补货B昨日出库商品件数" numFmtId="0">
      <sharedItems containsString="0" containsBlank="1" containsNumber="1" containsInteger="1" minValue="0" maxValue="0" count="2">
        <m/>
        <n v="0"/>
      </sharedItems>
    </cacheField>
    <cacheField name="南京补货B近7日出库商品件数" numFmtId="0">
      <sharedItems containsString="0" containsBlank="1" containsNumber="1" containsInteger="1" minValue="0" maxValue="0" count="2">
        <m/>
        <n v="0"/>
      </sharedItems>
    </cacheField>
    <cacheField name="南京补货B近14日出库商品件数" numFmtId="0">
      <sharedItems containsString="0" containsBlank="1" containsNumber="1" containsInteger="1" minValue="0" maxValue="0" count="2">
        <m/>
        <n v="0"/>
      </sharedItems>
    </cacheField>
    <cacheField name="南京补货B近28日出库商品件数" numFmtId="0">
      <sharedItems containsString="0" containsBlank="1" containsNumber="1" containsInteger="1" minValue="0" maxValue="0" count="2">
        <m/>
        <n v="0"/>
      </sharedItems>
    </cacheField>
    <cacheField name="常州本地仓中心现货库存" numFmtId="0">
      <sharedItems containsString="0" containsBlank="1" containsNumber="1" containsInteger="1" minValue="0" maxValue="42" count="5">
        <m/>
        <n v="42"/>
        <n v="9"/>
        <n v="7"/>
        <n v="4"/>
      </sharedItems>
    </cacheField>
    <cacheField name="常州本地仓中心采购未到货" numFmtId="0">
      <sharedItems containsString="0" containsBlank="1" containsNumber="1" containsInteger="1" minValue="0" maxValue="0" count="2">
        <m/>
        <n v="0"/>
      </sharedItems>
    </cacheField>
    <cacheField name="常州本地仓中心昨日出库商品件数" numFmtId="0">
      <sharedItems containsString="0" containsBlank="1" containsNumber="1" containsInteger="1" minValue="0" maxValue="2" count="4">
        <m/>
        <n v="0"/>
        <n v="2"/>
        <n v="1"/>
      </sharedItems>
    </cacheField>
    <cacheField name="常州本地仓中心近7日出库商品件数" numFmtId="0">
      <sharedItems containsString="0" containsBlank="1" containsNumber="1" containsInteger="1" minValue="0" maxValue="12" count="5">
        <m/>
        <n v="8"/>
        <n v="12"/>
        <n v="4"/>
        <n v="1"/>
      </sharedItems>
    </cacheField>
    <cacheField name="常州本地仓中心近14日出库商品件数" numFmtId="0">
      <sharedItems containsString="0" containsBlank="1" containsNumber="1" containsInteger="1" minValue="0" maxValue="21" count="5">
        <m/>
        <n v="21"/>
        <n v="18"/>
        <n v="9"/>
        <n v="4"/>
      </sharedItems>
    </cacheField>
    <cacheField name="常州本地仓中心近28日出库商品件数" numFmtId="0">
      <sharedItems containsString="0" containsBlank="1" containsNumber="1" containsInteger="1" minValue="0" maxValue="28" count="5">
        <m/>
        <n v="27"/>
        <n v="28"/>
        <n v="11"/>
        <n v="5"/>
      </sharedItems>
    </cacheField>
    <cacheField name="徐州FDC配送中心现货库存" numFmtId="0">
      <sharedItems containsString="0" containsBlank="1" containsNumber="1" containsInteger="1" minValue="0" maxValue="0" count="2">
        <m/>
        <n v="0"/>
      </sharedItems>
    </cacheField>
    <cacheField name="徐州FDC配送中心采购未到货" numFmtId="0">
      <sharedItems containsString="0" containsBlank="1" containsNumber="1" containsInteger="1" minValue="0" maxValue="0" count="2">
        <m/>
        <n v="0"/>
      </sharedItems>
    </cacheField>
    <cacheField name="徐州FDC配送中心昨日出库商品件数" numFmtId="0">
      <sharedItems containsString="0" containsBlank="1" containsNumber="1" containsInteger="1" minValue="0" maxValue="0" count="2">
        <m/>
        <n v="0"/>
      </sharedItems>
    </cacheField>
    <cacheField name="徐州FDC配送中心近7日出库商品件数" numFmtId="0">
      <sharedItems containsString="0" containsBlank="1" containsNumber="1" containsInteger="1" minValue="0" maxValue="0" count="2">
        <m/>
        <n v="0"/>
      </sharedItems>
    </cacheField>
    <cacheField name="徐州FDC配送中心近14日出库商品件数" numFmtId="0">
      <sharedItems containsString="0" containsBlank="1" containsNumber="1" containsInteger="1" minValue="0" maxValue="0" count="2">
        <m/>
        <n v="0"/>
      </sharedItems>
    </cacheField>
    <cacheField name="徐州FDC配送中心近28日出库商品件数" numFmtId="0">
      <sharedItems containsString="0" containsBlank="1" containsNumber="1" containsInteger="1" minValue="0" maxValue="0" count="2">
        <m/>
        <n v="0"/>
      </sharedItems>
    </cacheField>
    <cacheField name="湛江现货库存" numFmtId="0">
      <sharedItems containsString="0" containsBlank="1" containsNumber="1" containsInteger="1" minValue="0" maxValue="0" count="2">
        <m/>
        <n v="0"/>
      </sharedItems>
    </cacheField>
    <cacheField name="湛江采购未到货" numFmtId="0">
      <sharedItems containsString="0" containsBlank="1" containsNumber="1" containsInteger="1" minValue="0" maxValue="0" count="2">
        <m/>
        <n v="0"/>
      </sharedItems>
    </cacheField>
    <cacheField name="湛江昨日出库商品件数" numFmtId="0">
      <sharedItems containsString="0" containsBlank="1" containsNumber="1" containsInteger="1" minValue="0" maxValue="0" count="2">
        <m/>
        <n v="0"/>
      </sharedItems>
    </cacheField>
    <cacheField name="湛江近7日出库商品件数" numFmtId="0">
      <sharedItems containsString="0" containsBlank="1" containsNumber="1" containsInteger="1" minValue="0" maxValue="32" count="2">
        <m/>
        <n v="32"/>
      </sharedItems>
    </cacheField>
    <cacheField name="湛江近14日出库商品件数" numFmtId="0">
      <sharedItems containsString="0" containsBlank="1" containsNumber="1" containsInteger="1" minValue="0" maxValue="35" count="2">
        <m/>
        <n v="35"/>
      </sharedItems>
    </cacheField>
    <cacheField name="湛江近28日出库商品件数" numFmtId="0">
      <sharedItems containsString="0" containsBlank="1" containsNumber="1" containsInteger="1" minValue="0" maxValue="53" count="2">
        <m/>
        <n v="53"/>
      </sharedItems>
    </cacheField>
    <cacheField name="北京北现货库存" numFmtId="0">
      <sharedItems containsString="0" containsBlank="1" containsNumber="1" containsInteger="1" minValue="0" maxValue="0" count="2">
        <m/>
        <n v="0"/>
      </sharedItems>
    </cacheField>
    <cacheField name="北京北采购未到货" numFmtId="0">
      <sharedItems containsString="0" containsBlank="1" containsNumber="1" containsInteger="1" minValue="0" maxValue="0" count="2">
        <m/>
        <n v="0"/>
      </sharedItems>
    </cacheField>
    <cacheField name="北京北昨日出库商品件数" numFmtId="0">
      <sharedItems containsString="0" containsBlank="1" containsNumber="1" containsInteger="1" minValue="0" maxValue="0" count="2">
        <m/>
        <n v="0"/>
      </sharedItems>
    </cacheField>
    <cacheField name="北京北近7日出库商品件数" numFmtId="0">
      <sharedItems containsString="0" containsBlank="1" containsNumber="1" containsInteger="1" minValue="0" maxValue="1" count="2">
        <m/>
        <n v="1"/>
      </sharedItems>
    </cacheField>
    <cacheField name="北京北近14日出库商品件数" numFmtId="0">
      <sharedItems containsString="0" containsBlank="1" containsNumber="1" containsInteger="1" minValue="0" maxValue="1" count="2">
        <m/>
        <n v="1"/>
      </sharedItems>
    </cacheField>
    <cacheField name="北京北近28日出库商品件数" numFmtId="0">
      <sharedItems containsString="0" containsBlank="1" containsNumber="1" containsInteger="1" minValue="0" maxValue="1" count="2">
        <m/>
        <n v="1"/>
      </sharedItems>
    </cacheField>
    <cacheField name="佛山城市现货库存" numFmtId="0">
      <sharedItems containsString="0" containsBlank="1" containsNumber="1" containsInteger="1" minValue="0" maxValue="4" count="3">
        <m/>
        <n v="0"/>
        <n v="4"/>
      </sharedItems>
    </cacheField>
    <cacheField name="佛山城市采购未到货" numFmtId="0">
      <sharedItems containsString="0" containsBlank="1" containsNumber="1" containsInteger="1" minValue="0" maxValue="0" count="2">
        <m/>
        <n v="0"/>
      </sharedItems>
    </cacheField>
    <cacheField name="佛山城市昨日出库商品件数" numFmtId="0">
      <sharedItems containsString="0" containsBlank="1" containsNumber="1" containsInteger="1" minValue="0" maxValue="0" count="2">
        <m/>
        <n v="0"/>
      </sharedItems>
    </cacheField>
    <cacheField name="佛山城市近7日出库商品件数" numFmtId="0">
      <sharedItems containsString="0" containsBlank="1" containsNumber="1" containsInteger="1" minValue="0" maxValue="18" count="3">
        <m/>
        <n v="0"/>
        <n v="18"/>
      </sharedItems>
    </cacheField>
    <cacheField name="佛山城市近14日出库商品件数" numFmtId="0">
      <sharedItems containsString="0" containsBlank="1" containsNumber="1" containsInteger="1" minValue="0" maxValue="38" count="3">
        <m/>
        <n v="14"/>
        <n v="38"/>
      </sharedItems>
    </cacheField>
    <cacheField name="佛山城市近28日出库商品件数" numFmtId="0">
      <sharedItems containsString="0" containsBlank="1" containsNumber="1" containsInteger="1" minValue="0" maxValue="58" count="3">
        <m/>
        <n v="14"/>
        <n v="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"/>
    <x v="2"/>
    <x v="0"/>
    <x v="1"/>
    <x v="2"/>
    <x v="2"/>
    <x v="2"/>
    <x v="2"/>
    <x v="2"/>
    <x v="2"/>
    <x v="2"/>
    <x v="0"/>
    <x v="2"/>
    <x v="2"/>
    <x v="2"/>
    <x v="2"/>
    <x v="2"/>
    <x v="2"/>
    <x v="2"/>
    <x v="2"/>
    <x v="2"/>
    <x v="2"/>
    <x v="2"/>
    <x v="0"/>
    <x v="2"/>
    <x v="2"/>
    <x v="2"/>
    <x v="2"/>
    <x v="0"/>
    <x v="0"/>
    <x v="0"/>
    <x v="0"/>
    <x v="0"/>
    <x v="0"/>
    <x v="2"/>
    <x v="2"/>
    <x v="2"/>
    <x v="2"/>
    <x v="2"/>
    <x v="2"/>
    <x v="1"/>
    <x v="1"/>
    <x v="1"/>
    <x v="1"/>
    <x v="1"/>
    <x v="1"/>
    <x v="2"/>
    <x v="0"/>
    <x v="2"/>
    <x v="2"/>
    <x v="2"/>
    <x v="2"/>
    <x v="1"/>
    <x v="1"/>
    <x v="1"/>
    <x v="1"/>
    <x v="1"/>
    <x v="1"/>
    <x v="2"/>
    <x v="1"/>
    <x v="2"/>
    <x v="2"/>
    <x v="2"/>
    <x v="2"/>
    <x v="0"/>
    <x v="0"/>
    <x v="0"/>
    <x v="0"/>
    <x v="0"/>
    <x v="0"/>
    <x v="0"/>
    <x v="0"/>
    <x v="0"/>
    <x v="0"/>
    <x v="0"/>
    <x v="0"/>
    <x v="2"/>
    <x v="0"/>
    <x v="2"/>
    <x v="2"/>
    <x v="2"/>
    <x v="2"/>
    <x v="1"/>
    <x v="1"/>
    <x v="1"/>
    <x v="1"/>
    <x v="1"/>
    <x v="1"/>
    <x v="2"/>
    <x v="1"/>
    <x v="2"/>
    <x v="2"/>
    <x v="2"/>
    <x v="2"/>
    <x v="1"/>
    <x v="1"/>
    <x v="1"/>
    <x v="1"/>
    <x v="1"/>
    <x v="1"/>
    <x v="2"/>
    <x v="2"/>
    <x v="2"/>
    <x v="2"/>
    <x v="2"/>
    <x v="2"/>
    <x v="2"/>
    <x v="2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2"/>
    <x v="2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2"/>
    <x v="2"/>
    <x v="2"/>
    <x v="2"/>
    <x v="2"/>
    <x v="2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2"/>
    <x v="2"/>
    <x v="2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2"/>
    <x v="2"/>
    <x v="2"/>
    <x v="2"/>
    <x v="2"/>
    <x v="0"/>
    <x v="0"/>
    <x v="0"/>
    <x v="0"/>
    <x v="0"/>
    <x v="0"/>
    <x v="2"/>
    <x v="1"/>
    <x v="2"/>
    <x v="2"/>
    <x v="2"/>
    <x v="2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</r>
  <r>
    <x v="0"/>
    <x v="3"/>
    <x v="3"/>
    <x v="0"/>
    <x v="2"/>
    <x v="3"/>
    <x v="3"/>
    <x v="3"/>
    <x v="3"/>
    <x v="3"/>
    <x v="3"/>
    <x v="3"/>
    <x v="0"/>
    <x v="3"/>
    <x v="3"/>
    <x v="3"/>
    <x v="3"/>
    <x v="3"/>
    <x v="0"/>
    <x v="3"/>
    <x v="3"/>
    <x v="3"/>
    <x v="3"/>
    <x v="3"/>
    <x v="1"/>
    <x v="3"/>
    <x v="3"/>
    <x v="3"/>
    <x v="3"/>
    <x v="2"/>
    <x v="0"/>
    <x v="2"/>
    <x v="2"/>
    <x v="2"/>
    <x v="2"/>
    <x v="0"/>
    <x v="0"/>
    <x v="0"/>
    <x v="0"/>
    <x v="0"/>
    <x v="0"/>
    <x v="1"/>
    <x v="1"/>
    <x v="1"/>
    <x v="1"/>
    <x v="1"/>
    <x v="1"/>
    <x v="3"/>
    <x v="0"/>
    <x v="3"/>
    <x v="3"/>
    <x v="3"/>
    <x v="3"/>
    <x v="0"/>
    <x v="0"/>
    <x v="0"/>
    <x v="0"/>
    <x v="0"/>
    <x v="0"/>
    <x v="2"/>
    <x v="1"/>
    <x v="2"/>
    <x v="3"/>
    <x v="3"/>
    <x v="3"/>
    <x v="0"/>
    <x v="0"/>
    <x v="0"/>
    <x v="0"/>
    <x v="0"/>
    <x v="0"/>
    <x v="0"/>
    <x v="0"/>
    <x v="0"/>
    <x v="0"/>
    <x v="0"/>
    <x v="0"/>
    <x v="3"/>
    <x v="0"/>
    <x v="0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3"/>
    <x v="1"/>
    <x v="3"/>
    <x v="3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</r>
  <r>
    <x v="0"/>
    <x v="4"/>
    <x v="4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5"/>
    <x v="5"/>
    <x v="0"/>
    <x v="4"/>
    <x v="4"/>
    <x v="4"/>
    <x v="4"/>
    <x v="4"/>
    <x v="4"/>
    <x v="4"/>
    <x v="4"/>
    <x v="0"/>
    <x v="4"/>
    <x v="4"/>
    <x v="4"/>
    <x v="4"/>
    <x v="0"/>
    <x v="3"/>
    <x v="4"/>
    <x v="4"/>
    <x v="4"/>
    <x v="4"/>
    <x v="4"/>
    <x v="0"/>
    <x v="4"/>
    <x v="4"/>
    <x v="4"/>
    <x v="4"/>
    <x v="1"/>
    <x v="1"/>
    <x v="1"/>
    <x v="1"/>
    <x v="1"/>
    <x v="1"/>
    <x v="3"/>
    <x v="2"/>
    <x v="3"/>
    <x v="3"/>
    <x v="3"/>
    <x v="3"/>
    <x v="1"/>
    <x v="1"/>
    <x v="1"/>
    <x v="1"/>
    <x v="1"/>
    <x v="1"/>
    <x v="4"/>
    <x v="2"/>
    <x v="4"/>
    <x v="4"/>
    <x v="4"/>
    <x v="4"/>
    <x v="1"/>
    <x v="1"/>
    <x v="1"/>
    <x v="1"/>
    <x v="1"/>
    <x v="1"/>
    <x v="3"/>
    <x v="1"/>
    <x v="2"/>
    <x v="4"/>
    <x v="4"/>
    <x v="4"/>
    <x v="1"/>
    <x v="1"/>
    <x v="1"/>
    <x v="1"/>
    <x v="1"/>
    <x v="1"/>
    <x v="1"/>
    <x v="1"/>
    <x v="1"/>
    <x v="1"/>
    <x v="1"/>
    <x v="1"/>
    <x v="4"/>
    <x v="0"/>
    <x v="3"/>
    <x v="4"/>
    <x v="4"/>
    <x v="4"/>
    <x v="1"/>
    <x v="1"/>
    <x v="1"/>
    <x v="1"/>
    <x v="1"/>
    <x v="1"/>
    <x v="3"/>
    <x v="1"/>
    <x v="3"/>
    <x v="3"/>
    <x v="3"/>
    <x v="3"/>
    <x v="1"/>
    <x v="1"/>
    <x v="1"/>
    <x v="1"/>
    <x v="1"/>
    <x v="1"/>
    <x v="3"/>
    <x v="2"/>
    <x v="3"/>
    <x v="3"/>
    <x v="3"/>
    <x v="3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3"/>
    <x v="1"/>
    <x v="3"/>
    <x v="3"/>
    <x v="3"/>
    <x v="3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3"/>
    <x v="3"/>
    <x v="3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1"/>
    <x v="1"/>
    <x v="1"/>
    <x v="2"/>
    <x v="2"/>
    <x v="2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3"/>
    <x v="2"/>
    <x v="3"/>
    <x v="3"/>
    <x v="3"/>
    <x v="3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4"/>
    <x v="2"/>
    <x v="4"/>
    <x v="4"/>
    <x v="4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3"/>
    <x v="3"/>
    <x v="3"/>
    <x v="0"/>
    <x v="0"/>
    <x v="0"/>
    <x v="0"/>
    <x v="0"/>
    <x v="0"/>
    <x v="3"/>
    <x v="1"/>
    <x v="3"/>
    <x v="3"/>
    <x v="3"/>
    <x v="3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6"/>
    <x v="0"/>
    <x v="4"/>
    <x v="5"/>
    <x v="5"/>
    <x v="5"/>
    <x v="5"/>
    <x v="5"/>
    <x v="5"/>
    <x v="5"/>
    <x v="0"/>
    <x v="5"/>
    <x v="5"/>
    <x v="5"/>
    <x v="5"/>
    <x v="4"/>
    <x v="4"/>
    <x v="5"/>
    <x v="5"/>
    <x v="4"/>
    <x v="5"/>
    <x v="5"/>
    <x v="0"/>
    <x v="5"/>
    <x v="5"/>
    <x v="5"/>
    <x v="5"/>
    <x v="1"/>
    <x v="1"/>
    <x v="1"/>
    <x v="1"/>
    <x v="1"/>
    <x v="1"/>
    <x v="4"/>
    <x v="2"/>
    <x v="4"/>
    <x v="4"/>
    <x v="4"/>
    <x v="4"/>
    <x v="1"/>
    <x v="1"/>
    <x v="1"/>
    <x v="1"/>
    <x v="1"/>
    <x v="1"/>
    <x v="5"/>
    <x v="3"/>
    <x v="5"/>
    <x v="5"/>
    <x v="5"/>
    <x v="5"/>
    <x v="1"/>
    <x v="1"/>
    <x v="1"/>
    <x v="1"/>
    <x v="1"/>
    <x v="1"/>
    <x v="4"/>
    <x v="1"/>
    <x v="2"/>
    <x v="5"/>
    <x v="5"/>
    <x v="5"/>
    <x v="0"/>
    <x v="0"/>
    <x v="0"/>
    <x v="0"/>
    <x v="0"/>
    <x v="0"/>
    <x v="1"/>
    <x v="1"/>
    <x v="1"/>
    <x v="1"/>
    <x v="1"/>
    <x v="1"/>
    <x v="5"/>
    <x v="0"/>
    <x v="4"/>
    <x v="5"/>
    <x v="5"/>
    <x v="5"/>
    <x v="1"/>
    <x v="1"/>
    <x v="1"/>
    <x v="1"/>
    <x v="1"/>
    <x v="1"/>
    <x v="4"/>
    <x v="1"/>
    <x v="2"/>
    <x v="4"/>
    <x v="4"/>
    <x v="4"/>
    <x v="0"/>
    <x v="0"/>
    <x v="0"/>
    <x v="0"/>
    <x v="0"/>
    <x v="0"/>
    <x v="4"/>
    <x v="2"/>
    <x v="4"/>
    <x v="4"/>
    <x v="4"/>
    <x v="4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4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4"/>
    <x v="4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4"/>
    <x v="4"/>
    <x v="4"/>
    <x v="4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5"/>
    <x v="1"/>
    <x v="5"/>
    <x v="5"/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4"/>
    <x v="4"/>
    <x v="4"/>
    <x v="0"/>
    <x v="0"/>
    <x v="0"/>
    <x v="0"/>
    <x v="0"/>
    <x v="0"/>
    <x v="4"/>
    <x v="1"/>
    <x v="1"/>
    <x v="4"/>
    <x v="4"/>
    <x v="4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1"/>
    <x v="2"/>
    <x v="2"/>
    <x v="2"/>
  </r>
  <r>
    <x v="0"/>
    <x v="7"/>
    <x v="7"/>
    <x v="0"/>
    <x v="5"/>
    <x v="6"/>
    <x v="6"/>
    <x v="6"/>
    <x v="6"/>
    <x v="6"/>
    <x v="6"/>
    <x v="6"/>
    <x v="0"/>
    <x v="6"/>
    <x v="6"/>
    <x v="6"/>
    <x v="6"/>
    <x v="5"/>
    <x v="0"/>
    <x v="6"/>
    <x v="6"/>
    <x v="5"/>
    <x v="6"/>
    <x v="6"/>
    <x v="2"/>
    <x v="6"/>
    <x v="6"/>
    <x v="6"/>
    <x v="6"/>
    <x v="3"/>
    <x v="0"/>
    <x v="3"/>
    <x v="3"/>
    <x v="3"/>
    <x v="3"/>
    <x v="0"/>
    <x v="0"/>
    <x v="0"/>
    <x v="0"/>
    <x v="0"/>
    <x v="0"/>
    <x v="1"/>
    <x v="1"/>
    <x v="1"/>
    <x v="1"/>
    <x v="1"/>
    <x v="1"/>
    <x v="6"/>
    <x v="0"/>
    <x v="6"/>
    <x v="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5"/>
    <x v="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4"/>
    <x v="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8"/>
    <x v="8"/>
    <x v="0"/>
    <x v="6"/>
    <x v="7"/>
    <x v="7"/>
    <x v="7"/>
    <x v="7"/>
    <x v="7"/>
    <x v="7"/>
    <x v="7"/>
    <x v="0"/>
    <x v="7"/>
    <x v="7"/>
    <x v="7"/>
    <x v="7"/>
    <x v="6"/>
    <x v="0"/>
    <x v="7"/>
    <x v="7"/>
    <x v="6"/>
    <x v="7"/>
    <x v="7"/>
    <x v="3"/>
    <x v="7"/>
    <x v="7"/>
    <x v="7"/>
    <x v="7"/>
    <x v="4"/>
    <x v="0"/>
    <x v="0"/>
    <x v="4"/>
    <x v="4"/>
    <x v="4"/>
    <x v="0"/>
    <x v="0"/>
    <x v="0"/>
    <x v="0"/>
    <x v="0"/>
    <x v="0"/>
    <x v="2"/>
    <x v="0"/>
    <x v="0"/>
    <x v="0"/>
    <x v="0"/>
    <x v="0"/>
    <x v="7"/>
    <x v="0"/>
    <x v="7"/>
    <x v="7"/>
    <x v="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0"/>
    <x v="5"/>
    <x v="7"/>
    <x v="7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1"/>
    <x v="6"/>
    <x v="7"/>
    <x v="7"/>
    <x v="7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9"/>
    <x v="9"/>
    <x v="0"/>
    <x v="7"/>
    <x v="8"/>
    <x v="0"/>
    <x v="8"/>
    <x v="8"/>
    <x v="8"/>
    <x v="8"/>
    <x v="8"/>
    <x v="0"/>
    <x v="8"/>
    <x v="8"/>
    <x v="8"/>
    <x v="8"/>
    <x v="7"/>
    <x v="0"/>
    <x v="4"/>
    <x v="8"/>
    <x v="7"/>
    <x v="8"/>
    <x v="8"/>
    <x v="0"/>
    <x v="8"/>
    <x v="8"/>
    <x v="8"/>
    <x v="8"/>
    <x v="5"/>
    <x v="0"/>
    <x v="3"/>
    <x v="5"/>
    <x v="5"/>
    <x v="5"/>
    <x v="0"/>
    <x v="0"/>
    <x v="0"/>
    <x v="0"/>
    <x v="0"/>
    <x v="0"/>
    <x v="0"/>
    <x v="0"/>
    <x v="0"/>
    <x v="0"/>
    <x v="0"/>
    <x v="0"/>
    <x v="8"/>
    <x v="0"/>
    <x v="6"/>
    <x v="8"/>
    <x v="8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5"/>
    <x v="8"/>
    <x v="8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8"/>
    <x v="1"/>
    <x v="7"/>
    <x v="8"/>
    <x v="8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0"/>
    <x v="10"/>
    <x v="0"/>
    <x v="8"/>
    <x v="9"/>
    <x v="8"/>
    <x v="9"/>
    <x v="9"/>
    <x v="9"/>
    <x v="9"/>
    <x v="9"/>
    <x v="0"/>
    <x v="9"/>
    <x v="9"/>
    <x v="9"/>
    <x v="9"/>
    <x v="8"/>
    <x v="0"/>
    <x v="8"/>
    <x v="9"/>
    <x v="8"/>
    <x v="9"/>
    <x v="9"/>
    <x v="0"/>
    <x v="5"/>
    <x v="9"/>
    <x v="9"/>
    <x v="9"/>
    <x v="0"/>
    <x v="0"/>
    <x v="0"/>
    <x v="0"/>
    <x v="0"/>
    <x v="0"/>
    <x v="5"/>
    <x v="2"/>
    <x v="5"/>
    <x v="5"/>
    <x v="5"/>
    <x v="5"/>
    <x v="0"/>
    <x v="0"/>
    <x v="0"/>
    <x v="0"/>
    <x v="0"/>
    <x v="0"/>
    <x v="9"/>
    <x v="3"/>
    <x v="8"/>
    <x v="9"/>
    <x v="9"/>
    <x v="9"/>
    <x v="1"/>
    <x v="1"/>
    <x v="1"/>
    <x v="1"/>
    <x v="1"/>
    <x v="1"/>
    <x v="5"/>
    <x v="1"/>
    <x v="2"/>
    <x v="5"/>
    <x v="6"/>
    <x v="6"/>
    <x v="1"/>
    <x v="1"/>
    <x v="1"/>
    <x v="1"/>
    <x v="1"/>
    <x v="1"/>
    <x v="1"/>
    <x v="1"/>
    <x v="1"/>
    <x v="1"/>
    <x v="1"/>
    <x v="1"/>
    <x v="9"/>
    <x v="0"/>
    <x v="2"/>
    <x v="9"/>
    <x v="9"/>
    <x v="9"/>
    <x v="0"/>
    <x v="0"/>
    <x v="0"/>
    <x v="0"/>
    <x v="0"/>
    <x v="0"/>
    <x v="2"/>
    <x v="1"/>
    <x v="2"/>
    <x v="5"/>
    <x v="5"/>
    <x v="5"/>
    <x v="1"/>
    <x v="1"/>
    <x v="1"/>
    <x v="1"/>
    <x v="1"/>
    <x v="1"/>
    <x v="5"/>
    <x v="3"/>
    <x v="5"/>
    <x v="5"/>
    <x v="5"/>
    <x v="5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5"/>
    <x v="5"/>
    <x v="5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5"/>
    <x v="5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5"/>
    <x v="2"/>
    <x v="4"/>
    <x v="5"/>
    <x v="5"/>
    <x v="5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9"/>
    <x v="3"/>
    <x v="8"/>
    <x v="9"/>
    <x v="9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1"/>
    <x v="5"/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11"/>
    <x v="0"/>
    <x v="9"/>
    <x v="10"/>
    <x v="0"/>
    <x v="10"/>
    <x v="10"/>
    <x v="10"/>
    <x v="10"/>
    <x v="10"/>
    <x v="0"/>
    <x v="10"/>
    <x v="10"/>
    <x v="10"/>
    <x v="10"/>
    <x v="9"/>
    <x v="0"/>
    <x v="6"/>
    <x v="10"/>
    <x v="9"/>
    <x v="10"/>
    <x v="10"/>
    <x v="0"/>
    <x v="9"/>
    <x v="4"/>
    <x v="10"/>
    <x v="10"/>
    <x v="6"/>
    <x v="0"/>
    <x v="0"/>
    <x v="6"/>
    <x v="6"/>
    <x v="6"/>
    <x v="0"/>
    <x v="0"/>
    <x v="0"/>
    <x v="0"/>
    <x v="0"/>
    <x v="0"/>
    <x v="0"/>
    <x v="0"/>
    <x v="0"/>
    <x v="0"/>
    <x v="0"/>
    <x v="0"/>
    <x v="10"/>
    <x v="0"/>
    <x v="9"/>
    <x v="10"/>
    <x v="1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0"/>
    <x v="0"/>
    <x v="0"/>
    <x v="10"/>
    <x v="8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1"/>
    <x v="7"/>
    <x v="10"/>
    <x v="1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2"/>
    <x v="12"/>
    <x v="0"/>
    <x v="10"/>
    <x v="11"/>
    <x v="9"/>
    <x v="11"/>
    <x v="11"/>
    <x v="11"/>
    <x v="11"/>
    <x v="11"/>
    <x v="0"/>
    <x v="6"/>
    <x v="11"/>
    <x v="11"/>
    <x v="11"/>
    <x v="0"/>
    <x v="0"/>
    <x v="0"/>
    <x v="11"/>
    <x v="10"/>
    <x v="11"/>
    <x v="11"/>
    <x v="4"/>
    <x v="10"/>
    <x v="10"/>
    <x v="11"/>
    <x v="11"/>
    <x v="0"/>
    <x v="0"/>
    <x v="0"/>
    <x v="3"/>
    <x v="7"/>
    <x v="7"/>
    <x v="0"/>
    <x v="0"/>
    <x v="0"/>
    <x v="0"/>
    <x v="0"/>
    <x v="0"/>
    <x v="1"/>
    <x v="1"/>
    <x v="1"/>
    <x v="1"/>
    <x v="1"/>
    <x v="1"/>
    <x v="11"/>
    <x v="0"/>
    <x v="10"/>
    <x v="11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0"/>
    <x v="0"/>
    <x v="11"/>
    <x v="10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1"/>
    <x v="4"/>
    <x v="11"/>
    <x v="7"/>
    <x v="1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3"/>
    <x v="13"/>
    <x v="0"/>
    <x v="11"/>
    <x v="12"/>
    <x v="6"/>
    <x v="12"/>
    <x v="12"/>
    <x v="12"/>
    <x v="12"/>
    <x v="12"/>
    <x v="0"/>
    <x v="7"/>
    <x v="12"/>
    <x v="12"/>
    <x v="12"/>
    <x v="0"/>
    <x v="0"/>
    <x v="0"/>
    <x v="0"/>
    <x v="0"/>
    <x v="0"/>
    <x v="12"/>
    <x v="2"/>
    <x v="11"/>
    <x v="11"/>
    <x v="12"/>
    <x v="12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2"/>
    <x v="0"/>
    <x v="10"/>
    <x v="12"/>
    <x v="1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1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4"/>
    <x v="14"/>
    <x v="0"/>
    <x v="4"/>
    <x v="13"/>
    <x v="10"/>
    <x v="13"/>
    <x v="13"/>
    <x v="13"/>
    <x v="13"/>
    <x v="13"/>
    <x v="0"/>
    <x v="0"/>
    <x v="13"/>
    <x v="13"/>
    <x v="13"/>
    <x v="0"/>
    <x v="5"/>
    <x v="0"/>
    <x v="0"/>
    <x v="0"/>
    <x v="0"/>
    <x v="13"/>
    <x v="0"/>
    <x v="10"/>
    <x v="12"/>
    <x v="13"/>
    <x v="13"/>
    <x v="1"/>
    <x v="1"/>
    <x v="1"/>
    <x v="1"/>
    <x v="1"/>
    <x v="1"/>
    <x v="6"/>
    <x v="2"/>
    <x v="6"/>
    <x v="6"/>
    <x v="6"/>
    <x v="6"/>
    <x v="1"/>
    <x v="1"/>
    <x v="1"/>
    <x v="1"/>
    <x v="1"/>
    <x v="1"/>
    <x v="13"/>
    <x v="2"/>
    <x v="11"/>
    <x v="12"/>
    <x v="13"/>
    <x v="13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2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3"/>
    <x v="3"/>
    <x v="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3"/>
    <x v="1"/>
    <x v="3"/>
    <x v="6"/>
    <x v="6"/>
    <x v="6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2"/>
    <x v="1"/>
    <x v="2"/>
    <x v="6"/>
    <x v="6"/>
    <x v="6"/>
    <x v="1"/>
    <x v="1"/>
    <x v="1"/>
    <x v="1"/>
    <x v="1"/>
    <x v="1"/>
    <x v="0"/>
    <x v="0"/>
    <x v="0"/>
    <x v="0"/>
    <x v="0"/>
    <x v="0"/>
    <x v="1"/>
    <x v="1"/>
    <x v="1"/>
    <x v="1"/>
    <x v="1"/>
    <x v="3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6"/>
    <x v="2"/>
    <x v="3"/>
    <x v="6"/>
    <x v="6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8"/>
    <x v="4"/>
    <x v="7"/>
    <x v="8"/>
    <x v="11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5"/>
    <x v="15"/>
    <x v="0"/>
    <x v="4"/>
    <x v="14"/>
    <x v="11"/>
    <x v="14"/>
    <x v="14"/>
    <x v="14"/>
    <x v="14"/>
    <x v="14"/>
    <x v="0"/>
    <x v="11"/>
    <x v="14"/>
    <x v="14"/>
    <x v="12"/>
    <x v="10"/>
    <x v="5"/>
    <x v="0"/>
    <x v="12"/>
    <x v="11"/>
    <x v="12"/>
    <x v="14"/>
    <x v="0"/>
    <x v="0"/>
    <x v="13"/>
    <x v="14"/>
    <x v="14"/>
    <x v="0"/>
    <x v="0"/>
    <x v="0"/>
    <x v="0"/>
    <x v="0"/>
    <x v="0"/>
    <x v="7"/>
    <x v="2"/>
    <x v="6"/>
    <x v="7"/>
    <x v="7"/>
    <x v="7"/>
    <x v="0"/>
    <x v="0"/>
    <x v="0"/>
    <x v="0"/>
    <x v="0"/>
    <x v="0"/>
    <x v="14"/>
    <x v="2"/>
    <x v="9"/>
    <x v="10"/>
    <x v="14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0"/>
    <x v="0"/>
    <x v="0"/>
    <x v="11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3"/>
    <x v="3"/>
    <x v="7"/>
    <x v="7"/>
    <x v="7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3"/>
    <x v="7"/>
    <x v="7"/>
    <x v="7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6"/>
    <x v="1"/>
    <x v="2"/>
    <x v="7"/>
    <x v="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7"/>
    <x v="2"/>
    <x v="3"/>
    <x v="6"/>
    <x v="6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1"/>
    <x v="4"/>
    <x v="12"/>
    <x v="1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6"/>
    <x v="16"/>
    <x v="0"/>
    <x v="12"/>
    <x v="15"/>
    <x v="12"/>
    <x v="14"/>
    <x v="14"/>
    <x v="15"/>
    <x v="15"/>
    <x v="15"/>
    <x v="0"/>
    <x v="11"/>
    <x v="15"/>
    <x v="15"/>
    <x v="14"/>
    <x v="0"/>
    <x v="0"/>
    <x v="0"/>
    <x v="0"/>
    <x v="0"/>
    <x v="0"/>
    <x v="15"/>
    <x v="5"/>
    <x v="12"/>
    <x v="14"/>
    <x v="15"/>
    <x v="1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5"/>
    <x v="0"/>
    <x v="0"/>
    <x v="13"/>
    <x v="15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8"/>
    <x v="1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7"/>
    <x v="17"/>
    <x v="0"/>
    <x v="13"/>
    <x v="16"/>
    <x v="0"/>
    <x v="15"/>
    <x v="15"/>
    <x v="16"/>
    <x v="16"/>
    <x v="16"/>
    <x v="0"/>
    <x v="0"/>
    <x v="16"/>
    <x v="16"/>
    <x v="15"/>
    <x v="0"/>
    <x v="0"/>
    <x v="0"/>
    <x v="0"/>
    <x v="0"/>
    <x v="13"/>
    <x v="16"/>
    <x v="0"/>
    <x v="5"/>
    <x v="15"/>
    <x v="16"/>
    <x v="15"/>
    <x v="0"/>
    <x v="0"/>
    <x v="0"/>
    <x v="0"/>
    <x v="0"/>
    <x v="8"/>
    <x v="0"/>
    <x v="0"/>
    <x v="0"/>
    <x v="0"/>
    <x v="0"/>
    <x v="0"/>
    <x v="1"/>
    <x v="1"/>
    <x v="1"/>
    <x v="1"/>
    <x v="1"/>
    <x v="1"/>
    <x v="16"/>
    <x v="0"/>
    <x v="0"/>
    <x v="14"/>
    <x v="16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3"/>
    <x v="1"/>
    <x v="7"/>
    <x v="13"/>
    <x v="13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8"/>
    <x v="18"/>
    <x v="0"/>
    <x v="14"/>
    <x v="17"/>
    <x v="13"/>
    <x v="13"/>
    <x v="16"/>
    <x v="17"/>
    <x v="17"/>
    <x v="17"/>
    <x v="0"/>
    <x v="0"/>
    <x v="17"/>
    <x v="14"/>
    <x v="16"/>
    <x v="0"/>
    <x v="5"/>
    <x v="0"/>
    <x v="0"/>
    <x v="0"/>
    <x v="14"/>
    <x v="17"/>
    <x v="0"/>
    <x v="13"/>
    <x v="16"/>
    <x v="17"/>
    <x v="16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7"/>
    <x v="0"/>
    <x v="0"/>
    <x v="15"/>
    <x v="17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0"/>
    <x v="0"/>
    <x v="0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3"/>
    <x v="3"/>
    <x v="7"/>
    <x v="8"/>
    <x v="8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1"/>
    <x v="3"/>
    <x v="8"/>
    <x v="6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1"/>
    <x v="2"/>
    <x v="8"/>
    <x v="8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1"/>
    <x v="7"/>
    <x v="14"/>
    <x v="14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9"/>
    <x v="19"/>
    <x v="0"/>
    <x v="15"/>
    <x v="18"/>
    <x v="0"/>
    <x v="13"/>
    <x v="17"/>
    <x v="18"/>
    <x v="18"/>
    <x v="18"/>
    <x v="0"/>
    <x v="0"/>
    <x v="18"/>
    <x v="15"/>
    <x v="12"/>
    <x v="0"/>
    <x v="0"/>
    <x v="0"/>
    <x v="0"/>
    <x v="0"/>
    <x v="0"/>
    <x v="18"/>
    <x v="0"/>
    <x v="10"/>
    <x v="17"/>
    <x v="18"/>
    <x v="17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8"/>
    <x v="0"/>
    <x v="0"/>
    <x v="16"/>
    <x v="18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1"/>
    <x v="4"/>
    <x v="15"/>
    <x v="15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0"/>
    <x v="20"/>
    <x v="0"/>
    <x v="4"/>
    <x v="19"/>
    <x v="14"/>
    <x v="0"/>
    <x v="18"/>
    <x v="19"/>
    <x v="19"/>
    <x v="0"/>
    <x v="0"/>
    <x v="0"/>
    <x v="0"/>
    <x v="0"/>
    <x v="0"/>
    <x v="0"/>
    <x v="5"/>
    <x v="0"/>
    <x v="0"/>
    <x v="12"/>
    <x v="15"/>
    <x v="19"/>
    <x v="0"/>
    <x v="0"/>
    <x v="18"/>
    <x v="19"/>
    <x v="18"/>
    <x v="0"/>
    <x v="0"/>
    <x v="0"/>
    <x v="0"/>
    <x v="0"/>
    <x v="0"/>
    <x v="8"/>
    <x v="2"/>
    <x v="6"/>
    <x v="8"/>
    <x v="8"/>
    <x v="8"/>
    <x v="0"/>
    <x v="0"/>
    <x v="0"/>
    <x v="0"/>
    <x v="0"/>
    <x v="0"/>
    <x v="0"/>
    <x v="2"/>
    <x v="0"/>
    <x v="0"/>
    <x v="0"/>
    <x v="19"/>
    <x v="0"/>
    <x v="0"/>
    <x v="0"/>
    <x v="0"/>
    <x v="0"/>
    <x v="0"/>
    <x v="3"/>
    <x v="1"/>
    <x v="2"/>
    <x v="6"/>
    <x v="7"/>
    <x v="7"/>
    <x v="0"/>
    <x v="0"/>
    <x v="0"/>
    <x v="0"/>
    <x v="0"/>
    <x v="0"/>
    <x v="1"/>
    <x v="1"/>
    <x v="1"/>
    <x v="1"/>
    <x v="1"/>
    <x v="1"/>
    <x v="13"/>
    <x v="0"/>
    <x v="0"/>
    <x v="13"/>
    <x v="13"/>
    <x v="15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9"/>
    <x v="4"/>
    <x v="3"/>
    <x v="8"/>
    <x v="9"/>
    <x v="9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"/>
    <x v="9"/>
    <x v="8"/>
    <x v="9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2"/>
    <x v="8"/>
    <x v="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8"/>
    <x v="2"/>
    <x v="3"/>
    <x v="6"/>
    <x v="7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8"/>
    <x v="4"/>
    <x v="7"/>
    <x v="8"/>
    <x v="11"/>
    <x v="1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1"/>
    <x v="21"/>
    <x v="0"/>
    <x v="16"/>
    <x v="20"/>
    <x v="0"/>
    <x v="16"/>
    <x v="18"/>
    <x v="20"/>
    <x v="20"/>
    <x v="19"/>
    <x v="0"/>
    <x v="0"/>
    <x v="18"/>
    <x v="17"/>
    <x v="17"/>
    <x v="0"/>
    <x v="0"/>
    <x v="0"/>
    <x v="0"/>
    <x v="13"/>
    <x v="16"/>
    <x v="20"/>
    <x v="0"/>
    <x v="10"/>
    <x v="16"/>
    <x v="14"/>
    <x v="19"/>
    <x v="0"/>
    <x v="0"/>
    <x v="0"/>
    <x v="7"/>
    <x v="8"/>
    <x v="9"/>
    <x v="0"/>
    <x v="0"/>
    <x v="0"/>
    <x v="0"/>
    <x v="0"/>
    <x v="0"/>
    <x v="1"/>
    <x v="1"/>
    <x v="1"/>
    <x v="1"/>
    <x v="1"/>
    <x v="1"/>
    <x v="19"/>
    <x v="0"/>
    <x v="9"/>
    <x v="17"/>
    <x v="19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1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2"/>
    <x v="22"/>
    <x v="0"/>
    <x v="15"/>
    <x v="21"/>
    <x v="0"/>
    <x v="14"/>
    <x v="19"/>
    <x v="21"/>
    <x v="21"/>
    <x v="20"/>
    <x v="0"/>
    <x v="0"/>
    <x v="16"/>
    <x v="15"/>
    <x v="18"/>
    <x v="0"/>
    <x v="0"/>
    <x v="0"/>
    <x v="0"/>
    <x v="0"/>
    <x v="0"/>
    <x v="21"/>
    <x v="0"/>
    <x v="5"/>
    <x v="19"/>
    <x v="20"/>
    <x v="20"/>
    <x v="7"/>
    <x v="0"/>
    <x v="0"/>
    <x v="8"/>
    <x v="9"/>
    <x v="10"/>
    <x v="0"/>
    <x v="0"/>
    <x v="0"/>
    <x v="0"/>
    <x v="0"/>
    <x v="0"/>
    <x v="1"/>
    <x v="1"/>
    <x v="1"/>
    <x v="1"/>
    <x v="1"/>
    <x v="1"/>
    <x v="12"/>
    <x v="0"/>
    <x v="12"/>
    <x v="13"/>
    <x v="20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1"/>
    <x v="7"/>
    <x v="15"/>
    <x v="16"/>
    <x v="1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3"/>
    <x v="23"/>
    <x v="0"/>
    <x v="17"/>
    <x v="22"/>
    <x v="11"/>
    <x v="14"/>
    <x v="20"/>
    <x v="21"/>
    <x v="22"/>
    <x v="0"/>
    <x v="0"/>
    <x v="0"/>
    <x v="0"/>
    <x v="0"/>
    <x v="0"/>
    <x v="0"/>
    <x v="5"/>
    <x v="0"/>
    <x v="0"/>
    <x v="0"/>
    <x v="17"/>
    <x v="22"/>
    <x v="0"/>
    <x v="13"/>
    <x v="20"/>
    <x v="21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2"/>
    <x v="0"/>
    <x v="18"/>
    <x v="13"/>
    <x v="2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6"/>
    <x v="0"/>
    <x v="5"/>
    <x v="13"/>
    <x v="11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8"/>
    <x v="1"/>
    <x v="3"/>
    <x v="10"/>
    <x v="9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2"/>
    <x v="3"/>
    <x v="7"/>
    <x v="6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1"/>
    <x v="9"/>
    <x v="16"/>
    <x v="17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4"/>
    <x v="24"/>
    <x v="0"/>
    <x v="6"/>
    <x v="23"/>
    <x v="0"/>
    <x v="13"/>
    <x v="21"/>
    <x v="21"/>
    <x v="23"/>
    <x v="21"/>
    <x v="0"/>
    <x v="0"/>
    <x v="16"/>
    <x v="16"/>
    <x v="17"/>
    <x v="0"/>
    <x v="0"/>
    <x v="0"/>
    <x v="0"/>
    <x v="12"/>
    <x v="18"/>
    <x v="23"/>
    <x v="0"/>
    <x v="10"/>
    <x v="21"/>
    <x v="14"/>
    <x v="22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21"/>
    <x v="0"/>
    <x v="11"/>
    <x v="16"/>
    <x v="16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1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5"/>
    <x v="25"/>
    <x v="0"/>
    <x v="18"/>
    <x v="24"/>
    <x v="0"/>
    <x v="0"/>
    <x v="21"/>
    <x v="22"/>
    <x v="24"/>
    <x v="22"/>
    <x v="0"/>
    <x v="0"/>
    <x v="0"/>
    <x v="16"/>
    <x v="19"/>
    <x v="0"/>
    <x v="0"/>
    <x v="0"/>
    <x v="0"/>
    <x v="0"/>
    <x v="0"/>
    <x v="24"/>
    <x v="0"/>
    <x v="0"/>
    <x v="22"/>
    <x v="22"/>
    <x v="23"/>
    <x v="0"/>
    <x v="0"/>
    <x v="0"/>
    <x v="0"/>
    <x v="9"/>
    <x v="11"/>
    <x v="0"/>
    <x v="0"/>
    <x v="0"/>
    <x v="0"/>
    <x v="0"/>
    <x v="0"/>
    <x v="0"/>
    <x v="0"/>
    <x v="0"/>
    <x v="0"/>
    <x v="0"/>
    <x v="0"/>
    <x v="13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1"/>
    <x v="7"/>
    <x v="16"/>
    <x v="17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6"/>
    <x v="26"/>
    <x v="0"/>
    <x v="19"/>
    <x v="25"/>
    <x v="0"/>
    <x v="0"/>
    <x v="22"/>
    <x v="23"/>
    <x v="25"/>
    <x v="19"/>
    <x v="0"/>
    <x v="0"/>
    <x v="0"/>
    <x v="0"/>
    <x v="0"/>
    <x v="11"/>
    <x v="0"/>
    <x v="0"/>
    <x v="0"/>
    <x v="0"/>
    <x v="19"/>
    <x v="25"/>
    <x v="0"/>
    <x v="0"/>
    <x v="21"/>
    <x v="23"/>
    <x v="24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22"/>
    <x v="0"/>
    <x v="0"/>
    <x v="14"/>
    <x v="21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9"/>
    <x v="1"/>
    <x v="7"/>
    <x v="13"/>
    <x v="13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7"/>
    <x v="27"/>
    <x v="0"/>
    <x v="20"/>
    <x v="26"/>
    <x v="0"/>
    <x v="17"/>
    <x v="23"/>
    <x v="24"/>
    <x v="26"/>
    <x v="23"/>
    <x v="0"/>
    <x v="11"/>
    <x v="18"/>
    <x v="17"/>
    <x v="20"/>
    <x v="12"/>
    <x v="0"/>
    <x v="0"/>
    <x v="0"/>
    <x v="12"/>
    <x v="19"/>
    <x v="26"/>
    <x v="0"/>
    <x v="0"/>
    <x v="16"/>
    <x v="20"/>
    <x v="25"/>
    <x v="8"/>
    <x v="0"/>
    <x v="0"/>
    <x v="0"/>
    <x v="0"/>
    <x v="12"/>
    <x v="0"/>
    <x v="0"/>
    <x v="0"/>
    <x v="0"/>
    <x v="0"/>
    <x v="0"/>
    <x v="1"/>
    <x v="1"/>
    <x v="1"/>
    <x v="1"/>
    <x v="1"/>
    <x v="1"/>
    <x v="23"/>
    <x v="0"/>
    <x v="0"/>
    <x v="14"/>
    <x v="16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1"/>
    <x v="7"/>
    <x v="16"/>
    <x v="17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8"/>
    <x v="28"/>
    <x v="0"/>
    <x v="4"/>
    <x v="27"/>
    <x v="15"/>
    <x v="15"/>
    <x v="24"/>
    <x v="25"/>
    <x v="27"/>
    <x v="0"/>
    <x v="0"/>
    <x v="0"/>
    <x v="0"/>
    <x v="0"/>
    <x v="0"/>
    <x v="0"/>
    <x v="5"/>
    <x v="0"/>
    <x v="0"/>
    <x v="0"/>
    <x v="0"/>
    <x v="27"/>
    <x v="0"/>
    <x v="13"/>
    <x v="20"/>
    <x v="24"/>
    <x v="26"/>
    <x v="1"/>
    <x v="1"/>
    <x v="1"/>
    <x v="1"/>
    <x v="1"/>
    <x v="1"/>
    <x v="9"/>
    <x v="2"/>
    <x v="6"/>
    <x v="7"/>
    <x v="9"/>
    <x v="9"/>
    <x v="1"/>
    <x v="1"/>
    <x v="1"/>
    <x v="1"/>
    <x v="1"/>
    <x v="1"/>
    <x v="24"/>
    <x v="0"/>
    <x v="0"/>
    <x v="19"/>
    <x v="15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x v="3"/>
    <x v="6"/>
    <x v="8"/>
    <x v="10"/>
    <x v="1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3"/>
    <x v="1"/>
    <x v="3"/>
    <x v="10"/>
    <x v="9"/>
    <x v="1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0"/>
    <x v="2"/>
    <x v="3"/>
    <x v="6"/>
    <x v="7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4"/>
    <x v="7"/>
    <x v="8"/>
    <x v="11"/>
    <x v="2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9"/>
    <x v="29"/>
    <x v="0"/>
    <x v="21"/>
    <x v="28"/>
    <x v="15"/>
    <x v="13"/>
    <x v="25"/>
    <x v="26"/>
    <x v="28"/>
    <x v="24"/>
    <x v="2"/>
    <x v="12"/>
    <x v="19"/>
    <x v="18"/>
    <x v="21"/>
    <x v="0"/>
    <x v="5"/>
    <x v="0"/>
    <x v="0"/>
    <x v="0"/>
    <x v="0"/>
    <x v="28"/>
    <x v="0"/>
    <x v="13"/>
    <x v="20"/>
    <x v="25"/>
    <x v="27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3"/>
    <x v="0"/>
    <x v="0"/>
    <x v="22"/>
    <x v="2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0"/>
    <x v="0"/>
    <x v="0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0"/>
    <x v="1"/>
    <x v="7"/>
    <x v="17"/>
    <x v="18"/>
    <x v="22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0"/>
    <x v="30"/>
    <x v="0"/>
    <x v="22"/>
    <x v="29"/>
    <x v="0"/>
    <x v="13"/>
    <x v="26"/>
    <x v="27"/>
    <x v="27"/>
    <x v="22"/>
    <x v="0"/>
    <x v="0"/>
    <x v="18"/>
    <x v="19"/>
    <x v="20"/>
    <x v="0"/>
    <x v="0"/>
    <x v="0"/>
    <x v="0"/>
    <x v="0"/>
    <x v="0"/>
    <x v="29"/>
    <x v="0"/>
    <x v="10"/>
    <x v="13"/>
    <x v="20"/>
    <x v="1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5"/>
    <x v="0"/>
    <x v="0"/>
    <x v="0"/>
    <x v="0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1"/>
    <x v="1"/>
    <x v="4"/>
    <x v="13"/>
    <x v="17"/>
    <x v="23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1"/>
    <x v="31"/>
    <x v="0"/>
    <x v="4"/>
    <x v="30"/>
    <x v="16"/>
    <x v="17"/>
    <x v="27"/>
    <x v="28"/>
    <x v="29"/>
    <x v="0"/>
    <x v="0"/>
    <x v="0"/>
    <x v="0"/>
    <x v="0"/>
    <x v="22"/>
    <x v="0"/>
    <x v="5"/>
    <x v="0"/>
    <x v="0"/>
    <x v="0"/>
    <x v="0"/>
    <x v="30"/>
    <x v="0"/>
    <x v="10"/>
    <x v="23"/>
    <x v="25"/>
    <x v="28"/>
    <x v="0"/>
    <x v="0"/>
    <x v="0"/>
    <x v="0"/>
    <x v="0"/>
    <x v="0"/>
    <x v="10"/>
    <x v="2"/>
    <x v="6"/>
    <x v="9"/>
    <x v="10"/>
    <x v="10"/>
    <x v="0"/>
    <x v="0"/>
    <x v="0"/>
    <x v="0"/>
    <x v="0"/>
    <x v="0"/>
    <x v="26"/>
    <x v="0"/>
    <x v="0"/>
    <x v="14"/>
    <x v="18"/>
    <x v="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8"/>
    <x v="0"/>
    <x v="0"/>
    <x v="0"/>
    <x v="13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5"/>
    <x v="3"/>
    <x v="3"/>
    <x v="3"/>
    <x v="1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9"/>
    <x v="1"/>
    <x v="3"/>
    <x v="6"/>
    <x v="10"/>
    <x v="12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4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2"/>
    <x v="32"/>
    <x v="0"/>
    <x v="23"/>
    <x v="31"/>
    <x v="0"/>
    <x v="17"/>
    <x v="28"/>
    <x v="27"/>
    <x v="30"/>
    <x v="25"/>
    <x v="0"/>
    <x v="0"/>
    <x v="16"/>
    <x v="19"/>
    <x v="23"/>
    <x v="13"/>
    <x v="0"/>
    <x v="0"/>
    <x v="0"/>
    <x v="12"/>
    <x v="20"/>
    <x v="31"/>
    <x v="0"/>
    <x v="10"/>
    <x v="20"/>
    <x v="26"/>
    <x v="29"/>
    <x v="9"/>
    <x v="0"/>
    <x v="0"/>
    <x v="0"/>
    <x v="10"/>
    <x v="13"/>
    <x v="0"/>
    <x v="0"/>
    <x v="0"/>
    <x v="0"/>
    <x v="0"/>
    <x v="0"/>
    <x v="1"/>
    <x v="1"/>
    <x v="1"/>
    <x v="1"/>
    <x v="1"/>
    <x v="1"/>
    <x v="27"/>
    <x v="0"/>
    <x v="0"/>
    <x v="0"/>
    <x v="22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2"/>
    <x v="1"/>
    <x v="7"/>
    <x v="8"/>
    <x v="13"/>
    <x v="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3"/>
    <x v="33"/>
    <x v="0"/>
    <x v="24"/>
    <x v="32"/>
    <x v="0"/>
    <x v="0"/>
    <x v="28"/>
    <x v="28"/>
    <x v="31"/>
    <x v="26"/>
    <x v="0"/>
    <x v="0"/>
    <x v="16"/>
    <x v="16"/>
    <x v="17"/>
    <x v="0"/>
    <x v="0"/>
    <x v="0"/>
    <x v="0"/>
    <x v="0"/>
    <x v="0"/>
    <x v="21"/>
    <x v="0"/>
    <x v="0"/>
    <x v="20"/>
    <x v="20"/>
    <x v="30"/>
    <x v="10"/>
    <x v="0"/>
    <x v="0"/>
    <x v="0"/>
    <x v="0"/>
    <x v="14"/>
    <x v="0"/>
    <x v="0"/>
    <x v="0"/>
    <x v="0"/>
    <x v="0"/>
    <x v="0"/>
    <x v="1"/>
    <x v="1"/>
    <x v="1"/>
    <x v="1"/>
    <x v="1"/>
    <x v="1"/>
    <x v="28"/>
    <x v="0"/>
    <x v="0"/>
    <x v="0"/>
    <x v="22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8"/>
    <x v="1"/>
    <x v="7"/>
    <x v="8"/>
    <x v="13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4"/>
    <x v="34"/>
    <x v="0"/>
    <x v="25"/>
    <x v="33"/>
    <x v="0"/>
    <x v="0"/>
    <x v="28"/>
    <x v="29"/>
    <x v="32"/>
    <x v="0"/>
    <x v="0"/>
    <x v="0"/>
    <x v="0"/>
    <x v="0"/>
    <x v="0"/>
    <x v="0"/>
    <x v="0"/>
    <x v="0"/>
    <x v="0"/>
    <x v="0"/>
    <x v="0"/>
    <x v="32"/>
    <x v="0"/>
    <x v="0"/>
    <x v="20"/>
    <x v="21"/>
    <x v="31"/>
    <x v="11"/>
    <x v="0"/>
    <x v="0"/>
    <x v="8"/>
    <x v="11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5"/>
    <x v="35"/>
    <x v="0"/>
    <x v="17"/>
    <x v="34"/>
    <x v="0"/>
    <x v="0"/>
    <x v="28"/>
    <x v="30"/>
    <x v="33"/>
    <x v="0"/>
    <x v="0"/>
    <x v="0"/>
    <x v="0"/>
    <x v="0"/>
    <x v="0"/>
    <x v="0"/>
    <x v="0"/>
    <x v="0"/>
    <x v="0"/>
    <x v="0"/>
    <x v="0"/>
    <x v="27"/>
    <x v="0"/>
    <x v="0"/>
    <x v="20"/>
    <x v="24"/>
    <x v="2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9"/>
    <x v="0"/>
    <x v="0"/>
    <x v="20"/>
    <x v="21"/>
    <x v="2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3"/>
    <x v="10"/>
    <x v="9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2"/>
    <x v="3"/>
    <x v="6"/>
    <x v="7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1"/>
    <x v="7"/>
    <x v="8"/>
    <x v="11"/>
    <x v="1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6"/>
    <x v="36"/>
    <x v="0"/>
    <x v="26"/>
    <x v="35"/>
    <x v="0"/>
    <x v="0"/>
    <x v="29"/>
    <x v="31"/>
    <x v="34"/>
    <x v="0"/>
    <x v="0"/>
    <x v="0"/>
    <x v="0"/>
    <x v="0"/>
    <x v="0"/>
    <x v="0"/>
    <x v="0"/>
    <x v="0"/>
    <x v="0"/>
    <x v="0"/>
    <x v="0"/>
    <x v="33"/>
    <x v="0"/>
    <x v="0"/>
    <x v="20"/>
    <x v="25"/>
    <x v="27"/>
    <x v="12"/>
    <x v="0"/>
    <x v="0"/>
    <x v="0"/>
    <x v="10"/>
    <x v="1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7"/>
    <x v="37"/>
    <x v="0"/>
    <x v="27"/>
    <x v="36"/>
    <x v="0"/>
    <x v="0"/>
    <x v="29"/>
    <x v="26"/>
    <x v="35"/>
    <x v="19"/>
    <x v="0"/>
    <x v="0"/>
    <x v="18"/>
    <x v="17"/>
    <x v="24"/>
    <x v="0"/>
    <x v="0"/>
    <x v="0"/>
    <x v="0"/>
    <x v="0"/>
    <x v="0"/>
    <x v="34"/>
    <x v="0"/>
    <x v="0"/>
    <x v="0"/>
    <x v="20"/>
    <x v="3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5"/>
    <x v="1"/>
    <x v="7"/>
    <x v="8"/>
    <x v="11"/>
    <x v="25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8"/>
    <x v="38"/>
    <x v="0"/>
    <x v="28"/>
    <x v="37"/>
    <x v="0"/>
    <x v="0"/>
    <x v="29"/>
    <x v="32"/>
    <x v="36"/>
    <x v="25"/>
    <x v="0"/>
    <x v="0"/>
    <x v="0"/>
    <x v="0"/>
    <x v="0"/>
    <x v="0"/>
    <x v="0"/>
    <x v="0"/>
    <x v="0"/>
    <x v="0"/>
    <x v="0"/>
    <x v="35"/>
    <x v="0"/>
    <x v="0"/>
    <x v="0"/>
    <x v="27"/>
    <x v="3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7"/>
    <x v="0"/>
    <x v="0"/>
    <x v="20"/>
    <x v="22"/>
    <x v="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3"/>
    <x v="1"/>
    <x v="7"/>
    <x v="13"/>
    <x v="19"/>
    <x v="2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39"/>
    <x v="39"/>
    <x v="0"/>
    <x v="19"/>
    <x v="38"/>
    <x v="0"/>
    <x v="0"/>
    <x v="30"/>
    <x v="26"/>
    <x v="37"/>
    <x v="14"/>
    <x v="0"/>
    <x v="0"/>
    <x v="0"/>
    <x v="16"/>
    <x v="25"/>
    <x v="14"/>
    <x v="0"/>
    <x v="0"/>
    <x v="0"/>
    <x v="0"/>
    <x v="0"/>
    <x v="36"/>
    <x v="0"/>
    <x v="0"/>
    <x v="0"/>
    <x v="21"/>
    <x v="34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31"/>
    <x v="0"/>
    <x v="0"/>
    <x v="20"/>
    <x v="15"/>
    <x v="2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4"/>
    <x v="1"/>
    <x v="7"/>
    <x v="8"/>
    <x v="11"/>
    <x v="1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5"/>
    <x v="40"/>
    <x v="0"/>
    <x v="29"/>
    <x v="0"/>
    <x v="0"/>
    <x v="0"/>
    <x v="0"/>
    <x v="0"/>
    <x v="0"/>
    <x v="24"/>
    <x v="2"/>
    <x v="12"/>
    <x v="19"/>
    <x v="18"/>
    <x v="21"/>
    <x v="15"/>
    <x v="6"/>
    <x v="9"/>
    <x v="13"/>
    <x v="14"/>
    <x v="21"/>
    <x v="37"/>
    <x v="6"/>
    <x v="14"/>
    <x v="24"/>
    <x v="28"/>
    <x v="35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32"/>
    <x v="4"/>
    <x v="13"/>
    <x v="21"/>
    <x v="23"/>
    <x v="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41"/>
    <x v="0"/>
    <x v="29"/>
    <x v="0"/>
    <x v="0"/>
    <x v="0"/>
    <x v="0"/>
    <x v="0"/>
    <x v="0"/>
    <x v="24"/>
    <x v="2"/>
    <x v="12"/>
    <x v="19"/>
    <x v="18"/>
    <x v="21"/>
    <x v="15"/>
    <x v="6"/>
    <x v="9"/>
    <x v="13"/>
    <x v="14"/>
    <x v="21"/>
    <x v="37"/>
    <x v="6"/>
    <x v="14"/>
    <x v="24"/>
    <x v="28"/>
    <x v="35"/>
    <x v="1"/>
    <x v="1"/>
    <x v="1"/>
    <x v="1"/>
    <x v="1"/>
    <x v="1"/>
    <x v="0"/>
    <x v="0"/>
    <x v="0"/>
    <x v="0"/>
    <x v="0"/>
    <x v="0"/>
    <x v="1"/>
    <x v="1"/>
    <x v="1"/>
    <x v="1"/>
    <x v="1"/>
    <x v="1"/>
    <x v="32"/>
    <x v="4"/>
    <x v="13"/>
    <x v="21"/>
    <x v="23"/>
    <x v="2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4"/>
    <x v="2"/>
    <x v="6"/>
    <x v="12"/>
    <x v="1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D44" firstHeaderRow="0" firstDataRow="1" firstDataCol="1"/>
  <pivotFields count="389">
    <pivotField compact="0" showAll="0">
      <items count="2">
        <item x="0"/>
        <item t="default"/>
      </items>
    </pivotField>
    <pivotField axis="axisRow" compact="0" showAll="0">
      <items count="41">
        <item x="35"/>
        <item x="23"/>
        <item x="15"/>
        <item x="29"/>
        <item x="18"/>
        <item x="5"/>
        <item x="6"/>
        <item x="31"/>
        <item x="14"/>
        <item x="20"/>
        <item x="28"/>
        <item x="10"/>
        <item x="2"/>
        <item x="22"/>
        <item x="25"/>
        <item x="21"/>
        <item x="19"/>
        <item x="11"/>
        <item x="9"/>
        <item x="0"/>
        <item x="7"/>
        <item x="3"/>
        <item x="4"/>
        <item x="17"/>
        <item x="12"/>
        <item x="26"/>
        <item x="27"/>
        <item x="13"/>
        <item x="36"/>
        <item x="34"/>
        <item x="16"/>
        <item x="1"/>
        <item x="33"/>
        <item x="32"/>
        <item x="24"/>
        <item x="30"/>
        <item x="8"/>
        <item x="37"/>
        <item x="38"/>
        <item x="39"/>
        <item t="default"/>
      </items>
    </pivotField>
    <pivotField dataField="1" compact="0" showAll="0">
      <items count="43">
        <item x="7"/>
        <item x="27"/>
        <item x="22"/>
        <item x="33"/>
        <item x="32"/>
        <item x="11"/>
        <item x="16"/>
        <item x="26"/>
        <item x="3"/>
        <item x="9"/>
        <item x="17"/>
        <item x="24"/>
        <item x="13"/>
        <item x="21"/>
        <item x="19"/>
        <item x="36"/>
        <item x="34"/>
        <item x="2"/>
        <item x="1"/>
        <item x="37"/>
        <item x="38"/>
        <item x="8"/>
        <item x="30"/>
        <item x="5"/>
        <item x="18"/>
        <item x="6"/>
        <item x="15"/>
        <item x="23"/>
        <item x="35"/>
        <item x="25"/>
        <item x="39"/>
        <item x="10"/>
        <item x="31"/>
        <item x="20"/>
        <item x="14"/>
        <item x="28"/>
        <item x="29"/>
        <item x="12"/>
        <item x="0"/>
        <item x="4"/>
        <item x="41"/>
        <item x="40"/>
        <item t="default"/>
      </items>
    </pivotField>
    <pivotField compact="0" showAll="0">
      <items count="2">
        <item x="0"/>
        <item t="default"/>
      </items>
    </pivotField>
    <pivotField compact="0" showAll="0">
      <items count="31">
        <item x="28"/>
        <item x="27"/>
        <item x="1"/>
        <item x="21"/>
        <item x="14"/>
        <item x="10"/>
        <item x="25"/>
        <item x="9"/>
        <item x="0"/>
        <item x="4"/>
        <item x="19"/>
        <item x="17"/>
        <item x="5"/>
        <item x="22"/>
        <item x="12"/>
        <item x="18"/>
        <item x="11"/>
        <item x="16"/>
        <item x="26"/>
        <item x="7"/>
        <item x="3"/>
        <item x="6"/>
        <item x="2"/>
        <item x="20"/>
        <item x="15"/>
        <item x="23"/>
        <item x="8"/>
        <item x="24"/>
        <item x="13"/>
        <item x="29"/>
        <item t="default"/>
      </items>
    </pivotField>
    <pivotField dataField="1" compact="0" showAll="0">
      <items count="40">
        <item x="0"/>
        <item x="35"/>
        <item x="12"/>
        <item x="29"/>
        <item x="28"/>
        <item x="30"/>
        <item x="23"/>
        <item x="27"/>
        <item x="33"/>
        <item x="22"/>
        <item x="34"/>
        <item x="38"/>
        <item x="36"/>
        <item x="21"/>
        <item x="32"/>
        <item x="37"/>
        <item x="31"/>
        <item x="25"/>
        <item x="11"/>
        <item x="13"/>
        <item x="20"/>
        <item x="26"/>
        <item x="18"/>
        <item x="19"/>
        <item x="16"/>
        <item x="24"/>
        <item x="15"/>
        <item x="17"/>
        <item x="7"/>
        <item x="14"/>
        <item x="10"/>
        <item x="8"/>
        <item x="9"/>
        <item x="6"/>
        <item x="4"/>
        <item x="3"/>
        <item x="5"/>
        <item x="2"/>
        <item x="1"/>
        <item t="default"/>
      </items>
    </pivotField>
    <pivotField compact="0" showAll="0">
      <items count="18">
        <item x="0"/>
        <item x="13"/>
        <item x="15"/>
        <item x="11"/>
        <item x="12"/>
        <item x="10"/>
        <item x="16"/>
        <item x="6"/>
        <item x="14"/>
        <item x="9"/>
        <item x="8"/>
        <item x="5"/>
        <item x="4"/>
        <item x="2"/>
        <item x="3"/>
        <item x="7"/>
        <item x="1"/>
        <item t="default"/>
      </items>
    </pivotField>
    <pivotField compact="0" showAll="0">
      <items count="19">
        <item x="0"/>
        <item x="17"/>
        <item x="13"/>
        <item x="15"/>
        <item x="16"/>
        <item x="14"/>
        <item x="11"/>
        <item x="12"/>
        <item x="10"/>
        <item x="6"/>
        <item x="8"/>
        <item x="5"/>
        <item x="9"/>
        <item x="7"/>
        <item x="4"/>
        <item x="2"/>
        <item x="3"/>
        <item x="1"/>
        <item t="default"/>
      </items>
    </pivotField>
    <pivotField dataField="1" compact="0" showAll="0">
      <items count="32">
        <item x="0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5"/>
        <item x="6"/>
        <item x="7"/>
        <item x="4"/>
        <item x="3"/>
        <item x="2"/>
        <item x="1"/>
        <item t="default"/>
      </items>
    </pivotField>
    <pivotField compact="0" showAll="0">
      <items count="34">
        <item x="0"/>
        <item x="30"/>
        <item x="32"/>
        <item x="31"/>
        <item x="29"/>
        <item x="26"/>
        <item x="28"/>
        <item x="25"/>
        <item x="23"/>
        <item x="27"/>
        <item x="24"/>
        <item x="21"/>
        <item x="22"/>
        <item x="20"/>
        <item x="18"/>
        <item x="16"/>
        <item x="17"/>
        <item x="15"/>
        <item x="19"/>
        <item x="13"/>
        <item x="14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compact="0" showAll="0">
      <items count="39">
        <item x="0"/>
        <item x="33"/>
        <item x="36"/>
        <item x="34"/>
        <item x="32"/>
        <item x="37"/>
        <item x="35"/>
        <item x="25"/>
        <item x="26"/>
        <item x="29"/>
        <item x="28"/>
        <item x="27"/>
        <item x="30"/>
        <item x="23"/>
        <item x="21"/>
        <item x="20"/>
        <item x="31"/>
        <item x="24"/>
        <item x="22"/>
        <item x="17"/>
        <item x="18"/>
        <item x="16"/>
        <item x="15"/>
        <item x="12"/>
        <item x="14"/>
        <item x="19"/>
        <item x="13"/>
        <item x="11"/>
        <item x="10"/>
        <item x="7"/>
        <item x="6"/>
        <item x="8"/>
        <item x="9"/>
        <item x="5"/>
        <item x="4"/>
        <item x="3"/>
        <item x="2"/>
        <item x="1"/>
        <item t="default"/>
      </items>
    </pivotField>
    <pivotField dataField="1" compact="0" showAll="0">
      <items count="28">
        <item x="0"/>
        <item x="22"/>
        <item x="26"/>
        <item x="19"/>
        <item x="25"/>
        <item x="12"/>
        <item x="17"/>
        <item x="13"/>
        <item x="21"/>
        <item x="4"/>
        <item x="18"/>
        <item x="20"/>
        <item x="14"/>
        <item x="11"/>
        <item x="16"/>
        <item x="15"/>
        <item x="23"/>
        <item x="8"/>
        <item x="7"/>
        <item x="10"/>
        <item x="9"/>
        <item x="3"/>
        <item x="6"/>
        <item x="1"/>
        <item x="5"/>
        <item x="2"/>
        <item x="2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">
        <item x="0"/>
        <item x="11"/>
        <item x="7"/>
        <item x="6"/>
        <item x="8"/>
        <item x="10"/>
        <item x="9"/>
        <item x="2"/>
        <item x="5"/>
        <item x="3"/>
        <item x="4"/>
        <item x="1"/>
        <item x="12"/>
        <item t="default"/>
      </items>
    </pivotField>
    <pivotField dataField="1" compact="0" showAll="0">
      <items count="21">
        <item x="0"/>
        <item x="16"/>
        <item x="18"/>
        <item x="13"/>
        <item x="15"/>
        <item x="14"/>
        <item x="12"/>
        <item x="17"/>
        <item x="10"/>
        <item x="6"/>
        <item x="11"/>
        <item x="7"/>
        <item x="9"/>
        <item x="8"/>
        <item x="5"/>
        <item x="3"/>
        <item x="4"/>
        <item x="2"/>
        <item x="1"/>
        <item x="19"/>
        <item t="default"/>
      </items>
    </pivotField>
    <pivotField compact="0" showAll="0">
      <items count="21">
        <item x="0"/>
        <item x="16"/>
        <item x="17"/>
        <item x="19"/>
        <item x="15"/>
        <item x="13"/>
        <item x="14"/>
        <item x="12"/>
        <item x="10"/>
        <item x="7"/>
        <item x="6"/>
        <item x="11"/>
        <item x="8"/>
        <item x="9"/>
        <item x="5"/>
        <item x="2"/>
        <item x="3"/>
        <item x="4"/>
        <item x="1"/>
        <item x="18"/>
        <item t="default"/>
      </items>
    </pivotField>
    <pivotField compact="0" showAll="0">
      <items count="27">
        <item x="0"/>
        <item x="25"/>
        <item x="24"/>
        <item x="22"/>
        <item x="20"/>
        <item x="17"/>
        <item x="14"/>
        <item x="23"/>
        <item x="19"/>
        <item x="18"/>
        <item x="15"/>
        <item x="12"/>
        <item x="13"/>
        <item x="16"/>
        <item x="10"/>
        <item x="7"/>
        <item x="11"/>
        <item x="6"/>
        <item x="8"/>
        <item x="9"/>
        <item x="5"/>
        <item x="3"/>
        <item x="4"/>
        <item x="2"/>
        <item x="1"/>
        <item x="21"/>
        <item t="default"/>
      </items>
    </pivotField>
    <pivotField dataField="1" compact="0" showAll="0">
      <items count="17">
        <item x="0"/>
        <item x="14"/>
        <item x="7"/>
        <item x="10"/>
        <item x="11"/>
        <item x="13"/>
        <item x="9"/>
        <item x="4"/>
        <item x="12"/>
        <item x="5"/>
        <item x="6"/>
        <item x="3"/>
        <item x="2"/>
        <item x="1"/>
        <item x="8"/>
        <item x="15"/>
        <item t="default"/>
      </items>
    </pivotField>
    <pivotField compact="0" showAll="0">
      <items count="8">
        <item x="0"/>
        <item x="5"/>
        <item x="3"/>
        <item x="4"/>
        <item x="1"/>
        <item x="2"/>
        <item x="6"/>
        <item t="default"/>
      </items>
    </pivotField>
    <pivotField compact="0" showAll="0">
      <items count="11">
        <item x="0"/>
        <item x="6"/>
        <item x="7"/>
        <item x="8"/>
        <item x="4"/>
        <item x="2"/>
        <item x="3"/>
        <item x="5"/>
        <item x="1"/>
        <item x="9"/>
        <item t="default"/>
      </items>
    </pivotField>
    <pivotField dataField="1" compact="0" showAll="0">
      <items count="15">
        <item x="0"/>
        <item x="12"/>
        <item x="6"/>
        <item x="10"/>
        <item x="7"/>
        <item x="11"/>
        <item x="8"/>
        <item x="9"/>
        <item x="3"/>
        <item x="5"/>
        <item x="4"/>
        <item x="2"/>
        <item x="1"/>
        <item x="13"/>
        <item t="default"/>
      </items>
    </pivotField>
    <pivotField compact="0" showAll="0">
      <items count="16">
        <item x="0"/>
        <item x="13"/>
        <item x="12"/>
        <item x="11"/>
        <item x="9"/>
        <item x="5"/>
        <item x="6"/>
        <item x="10"/>
        <item x="7"/>
        <item x="3"/>
        <item x="8"/>
        <item x="4"/>
        <item x="2"/>
        <item x="1"/>
        <item x="14"/>
        <item t="default"/>
      </items>
    </pivotField>
    <pivotField compact="0" showAll="0">
      <items count="23">
        <item x="0"/>
        <item x="19"/>
        <item x="13"/>
        <item x="14"/>
        <item x="18"/>
        <item x="20"/>
        <item x="16"/>
        <item x="17"/>
        <item x="12"/>
        <item x="15"/>
        <item x="10"/>
        <item x="6"/>
        <item x="11"/>
        <item x="7"/>
        <item x="8"/>
        <item x="3"/>
        <item x="9"/>
        <item x="5"/>
        <item x="4"/>
        <item x="2"/>
        <item x="1"/>
        <item x="21"/>
        <item t="default"/>
      </items>
    </pivotField>
    <pivotField dataField="1" compact="0" showAll="0">
      <items count="39">
        <item x="0"/>
        <item x="29"/>
        <item x="19"/>
        <item x="13"/>
        <item x="12"/>
        <item x="27"/>
        <item x="22"/>
        <item x="33"/>
        <item x="23"/>
        <item x="26"/>
        <item x="36"/>
        <item x="28"/>
        <item x="30"/>
        <item x="17"/>
        <item x="31"/>
        <item x="35"/>
        <item x="14"/>
        <item x="11"/>
        <item x="21"/>
        <item x="34"/>
        <item x="15"/>
        <item x="18"/>
        <item x="32"/>
        <item x="20"/>
        <item x="25"/>
        <item x="7"/>
        <item x="16"/>
        <item x="24"/>
        <item x="4"/>
        <item x="9"/>
        <item x="10"/>
        <item x="8"/>
        <item x="5"/>
        <item x="3"/>
        <item x="6"/>
        <item x="2"/>
        <item x="1"/>
        <item x="37"/>
        <item t="default"/>
      </items>
    </pivotField>
    <pivotField compact="0" showAll="0">
      <items count="8">
        <item x="0"/>
        <item x="5"/>
        <item x="2"/>
        <item x="4"/>
        <item x="1"/>
        <item x="3"/>
        <item x="6"/>
        <item t="default"/>
      </items>
    </pivotField>
    <pivotField compact="0" showAll="0">
      <items count="16">
        <item x="0"/>
        <item x="10"/>
        <item x="13"/>
        <item x="5"/>
        <item x="12"/>
        <item x="11"/>
        <item x="4"/>
        <item x="9"/>
        <item x="6"/>
        <item x="2"/>
        <item x="8"/>
        <item x="7"/>
        <item x="1"/>
        <item x="3"/>
        <item x="14"/>
        <item t="default"/>
      </items>
    </pivotField>
    <pivotField dataField="1" compact="0" showAll="0">
      <items count="26">
        <item x="0"/>
        <item x="23"/>
        <item x="20"/>
        <item x="13"/>
        <item x="16"/>
        <item x="12"/>
        <item x="19"/>
        <item x="21"/>
        <item x="22"/>
        <item x="18"/>
        <item x="17"/>
        <item x="10"/>
        <item x="15"/>
        <item x="9"/>
        <item x="14"/>
        <item x="11"/>
        <item x="5"/>
        <item x="4"/>
        <item x="2"/>
        <item x="8"/>
        <item x="7"/>
        <item x="6"/>
        <item x="1"/>
        <item x="3"/>
        <item x="24"/>
        <item t="default"/>
      </items>
    </pivotField>
    <pivotField compact="0" showAll="0">
      <items count="30">
        <item x="0"/>
        <item x="27"/>
        <item x="24"/>
        <item x="21"/>
        <item x="25"/>
        <item x="26"/>
        <item x="17"/>
        <item x="20"/>
        <item x="13"/>
        <item x="23"/>
        <item x="14"/>
        <item x="22"/>
        <item x="19"/>
        <item x="18"/>
        <item x="16"/>
        <item x="15"/>
        <item x="9"/>
        <item x="11"/>
        <item x="12"/>
        <item x="5"/>
        <item x="10"/>
        <item x="4"/>
        <item x="2"/>
        <item x="8"/>
        <item x="7"/>
        <item x="6"/>
        <item x="1"/>
        <item x="3"/>
        <item x="28"/>
        <item t="default"/>
      </items>
    </pivotField>
    <pivotField compact="0" showAll="0">
      <items count="37">
        <item x="0"/>
        <item x="26"/>
        <item x="33"/>
        <item x="28"/>
        <item x="34"/>
        <item x="27"/>
        <item x="31"/>
        <item x="25"/>
        <item x="29"/>
        <item x="32"/>
        <item x="24"/>
        <item x="16"/>
        <item x="19"/>
        <item x="21"/>
        <item x="20"/>
        <item x="22"/>
        <item x="13"/>
        <item x="14"/>
        <item x="23"/>
        <item x="18"/>
        <item x="30"/>
        <item x="17"/>
        <item x="15"/>
        <item x="11"/>
        <item x="9"/>
        <item x="12"/>
        <item x="5"/>
        <item x="10"/>
        <item x="4"/>
        <item x="8"/>
        <item x="7"/>
        <item x="2"/>
        <item x="6"/>
        <item x="1"/>
        <item x="3"/>
        <item x="35"/>
        <item t="default"/>
      </items>
    </pivotField>
    <pivotField dataField="1" compact="0" showAll="0">
      <items count="14">
        <item x="0"/>
        <item x="4"/>
        <item x="11"/>
        <item x="7"/>
        <item x="9"/>
        <item x="12"/>
        <item x="10"/>
        <item x="8"/>
        <item x="5"/>
        <item x="6"/>
        <item x="3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dataField="1" compact="0" showAll="0">
      <items count="10">
        <item x="0"/>
        <item x="8"/>
        <item x="7"/>
        <item x="6"/>
        <item x="3"/>
        <item x="4"/>
        <item x="5"/>
        <item x="2"/>
        <item x="1"/>
        <item t="default"/>
      </items>
    </pivotField>
    <pivotField compact="0" showAll="0">
      <items count="13">
        <item x="0"/>
        <item x="9"/>
        <item x="10"/>
        <item x="11"/>
        <item x="8"/>
        <item x="4"/>
        <item x="6"/>
        <item x="3"/>
        <item x="7"/>
        <item x="5"/>
        <item x="2"/>
        <item x="1"/>
        <item t="default"/>
      </items>
    </pivotField>
    <pivotField compact="0" showAll="0">
      <items count="17">
        <item x="0"/>
        <item x="14"/>
        <item x="10"/>
        <item x="12"/>
        <item x="15"/>
        <item x="8"/>
        <item x="13"/>
        <item x="11"/>
        <item x="9"/>
        <item x="4"/>
        <item x="6"/>
        <item x="7"/>
        <item x="3"/>
        <item x="5"/>
        <item x="2"/>
        <item x="1"/>
        <item t="default"/>
      </items>
    </pivotField>
    <pivotField dataField="1" compact="0" showAll="0">
      <items count="12">
        <item x="10"/>
        <item x="9"/>
        <item x="6"/>
        <item x="8"/>
        <item x="7"/>
        <item x="5"/>
        <item x="3"/>
        <item x="1"/>
        <item x="4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">
        <item x="6"/>
        <item x="5"/>
        <item x="4"/>
        <item x="2"/>
        <item x="3"/>
        <item x="1"/>
        <item x="0"/>
        <item t="default"/>
      </items>
    </pivotField>
    <pivotField dataField="1" compact="0" showAll="0">
      <items count="11">
        <item x="9"/>
        <item x="7"/>
        <item x="8"/>
        <item x="6"/>
        <item x="4"/>
        <item x="5"/>
        <item x="3"/>
        <item x="2"/>
        <item x="1"/>
        <item x="0"/>
        <item t="default"/>
      </items>
    </pivotField>
    <pivotField compact="0" showAll="0">
      <items count="12">
        <item x="10"/>
        <item x="7"/>
        <item x="9"/>
        <item x="8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7"/>
        <item x="9"/>
        <item x="8"/>
        <item x="6"/>
        <item x="4"/>
        <item x="5"/>
        <item x="3"/>
        <item x="2"/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dataField="1" compact="0" showAll="0">
      <items count="34">
        <item x="0"/>
        <item x="22"/>
        <item x="11"/>
        <item x="12"/>
        <item x="24"/>
        <item x="20"/>
        <item x="30"/>
        <item x="13"/>
        <item x="21"/>
        <item x="26"/>
        <item x="16"/>
        <item x="31"/>
        <item x="28"/>
        <item x="17"/>
        <item x="25"/>
        <item x="27"/>
        <item x="23"/>
        <item x="7"/>
        <item x="19"/>
        <item x="18"/>
        <item x="10"/>
        <item x="29"/>
        <item x="15"/>
        <item x="6"/>
        <item x="14"/>
        <item x="9"/>
        <item x="8"/>
        <item x="3"/>
        <item x="5"/>
        <item x="4"/>
        <item x="1"/>
        <item x="2"/>
        <item x="32"/>
        <item t="default"/>
      </items>
    </pivotField>
    <pivotField compact="0" showAll="0">
      <items count="6">
        <item x="0"/>
        <item x="3"/>
        <item x="2"/>
        <item x="1"/>
        <item x="4"/>
        <item t="default"/>
      </items>
    </pivotField>
    <pivotField compact="0" showAll="0">
      <items count="15">
        <item x="0"/>
        <item x="11"/>
        <item x="12"/>
        <item x="9"/>
        <item x="10"/>
        <item x="7"/>
        <item x="6"/>
        <item x="8"/>
        <item x="3"/>
        <item x="5"/>
        <item x="2"/>
        <item x="4"/>
        <item x="1"/>
        <item x="13"/>
        <item t="default"/>
      </items>
    </pivotField>
    <pivotField dataField="1" compact="0" showAll="0">
      <items count="23">
        <item x="0"/>
        <item x="20"/>
        <item x="14"/>
        <item x="16"/>
        <item x="19"/>
        <item x="13"/>
        <item x="12"/>
        <item x="18"/>
        <item x="17"/>
        <item x="15"/>
        <item x="10"/>
        <item x="11"/>
        <item x="6"/>
        <item x="7"/>
        <item x="8"/>
        <item x="9"/>
        <item x="5"/>
        <item x="3"/>
        <item x="4"/>
        <item x="2"/>
        <item x="1"/>
        <item x="21"/>
        <item t="default"/>
      </items>
    </pivotField>
    <pivotField compact="0" showAll="0">
      <items count="25">
        <item x="0"/>
        <item x="22"/>
        <item x="21"/>
        <item x="18"/>
        <item x="16"/>
        <item x="15"/>
        <item x="20"/>
        <item x="12"/>
        <item x="19"/>
        <item x="17"/>
        <item x="13"/>
        <item x="14"/>
        <item x="10"/>
        <item x="6"/>
        <item x="11"/>
        <item x="7"/>
        <item x="8"/>
        <item x="9"/>
        <item x="5"/>
        <item x="3"/>
        <item x="4"/>
        <item x="2"/>
        <item x="1"/>
        <item x="23"/>
        <item t="default"/>
      </items>
    </pivotField>
    <pivotField compact="0" showAll="0">
      <items count="31">
        <item x="0"/>
        <item x="26"/>
        <item x="27"/>
        <item x="23"/>
        <item x="25"/>
        <item x="24"/>
        <item x="28"/>
        <item x="20"/>
        <item x="18"/>
        <item x="21"/>
        <item x="16"/>
        <item x="15"/>
        <item x="12"/>
        <item x="19"/>
        <item x="22"/>
        <item x="17"/>
        <item x="14"/>
        <item x="10"/>
        <item x="13"/>
        <item x="6"/>
        <item x="11"/>
        <item x="7"/>
        <item x="8"/>
        <item x="9"/>
        <item x="5"/>
        <item x="3"/>
        <item x="4"/>
        <item x="2"/>
        <item x="1"/>
        <item x="29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3"/>
        <item x="1"/>
        <item x="5"/>
        <item x="2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">
        <item x="6"/>
        <item x="3"/>
        <item x="4"/>
        <item x="5"/>
        <item x="2"/>
        <item x="1"/>
        <item x="0"/>
        <item t="default"/>
      </items>
    </pivotField>
    <pivotField compact="0" showAll="0">
      <items count="9">
        <item x="7"/>
        <item x="3"/>
        <item x="4"/>
        <item x="6"/>
        <item x="5"/>
        <item x="2"/>
        <item x="1"/>
        <item x="0"/>
        <item t="default"/>
      </items>
    </pivotField>
    <pivotField compact="0" showAll="0">
      <items count="9">
        <item x="7"/>
        <item x="3"/>
        <item x="4"/>
        <item x="6"/>
        <item x="5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">
        <item x="0"/>
        <item x="18"/>
        <item x="17"/>
        <item x="15"/>
        <item x="16"/>
        <item x="12"/>
        <item x="13"/>
        <item x="10"/>
        <item x="11"/>
        <item x="8"/>
        <item x="7"/>
        <item x="4"/>
        <item x="9"/>
        <item x="3"/>
        <item x="6"/>
        <item x="5"/>
        <item x="2"/>
        <item x="1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">
        <item x="0"/>
        <item x="5"/>
        <item x="2"/>
        <item x="4"/>
        <item x="3"/>
        <item x="1"/>
        <item x="6"/>
        <item t="default"/>
      </items>
    </pivotField>
    <pivotField dataField="1" compact="0" showAll="0">
      <items count="15">
        <item x="0"/>
        <item x="13"/>
        <item x="11"/>
        <item x="8"/>
        <item x="10"/>
        <item x="3"/>
        <item x="7"/>
        <item x="6"/>
        <item x="9"/>
        <item x="5"/>
        <item x="4"/>
        <item x="2"/>
        <item x="1"/>
        <item x="12"/>
        <item t="default"/>
      </items>
    </pivotField>
    <pivotField compact="0" showAll="0">
      <items count="15">
        <item x="0"/>
        <item x="11"/>
        <item x="13"/>
        <item x="10"/>
        <item x="8"/>
        <item x="6"/>
        <item x="7"/>
        <item x="3"/>
        <item x="9"/>
        <item x="5"/>
        <item x="4"/>
        <item x="2"/>
        <item x="1"/>
        <item x="12"/>
        <item t="default"/>
      </items>
    </pivotField>
    <pivotField compact="0" showAll="0">
      <items count="18">
        <item x="0"/>
        <item x="13"/>
        <item x="16"/>
        <item x="12"/>
        <item x="11"/>
        <item x="10"/>
        <item x="8"/>
        <item x="15"/>
        <item x="6"/>
        <item x="7"/>
        <item x="3"/>
        <item x="5"/>
        <item x="9"/>
        <item x="4"/>
        <item x="2"/>
        <item x="1"/>
        <item x="1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3"/>
        <item x="4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7">
        <item x="5"/>
        <item x="2"/>
        <item x="4"/>
        <item x="3"/>
        <item x="1"/>
        <item x="0"/>
        <item t="default"/>
      </items>
    </pivotField>
    <pivotField compact="0" showAll="0">
      <items count="7">
        <item x="5"/>
        <item x="2"/>
        <item x="4"/>
        <item x="3"/>
        <item x="1"/>
        <item x="0"/>
        <item t="default"/>
      </items>
    </pivotField>
    <pivotField compact="0" showAll="0">
      <items count="7">
        <item x="5"/>
        <item x="2"/>
        <item x="4"/>
        <item x="3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2">
        <item x="3"/>
        <item x="2"/>
        <item x="10"/>
        <item x="8"/>
        <item x="6"/>
        <item x="7"/>
        <item x="4"/>
        <item x="5"/>
        <item x="9"/>
        <item x="1"/>
        <item x="0"/>
        <item t="default"/>
      </items>
    </pivotField>
    <pivotField compact="0" showAll="0">
      <items count="7">
        <item x="3"/>
        <item x="5"/>
        <item x="4"/>
        <item x="2"/>
        <item x="1"/>
        <item x="0"/>
        <item t="default"/>
      </items>
    </pivotField>
    <pivotField compact="0" showAll="0">
      <items count="8">
        <item x="3"/>
        <item x="6"/>
        <item x="4"/>
        <item x="5"/>
        <item x="2"/>
        <item x="1"/>
        <item x="0"/>
        <item t="default"/>
      </items>
    </pivotField>
    <pivotField dataField="1" compact="0" showAll="0">
      <items count="10">
        <item x="3"/>
        <item x="8"/>
        <item x="7"/>
        <item x="6"/>
        <item x="5"/>
        <item x="4"/>
        <item x="2"/>
        <item x="1"/>
        <item x="0"/>
        <item t="default"/>
      </items>
    </pivotField>
    <pivotField compact="0" showAll="0">
      <items count="12">
        <item x="3"/>
        <item x="10"/>
        <item x="7"/>
        <item x="8"/>
        <item x="6"/>
        <item x="9"/>
        <item x="5"/>
        <item x="4"/>
        <item x="2"/>
        <item x="1"/>
        <item x="0"/>
        <item t="default"/>
      </items>
    </pivotField>
    <pivotField compact="0" showAll="0">
      <items count="13">
        <item x="11"/>
        <item x="8"/>
        <item x="10"/>
        <item x="7"/>
        <item x="6"/>
        <item x="9"/>
        <item x="3"/>
        <item x="5"/>
        <item x="4"/>
        <item x="2"/>
        <item x="1"/>
        <item x="0"/>
        <item t="default"/>
      </items>
    </pivotField>
    <pivotField dataField="1"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3"/>
        <item x="7"/>
        <item x="9"/>
        <item x="6"/>
        <item x="8"/>
        <item x="4"/>
        <item x="5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3"/>
        <item x="5"/>
        <item x="4"/>
        <item x="2"/>
        <item x="1"/>
        <item x="0"/>
        <item t="default"/>
      </items>
    </pivotField>
    <pivotField dataField="1" compact="0" showAll="0">
      <items count="12">
        <item x="10"/>
        <item x="6"/>
        <item x="8"/>
        <item x="9"/>
        <item x="7"/>
        <item x="5"/>
        <item x="3"/>
        <item x="4"/>
        <item x="2"/>
        <item x="1"/>
        <item x="0"/>
        <item t="default"/>
      </items>
    </pivotField>
    <pivotField compact="0" showAll="0">
      <items count="12">
        <item x="9"/>
        <item x="10"/>
        <item x="6"/>
        <item x="8"/>
        <item x="7"/>
        <item x="5"/>
        <item x="3"/>
        <item x="4"/>
        <item x="2"/>
        <item x="1"/>
        <item x="0"/>
        <item t="default"/>
      </items>
    </pivotField>
    <pivotField compact="0" showAll="0">
      <items count="14">
        <item x="11"/>
        <item x="10"/>
        <item x="8"/>
        <item x="12"/>
        <item x="6"/>
        <item x="7"/>
        <item x="9"/>
        <item x="5"/>
        <item x="4"/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10">
        <item x="2"/>
        <item x="8"/>
        <item x="1"/>
        <item x="7"/>
        <item x="6"/>
        <item x="3"/>
        <item x="5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2"/>
        <item x="4"/>
        <item x="5"/>
        <item x="3"/>
        <item x="1"/>
        <item x="0"/>
        <item t="default"/>
      </items>
    </pivotField>
    <pivotField dataField="1" compact="0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3">
        <item x="11"/>
        <item x="3"/>
        <item x="4"/>
        <item x="7"/>
        <item x="9"/>
        <item x="10"/>
        <item x="8"/>
        <item x="6"/>
        <item x="5"/>
        <item x="2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6">
        <item x="3"/>
        <item x="4"/>
        <item x="2"/>
        <item x="1"/>
        <item x="0"/>
        <item t="default"/>
      </items>
    </pivotField>
    <pivotField dataField="1" compact="0" showAll="0">
      <items count="9">
        <item x="6"/>
        <item x="7"/>
        <item x="5"/>
        <item x="4"/>
        <item x="3"/>
        <item x="2"/>
        <item x="1"/>
        <item x="0"/>
        <item t="default"/>
      </items>
    </pivotField>
    <pivotField compact="0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1">
        <item x="8"/>
        <item x="9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6">
        <item x="8"/>
        <item x="7"/>
        <item x="19"/>
        <item x="10"/>
        <item x="18"/>
        <item x="17"/>
        <item x="13"/>
        <item x="21"/>
        <item x="16"/>
        <item x="4"/>
        <item x="24"/>
        <item x="15"/>
        <item x="22"/>
        <item x="20"/>
        <item x="11"/>
        <item x="23"/>
        <item x="6"/>
        <item x="12"/>
        <item x="9"/>
        <item x="14"/>
        <item x="5"/>
        <item x="3"/>
        <item x="2"/>
        <item x="1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11">
        <item x="7"/>
        <item x="4"/>
        <item x="9"/>
        <item x="6"/>
        <item x="5"/>
        <item x="2"/>
        <item x="3"/>
        <item x="8"/>
        <item x="1"/>
        <item x="0"/>
        <item t="default"/>
      </items>
    </pivotField>
    <pivotField dataField="1" compact="0" showAll="0">
      <items count="19">
        <item x="8"/>
        <item x="13"/>
        <item x="15"/>
        <item x="16"/>
        <item x="17"/>
        <item x="14"/>
        <item x="12"/>
        <item x="6"/>
        <item x="11"/>
        <item x="7"/>
        <item x="10"/>
        <item x="9"/>
        <item x="4"/>
        <item x="3"/>
        <item x="5"/>
        <item x="2"/>
        <item x="1"/>
        <item x="0"/>
        <item t="default"/>
      </items>
    </pivotField>
    <pivotField compact="0" showAll="0">
      <items count="21">
        <item x="11"/>
        <item x="13"/>
        <item x="16"/>
        <item x="19"/>
        <item x="17"/>
        <item x="18"/>
        <item x="15"/>
        <item x="14"/>
        <item x="12"/>
        <item x="6"/>
        <item x="8"/>
        <item x="7"/>
        <item x="10"/>
        <item x="3"/>
        <item x="5"/>
        <item x="9"/>
        <item x="4"/>
        <item x="2"/>
        <item x="1"/>
        <item x="0"/>
        <item t="default"/>
      </items>
    </pivotField>
    <pivotField compact="0" showAll="0">
      <items count="27">
        <item x="11"/>
        <item x="25"/>
        <item x="20"/>
        <item x="18"/>
        <item x="21"/>
        <item x="24"/>
        <item x="19"/>
        <item x="14"/>
        <item x="23"/>
        <item x="22"/>
        <item x="15"/>
        <item x="12"/>
        <item x="13"/>
        <item x="16"/>
        <item x="17"/>
        <item x="8"/>
        <item x="10"/>
        <item x="6"/>
        <item x="7"/>
        <item x="3"/>
        <item x="5"/>
        <item x="9"/>
        <item x="4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4"/>
        <item x="5"/>
        <item x="3"/>
        <item x="2"/>
        <item x="1"/>
        <item x="0"/>
        <item t="default"/>
      </items>
    </pivotField>
    <pivotField compact="0" showAll="0">
      <items count="7">
        <item x="5"/>
        <item x="4"/>
        <item x="3"/>
        <item x="2"/>
        <item x="1"/>
        <item x="0"/>
        <item t="default"/>
      </items>
    </pivotField>
    <pivotField compact="0" showAll="0">
      <items count="7">
        <item x="5"/>
        <item x="3"/>
        <item x="4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4"/>
        <item x="3"/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6">
        <item x="4"/>
        <item x="3"/>
        <item x="1"/>
        <item x="2"/>
        <item x="0"/>
        <item t="default"/>
      </items>
    </pivotField>
    <pivotField compact="0" showAll="0">
      <items count="6">
        <item x="4"/>
        <item x="3"/>
        <item x="2"/>
        <item x="1"/>
        <item x="0"/>
        <item t="default"/>
      </items>
    </pivotField>
    <pivotField compact="0" showAll="0">
      <items count="6">
        <item x="4"/>
        <item x="3"/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求和项:SKU" fld="2" baseField="0" baseItem="0"/>
    <dataField name="求和项:全国近7日出库商品件数" fld="8" baseField="0" baseItem="0"/>
    <dataField name="求和项:全国现货库存" fld="5" baseField="0" baseItem="0"/>
    <dataField name="求和项:上海近7日出库商品件数" fld="14" baseField="0" baseItem="0"/>
    <dataField name="求和项:上海现货库存" fld="11" baseField="0" baseItem="0"/>
    <dataField name="求和项:成都近7日出库商品件数" fld="20" baseField="0" baseItem="0"/>
    <dataField name="求和项:成都现货库存" fld="17" baseField="0" baseItem="0"/>
    <dataField name="求和项:武汉近7日出库商品件数" fld="26" baseField="0" baseItem="0"/>
    <dataField name="求和项:武汉现货库存" fld="23" baseField="0" baseItem="0"/>
    <dataField name="求和项:北京近7日出库商品件数" fld="32" baseField="0" baseItem="0"/>
    <dataField name="求和项:北京现货库存" fld="29" baseField="0" baseItem="0"/>
    <dataField name="求和项:南京近7日出库商品件数" fld="38" baseField="0" baseItem="0"/>
    <dataField name="求和项:南京现货库存" fld="35" baseField="0" baseItem="0"/>
    <dataField name="求和项:广州近7日出库商品件数" fld="50" baseField="0" baseItem="0"/>
    <dataField name="求和项:广州现货库存" fld="47" baseField="0" baseItem="0"/>
    <dataField name="求和项:西安近7日出库商品件数" fld="80" baseField="0" baseItem="0"/>
    <dataField name="求和项:西安现货库存" fld="77" baseField="0" baseItem="0"/>
    <dataField name="求和项:杭州近7日出库商品件数" fld="104" baseField="0" baseItem="0"/>
    <dataField name="求和项:杭州现货库存" fld="101" baseField="0" baseItem="0"/>
    <dataField name="求和项:深圳近7日出库商品件数" fld="110" baseField="0" baseItem="0"/>
    <dataField name="求和项:深圳现货库存" fld="107" baseField="0" baseItem="0"/>
    <dataField name="求和项:长沙近7日出库商品件数" fld="146" baseField="0" baseItem="0"/>
    <dataField name="求和项:长沙现货库存" fld="143" baseField="0" baseItem="0"/>
    <dataField name="求和项:南昌近7日出库商品件数" fld="188" baseField="0" baseItem="0"/>
    <dataField name="求和项:南昌现货库存" fld="185" baseField="0" baseItem="0"/>
    <dataField name="求和项:荆州近7日出库商品件数" fld="266" baseField="0" baseItem="0"/>
    <dataField name="求和项:荆州现货库存" fld="263" baseField="0" baseItem="0"/>
    <dataField name="求和项:广州城市近7日出库商品件数" fld="320" baseField="0" baseItem="0"/>
    <dataField name="求和项:广州城市现货库存" fld="3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Y187"/>
  <sheetViews>
    <sheetView topLeftCell="A6" workbookViewId="0">
      <selection activeCell="F21" sqref="F21"/>
    </sheetView>
  </sheetViews>
  <sheetFormatPr defaultColWidth="9" defaultRowHeight="14"/>
  <sheetData>
    <row r="1" ht="105" spans="1:38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  <c r="JE1" s="9" t="s">
        <v>264</v>
      </c>
      <c r="JF1" s="9" t="s">
        <v>265</v>
      </c>
      <c r="JG1" s="9" t="s">
        <v>266</v>
      </c>
      <c r="JH1" s="9" t="s">
        <v>267</v>
      </c>
      <c r="JI1" s="9" t="s">
        <v>268</v>
      </c>
      <c r="JJ1" s="9" t="s">
        <v>269</v>
      </c>
      <c r="JK1" s="9" t="s">
        <v>270</v>
      </c>
      <c r="JL1" s="9" t="s">
        <v>271</v>
      </c>
      <c r="JM1" s="9" t="s">
        <v>272</v>
      </c>
      <c r="JN1" s="9" t="s">
        <v>273</v>
      </c>
      <c r="JO1" s="9" t="s">
        <v>274</v>
      </c>
      <c r="JP1" s="9" t="s">
        <v>275</v>
      </c>
      <c r="JQ1" s="9" t="s">
        <v>276</v>
      </c>
      <c r="JR1" s="9" t="s">
        <v>277</v>
      </c>
      <c r="JS1" s="9" t="s">
        <v>278</v>
      </c>
      <c r="JT1" s="9" t="s">
        <v>279</v>
      </c>
      <c r="JU1" s="9" t="s">
        <v>280</v>
      </c>
      <c r="JV1" s="9" t="s">
        <v>281</v>
      </c>
      <c r="JW1" s="9" t="s">
        <v>282</v>
      </c>
      <c r="JX1" s="9" t="s">
        <v>283</v>
      </c>
      <c r="JY1" s="9" t="s">
        <v>284</v>
      </c>
      <c r="JZ1" s="9" t="s">
        <v>285</v>
      </c>
      <c r="KA1" s="9" t="s">
        <v>286</v>
      </c>
      <c r="KB1" s="9" t="s">
        <v>287</v>
      </c>
      <c r="KC1" s="9" t="s">
        <v>288</v>
      </c>
      <c r="KD1" s="9" t="s">
        <v>289</v>
      </c>
      <c r="KE1" s="9" t="s">
        <v>290</v>
      </c>
      <c r="KF1" s="9" t="s">
        <v>291</v>
      </c>
      <c r="KG1" s="9" t="s">
        <v>292</v>
      </c>
      <c r="KH1" s="9" t="s">
        <v>293</v>
      </c>
      <c r="KI1" s="9" t="s">
        <v>294</v>
      </c>
      <c r="KJ1" s="9" t="s">
        <v>295</v>
      </c>
      <c r="KK1" s="9" t="s">
        <v>296</v>
      </c>
      <c r="KL1" s="9" t="s">
        <v>297</v>
      </c>
      <c r="KM1" s="9" t="s">
        <v>298</v>
      </c>
      <c r="KN1" s="9" t="s">
        <v>299</v>
      </c>
      <c r="KO1" s="9" t="s">
        <v>300</v>
      </c>
      <c r="KP1" s="9" t="s">
        <v>301</v>
      </c>
      <c r="KQ1" s="9" t="s">
        <v>302</v>
      </c>
      <c r="KR1" s="9" t="s">
        <v>303</v>
      </c>
      <c r="KS1" s="9" t="s">
        <v>304</v>
      </c>
      <c r="KT1" s="9" t="s">
        <v>305</v>
      </c>
      <c r="KU1" s="9" t="s">
        <v>306</v>
      </c>
      <c r="KV1" s="9" t="s">
        <v>307</v>
      </c>
      <c r="KW1" s="9" t="s">
        <v>308</v>
      </c>
      <c r="KX1" s="9" t="s">
        <v>309</v>
      </c>
      <c r="KY1" s="9" t="s">
        <v>310</v>
      </c>
      <c r="KZ1" s="9" t="s">
        <v>311</v>
      </c>
      <c r="LA1" s="9" t="s">
        <v>312</v>
      </c>
      <c r="LB1" s="9" t="s">
        <v>313</v>
      </c>
      <c r="LC1" s="9" t="s">
        <v>314</v>
      </c>
      <c r="LD1" s="9" t="s">
        <v>315</v>
      </c>
      <c r="LE1" s="9" t="s">
        <v>316</v>
      </c>
      <c r="LF1" s="9" t="s">
        <v>317</v>
      </c>
      <c r="LG1" s="9" t="s">
        <v>318</v>
      </c>
      <c r="LH1" s="9" t="s">
        <v>319</v>
      </c>
      <c r="LI1" s="9" t="s">
        <v>320</v>
      </c>
      <c r="LJ1" s="9" t="s">
        <v>321</v>
      </c>
      <c r="LK1" s="9" t="s">
        <v>322</v>
      </c>
      <c r="LL1" s="9" t="s">
        <v>323</v>
      </c>
      <c r="LM1" s="9" t="s">
        <v>324</v>
      </c>
      <c r="LN1" s="9" t="s">
        <v>325</v>
      </c>
      <c r="LO1" s="9" t="s">
        <v>326</v>
      </c>
      <c r="LP1" s="9" t="s">
        <v>327</v>
      </c>
      <c r="LQ1" s="9" t="s">
        <v>328</v>
      </c>
      <c r="LR1" s="9" t="s">
        <v>329</v>
      </c>
      <c r="LS1" s="9" t="s">
        <v>330</v>
      </c>
      <c r="LT1" s="9" t="s">
        <v>331</v>
      </c>
      <c r="LU1" s="9" t="s">
        <v>332</v>
      </c>
      <c r="LV1" s="9" t="s">
        <v>333</v>
      </c>
      <c r="LW1" s="9" t="s">
        <v>334</v>
      </c>
      <c r="LX1" s="9" t="s">
        <v>335</v>
      </c>
      <c r="LY1" s="9" t="s">
        <v>336</v>
      </c>
      <c r="LZ1" s="9" t="s">
        <v>337</v>
      </c>
      <c r="MA1" s="9" t="s">
        <v>338</v>
      </c>
      <c r="MB1" s="9" t="s">
        <v>339</v>
      </c>
      <c r="MC1" s="9" t="s">
        <v>340</v>
      </c>
      <c r="MD1" s="9" t="s">
        <v>341</v>
      </c>
      <c r="ME1" s="9" t="s">
        <v>342</v>
      </c>
      <c r="MF1" s="9" t="s">
        <v>343</v>
      </c>
      <c r="MG1" s="9" t="s">
        <v>344</v>
      </c>
      <c r="MH1" s="9" t="s">
        <v>345</v>
      </c>
      <c r="MI1" s="9" t="s">
        <v>346</v>
      </c>
      <c r="MJ1" s="9" t="s">
        <v>347</v>
      </c>
      <c r="MK1" s="9" t="s">
        <v>348</v>
      </c>
      <c r="ML1" s="9" t="s">
        <v>349</v>
      </c>
      <c r="MM1" s="9" t="s">
        <v>350</v>
      </c>
      <c r="MN1" s="9" t="s">
        <v>351</v>
      </c>
      <c r="MO1" s="9" t="s">
        <v>352</v>
      </c>
      <c r="MP1" s="9" t="s">
        <v>353</v>
      </c>
      <c r="MQ1" s="9" t="s">
        <v>354</v>
      </c>
      <c r="MR1" s="9" t="s">
        <v>355</v>
      </c>
      <c r="MS1" s="9" t="s">
        <v>356</v>
      </c>
      <c r="MT1" s="9" t="s">
        <v>357</v>
      </c>
      <c r="MU1" s="9" t="s">
        <v>358</v>
      </c>
      <c r="MV1" s="9" t="s">
        <v>359</v>
      </c>
      <c r="MW1" s="9" t="s">
        <v>360</v>
      </c>
      <c r="MX1" s="9" t="s">
        <v>361</v>
      </c>
      <c r="MY1" s="9" t="s">
        <v>362</v>
      </c>
      <c r="MZ1" s="9" t="s">
        <v>363</v>
      </c>
      <c r="NA1" s="9" t="s">
        <v>364</v>
      </c>
      <c r="NB1" s="9" t="s">
        <v>365</v>
      </c>
      <c r="NC1" s="9" t="s">
        <v>366</v>
      </c>
      <c r="ND1" s="9" t="s">
        <v>367</v>
      </c>
      <c r="NE1" s="9" t="s">
        <v>368</v>
      </c>
      <c r="NF1" s="9" t="s">
        <v>369</v>
      </c>
      <c r="NG1" s="9" t="s">
        <v>370</v>
      </c>
      <c r="NH1" s="9" t="s">
        <v>371</v>
      </c>
      <c r="NI1" s="9" t="s">
        <v>372</v>
      </c>
      <c r="NJ1" s="9" t="s">
        <v>373</v>
      </c>
      <c r="NK1" s="9" t="s">
        <v>374</v>
      </c>
      <c r="NL1" s="9" t="s">
        <v>375</v>
      </c>
      <c r="NM1" s="9" t="s">
        <v>376</v>
      </c>
      <c r="NN1" s="9" t="s">
        <v>377</v>
      </c>
      <c r="NO1" s="9" t="s">
        <v>378</v>
      </c>
      <c r="NP1" s="9" t="s">
        <v>379</v>
      </c>
      <c r="NQ1" s="9" t="s">
        <v>380</v>
      </c>
      <c r="NR1" s="9" t="s">
        <v>381</v>
      </c>
      <c r="NS1" s="9" t="s">
        <v>382</v>
      </c>
      <c r="NT1" s="9" t="s">
        <v>383</v>
      </c>
      <c r="NU1" s="9" t="s">
        <v>384</v>
      </c>
      <c r="NV1" s="9" t="s">
        <v>385</v>
      </c>
      <c r="NW1" s="9" t="s">
        <v>386</v>
      </c>
      <c r="NX1" s="9" t="s">
        <v>387</v>
      </c>
      <c r="NY1" s="9" t="s">
        <v>388</v>
      </c>
    </row>
    <row r="2" spans="1:389">
      <c r="A2" t="s">
        <v>389</v>
      </c>
      <c r="B2" t="s">
        <v>390</v>
      </c>
      <c r="C2">
        <v>100429918864</v>
      </c>
      <c r="D2" t="s">
        <v>391</v>
      </c>
      <c r="E2">
        <v>40.37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</row>
    <row r="3" spans="1:389">
      <c r="A3" t="s">
        <v>389</v>
      </c>
      <c r="B3" t="s">
        <v>392</v>
      </c>
      <c r="C3">
        <v>100268552721</v>
      </c>
      <c r="D3" t="s">
        <v>391</v>
      </c>
      <c r="E3">
        <v>21.4</v>
      </c>
      <c r="F3">
        <v>26462</v>
      </c>
      <c r="G3">
        <v>8535</v>
      </c>
      <c r="H3">
        <v>1245</v>
      </c>
      <c r="I3">
        <v>10873</v>
      </c>
      <c r="J3">
        <v>17173</v>
      </c>
      <c r="K3">
        <v>24632</v>
      </c>
      <c r="L3">
        <v>3195</v>
      </c>
      <c r="M3">
        <v>1200</v>
      </c>
      <c r="N3">
        <v>71</v>
      </c>
      <c r="O3">
        <v>501</v>
      </c>
      <c r="P3">
        <v>772</v>
      </c>
      <c r="Q3">
        <v>1017</v>
      </c>
      <c r="R3">
        <v>349</v>
      </c>
      <c r="S3">
        <v>400</v>
      </c>
      <c r="T3">
        <v>121</v>
      </c>
      <c r="U3">
        <v>977</v>
      </c>
      <c r="V3">
        <v>1409</v>
      </c>
      <c r="W3">
        <v>1754</v>
      </c>
      <c r="X3">
        <v>7136</v>
      </c>
      <c r="Y3">
        <v>0</v>
      </c>
      <c r="Z3">
        <v>126</v>
      </c>
      <c r="AA3">
        <v>1194</v>
      </c>
      <c r="AB3">
        <v>1794</v>
      </c>
      <c r="AC3">
        <v>2556</v>
      </c>
      <c r="AJ3">
        <v>626</v>
      </c>
      <c r="AK3">
        <v>1200</v>
      </c>
      <c r="AL3">
        <v>75</v>
      </c>
      <c r="AM3">
        <v>644</v>
      </c>
      <c r="AN3">
        <v>1017</v>
      </c>
      <c r="AO3">
        <v>1344</v>
      </c>
      <c r="AV3">
        <v>4104</v>
      </c>
      <c r="AW3">
        <v>1200</v>
      </c>
      <c r="AX3">
        <v>371</v>
      </c>
      <c r="AY3">
        <v>3224</v>
      </c>
      <c r="AZ3">
        <v>4966</v>
      </c>
      <c r="BA3">
        <v>6832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5</v>
      </c>
      <c r="BK3">
        <v>54</v>
      </c>
      <c r="BL3">
        <v>81</v>
      </c>
      <c r="BM3">
        <v>106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2689</v>
      </c>
      <c r="CA3">
        <v>1200</v>
      </c>
      <c r="CB3">
        <v>32</v>
      </c>
      <c r="CC3">
        <v>248</v>
      </c>
      <c r="CD3">
        <v>378</v>
      </c>
      <c r="CE3">
        <v>509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54</v>
      </c>
      <c r="CM3">
        <v>0</v>
      </c>
      <c r="CN3">
        <v>6</v>
      </c>
      <c r="CO3">
        <v>24</v>
      </c>
      <c r="CP3">
        <v>24</v>
      </c>
      <c r="CQ3">
        <v>24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652</v>
      </c>
      <c r="CY3">
        <v>300</v>
      </c>
      <c r="CZ3">
        <v>54</v>
      </c>
      <c r="DA3">
        <v>465</v>
      </c>
      <c r="DB3">
        <v>760</v>
      </c>
      <c r="DC3">
        <v>1023</v>
      </c>
      <c r="DD3">
        <v>0</v>
      </c>
      <c r="DE3">
        <v>1800</v>
      </c>
      <c r="DF3">
        <v>0</v>
      </c>
      <c r="DG3">
        <v>2</v>
      </c>
      <c r="DH3">
        <v>572</v>
      </c>
      <c r="DI3">
        <v>2015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1437</v>
      </c>
      <c r="EO3">
        <v>0</v>
      </c>
      <c r="EP3">
        <v>88</v>
      </c>
      <c r="EQ3">
        <v>840</v>
      </c>
      <c r="ER3">
        <v>1236</v>
      </c>
      <c r="ES3">
        <v>1683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9</v>
      </c>
      <c r="GE3">
        <v>0</v>
      </c>
      <c r="GF3">
        <v>55</v>
      </c>
      <c r="GG3">
        <v>813</v>
      </c>
      <c r="GH3">
        <v>1041</v>
      </c>
      <c r="GI3">
        <v>1332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JD3">
        <v>1152</v>
      </c>
      <c r="JE3">
        <v>1200</v>
      </c>
      <c r="JF3">
        <v>6</v>
      </c>
      <c r="JG3">
        <v>112</v>
      </c>
      <c r="JH3">
        <v>175</v>
      </c>
      <c r="JI3">
        <v>272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LF3">
        <v>5016</v>
      </c>
      <c r="LG3">
        <v>0</v>
      </c>
      <c r="LH3">
        <v>235</v>
      </c>
      <c r="LI3">
        <v>1746</v>
      </c>
      <c r="LJ3">
        <v>2894</v>
      </c>
      <c r="LK3">
        <v>4094</v>
      </c>
      <c r="MJ3">
        <v>0</v>
      </c>
      <c r="MK3">
        <v>35</v>
      </c>
      <c r="ML3">
        <v>0</v>
      </c>
      <c r="MM3">
        <v>21</v>
      </c>
      <c r="MN3">
        <v>33</v>
      </c>
      <c r="MO3">
        <v>44</v>
      </c>
      <c r="MV3">
        <v>42</v>
      </c>
      <c r="MW3">
        <v>0</v>
      </c>
      <c r="MX3">
        <v>0</v>
      </c>
      <c r="MY3">
        <v>8</v>
      </c>
      <c r="MZ3">
        <v>21</v>
      </c>
      <c r="NA3">
        <v>27</v>
      </c>
    </row>
    <row r="4" spans="1:389">
      <c r="A4" t="s">
        <v>389</v>
      </c>
      <c r="B4" t="s">
        <v>393</v>
      </c>
      <c r="C4">
        <v>100268551377</v>
      </c>
      <c r="D4" t="s">
        <v>391</v>
      </c>
      <c r="E4">
        <v>21.4</v>
      </c>
      <c r="F4">
        <v>22633</v>
      </c>
      <c r="G4">
        <v>1400</v>
      </c>
      <c r="H4">
        <v>182</v>
      </c>
      <c r="I4">
        <v>3906</v>
      </c>
      <c r="J4">
        <v>5226</v>
      </c>
      <c r="K4">
        <v>9669</v>
      </c>
      <c r="L4">
        <v>3805</v>
      </c>
      <c r="M4">
        <v>0</v>
      </c>
      <c r="N4">
        <v>12</v>
      </c>
      <c r="O4">
        <v>202</v>
      </c>
      <c r="P4">
        <v>252</v>
      </c>
      <c r="Q4">
        <v>563</v>
      </c>
      <c r="R4">
        <v>132</v>
      </c>
      <c r="S4">
        <v>1200</v>
      </c>
      <c r="T4">
        <v>17</v>
      </c>
      <c r="U4">
        <v>225</v>
      </c>
      <c r="V4">
        <v>630</v>
      </c>
      <c r="W4">
        <v>1061</v>
      </c>
      <c r="X4">
        <v>6397</v>
      </c>
      <c r="Y4">
        <v>0</v>
      </c>
      <c r="Z4">
        <v>31</v>
      </c>
      <c r="AA4">
        <v>537</v>
      </c>
      <c r="AB4">
        <v>709</v>
      </c>
      <c r="AC4">
        <v>1422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1877</v>
      </c>
      <c r="AK4">
        <v>0</v>
      </c>
      <c r="AL4">
        <v>7</v>
      </c>
      <c r="AM4">
        <v>439</v>
      </c>
      <c r="AN4">
        <v>501</v>
      </c>
      <c r="AO4">
        <v>762</v>
      </c>
      <c r="AV4">
        <v>5332</v>
      </c>
      <c r="AW4">
        <v>0</v>
      </c>
      <c r="AX4">
        <v>43</v>
      </c>
      <c r="AY4">
        <v>919</v>
      </c>
      <c r="AZ4">
        <v>1111</v>
      </c>
      <c r="BA4">
        <v>1646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4</v>
      </c>
      <c r="BI4">
        <v>0</v>
      </c>
      <c r="BJ4">
        <v>0</v>
      </c>
      <c r="BK4">
        <v>26</v>
      </c>
      <c r="BL4">
        <v>32</v>
      </c>
      <c r="BM4">
        <v>54</v>
      </c>
      <c r="BZ4">
        <v>1444</v>
      </c>
      <c r="CA4">
        <v>0</v>
      </c>
      <c r="CB4">
        <v>3</v>
      </c>
      <c r="CC4">
        <v>121</v>
      </c>
      <c r="CD4">
        <v>156</v>
      </c>
      <c r="CE4">
        <v>280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</v>
      </c>
      <c r="CM4">
        <v>0</v>
      </c>
      <c r="CN4">
        <v>1</v>
      </c>
      <c r="CO4">
        <v>5</v>
      </c>
      <c r="CP4">
        <v>5</v>
      </c>
      <c r="CQ4">
        <v>5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4</v>
      </c>
      <c r="CY4">
        <v>200</v>
      </c>
      <c r="CZ4">
        <v>7</v>
      </c>
      <c r="DA4">
        <v>223</v>
      </c>
      <c r="DB4">
        <v>306</v>
      </c>
      <c r="DC4">
        <v>548</v>
      </c>
      <c r="DD4">
        <v>494</v>
      </c>
      <c r="DE4">
        <v>0</v>
      </c>
      <c r="DF4">
        <v>35</v>
      </c>
      <c r="DG4">
        <v>240</v>
      </c>
      <c r="DH4">
        <v>295</v>
      </c>
      <c r="DI4">
        <v>1008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129</v>
      </c>
      <c r="EO4">
        <v>0</v>
      </c>
      <c r="EP4">
        <v>8</v>
      </c>
      <c r="EQ4">
        <v>345</v>
      </c>
      <c r="ER4">
        <v>410</v>
      </c>
      <c r="ES4">
        <v>672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207</v>
      </c>
      <c r="GH4">
        <v>250</v>
      </c>
      <c r="GI4">
        <v>555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486</v>
      </c>
      <c r="JE4">
        <v>0</v>
      </c>
      <c r="JF4">
        <v>2</v>
      </c>
      <c r="JG4">
        <v>51</v>
      </c>
      <c r="JH4">
        <v>74</v>
      </c>
      <c r="JI4">
        <v>162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LF4">
        <v>2513</v>
      </c>
      <c r="LG4">
        <v>0</v>
      </c>
      <c r="LH4">
        <v>13</v>
      </c>
      <c r="LI4">
        <v>314</v>
      </c>
      <c r="LJ4">
        <v>428</v>
      </c>
      <c r="LK4">
        <v>825</v>
      </c>
      <c r="MJ4">
        <v>0</v>
      </c>
      <c r="MK4">
        <v>0</v>
      </c>
      <c r="ML4">
        <v>1</v>
      </c>
      <c r="MM4">
        <v>8</v>
      </c>
      <c r="MN4">
        <v>14</v>
      </c>
      <c r="MO4">
        <v>25</v>
      </c>
      <c r="MV4">
        <v>9</v>
      </c>
      <c r="MW4">
        <v>0</v>
      </c>
      <c r="MX4">
        <v>2</v>
      </c>
      <c r="MY4">
        <v>12</v>
      </c>
      <c r="MZ4">
        <v>18</v>
      </c>
      <c r="NA4">
        <v>28</v>
      </c>
      <c r="NH4">
        <v>0</v>
      </c>
      <c r="NI4">
        <v>0</v>
      </c>
      <c r="NJ4">
        <v>0</v>
      </c>
      <c r="NK4">
        <v>32</v>
      </c>
      <c r="NL4">
        <v>35</v>
      </c>
      <c r="NM4">
        <v>53</v>
      </c>
    </row>
    <row r="5" spans="1:389">
      <c r="A5" t="s">
        <v>389</v>
      </c>
      <c r="B5" t="s">
        <v>394</v>
      </c>
      <c r="C5">
        <v>100017482746</v>
      </c>
      <c r="D5" t="s">
        <v>391</v>
      </c>
      <c r="E5">
        <v>75</v>
      </c>
      <c r="F5">
        <v>5603</v>
      </c>
      <c r="G5">
        <v>1600</v>
      </c>
      <c r="H5">
        <v>231</v>
      </c>
      <c r="I5">
        <v>2734</v>
      </c>
      <c r="J5">
        <v>4385</v>
      </c>
      <c r="K5">
        <v>5924</v>
      </c>
      <c r="L5">
        <v>485</v>
      </c>
      <c r="M5">
        <v>0</v>
      </c>
      <c r="N5">
        <v>15</v>
      </c>
      <c r="O5">
        <v>169</v>
      </c>
      <c r="P5">
        <v>269</v>
      </c>
      <c r="Q5">
        <v>311</v>
      </c>
      <c r="R5">
        <v>89</v>
      </c>
      <c r="S5">
        <v>0</v>
      </c>
      <c r="T5">
        <v>18</v>
      </c>
      <c r="U5">
        <v>86</v>
      </c>
      <c r="V5">
        <v>153</v>
      </c>
      <c r="W5">
        <v>215</v>
      </c>
      <c r="X5">
        <v>3109</v>
      </c>
      <c r="Y5">
        <v>1600</v>
      </c>
      <c r="Z5">
        <v>157</v>
      </c>
      <c r="AA5">
        <v>2044</v>
      </c>
      <c r="AB5">
        <v>3220</v>
      </c>
      <c r="AC5">
        <v>4482</v>
      </c>
      <c r="AD5">
        <v>195</v>
      </c>
      <c r="AE5">
        <v>0</v>
      </c>
      <c r="AF5">
        <v>6</v>
      </c>
      <c r="AG5">
        <v>47</v>
      </c>
      <c r="AH5">
        <v>91</v>
      </c>
      <c r="AI5">
        <v>105</v>
      </c>
      <c r="AV5">
        <v>929</v>
      </c>
      <c r="AW5">
        <v>0</v>
      </c>
      <c r="AX5">
        <v>19</v>
      </c>
      <c r="AY5">
        <v>212</v>
      </c>
      <c r="AZ5">
        <v>376</v>
      </c>
      <c r="BA5">
        <v>522</v>
      </c>
      <c r="BH5">
        <v>4</v>
      </c>
      <c r="BI5">
        <v>0</v>
      </c>
      <c r="BJ5">
        <v>0</v>
      </c>
      <c r="BK5">
        <v>1</v>
      </c>
      <c r="BL5">
        <v>1</v>
      </c>
      <c r="BM5">
        <v>1</v>
      </c>
      <c r="BZ5">
        <v>186</v>
      </c>
      <c r="CA5">
        <v>0</v>
      </c>
      <c r="CB5">
        <v>0</v>
      </c>
      <c r="CC5">
        <v>5</v>
      </c>
      <c r="CD5">
        <v>12</v>
      </c>
      <c r="CE5">
        <v>14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606</v>
      </c>
      <c r="LG5">
        <v>0</v>
      </c>
      <c r="LH5">
        <v>16</v>
      </c>
      <c r="LI5">
        <v>169</v>
      </c>
      <c r="LJ5">
        <v>248</v>
      </c>
      <c r="LK5">
        <v>259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N5">
        <v>0</v>
      </c>
      <c r="NO5">
        <v>0</v>
      </c>
      <c r="NP5">
        <v>0</v>
      </c>
      <c r="NQ5">
        <v>1</v>
      </c>
      <c r="NR5">
        <v>1</v>
      </c>
      <c r="NS5">
        <v>1</v>
      </c>
      <c r="NT5">
        <v>0</v>
      </c>
      <c r="NU5">
        <v>0</v>
      </c>
      <c r="NV5">
        <v>0</v>
      </c>
      <c r="NW5">
        <v>0</v>
      </c>
      <c r="NX5">
        <v>14</v>
      </c>
      <c r="NY5">
        <v>14</v>
      </c>
    </row>
    <row r="6" spans="1:389">
      <c r="A6" t="s">
        <v>389</v>
      </c>
      <c r="B6" t="s">
        <v>395</v>
      </c>
      <c r="C6">
        <v>100429921288</v>
      </c>
      <c r="D6" t="s">
        <v>391</v>
      </c>
      <c r="E6">
        <v>71.25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</row>
    <row r="7" spans="1:389">
      <c r="A7" t="s">
        <v>389</v>
      </c>
      <c r="B7" t="s">
        <v>396</v>
      </c>
      <c r="C7">
        <v>100289715511</v>
      </c>
      <c r="D7" t="s">
        <v>391</v>
      </c>
      <c r="E7">
        <v>41.5</v>
      </c>
      <c r="F7">
        <v>5084</v>
      </c>
      <c r="G7">
        <v>1270</v>
      </c>
      <c r="H7">
        <v>165</v>
      </c>
      <c r="I7">
        <v>1557</v>
      </c>
      <c r="J7">
        <v>2443</v>
      </c>
      <c r="K7">
        <v>4528</v>
      </c>
      <c r="L7">
        <v>33</v>
      </c>
      <c r="M7">
        <v>0</v>
      </c>
      <c r="N7">
        <v>25</v>
      </c>
      <c r="O7">
        <v>196</v>
      </c>
      <c r="P7">
        <v>288</v>
      </c>
      <c r="Q7">
        <v>458</v>
      </c>
      <c r="R7">
        <v>0</v>
      </c>
      <c r="S7">
        <v>300</v>
      </c>
      <c r="T7">
        <v>8</v>
      </c>
      <c r="U7">
        <v>126</v>
      </c>
      <c r="V7">
        <v>244</v>
      </c>
      <c r="W7">
        <v>598</v>
      </c>
      <c r="X7">
        <v>577</v>
      </c>
      <c r="Y7">
        <v>0</v>
      </c>
      <c r="Z7">
        <v>20</v>
      </c>
      <c r="AA7">
        <v>150</v>
      </c>
      <c r="AB7">
        <v>256</v>
      </c>
      <c r="AC7">
        <v>519</v>
      </c>
      <c r="AJ7">
        <v>278</v>
      </c>
      <c r="AK7">
        <v>0</v>
      </c>
      <c r="AL7">
        <v>9</v>
      </c>
      <c r="AM7">
        <v>129</v>
      </c>
      <c r="AN7">
        <v>206</v>
      </c>
      <c r="AO7">
        <v>364</v>
      </c>
      <c r="AV7">
        <v>3947</v>
      </c>
      <c r="AW7">
        <v>30</v>
      </c>
      <c r="AX7">
        <v>82</v>
      </c>
      <c r="AY7">
        <v>506</v>
      </c>
      <c r="AZ7">
        <v>720</v>
      </c>
      <c r="BA7">
        <v>1263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</v>
      </c>
      <c r="BL7">
        <v>7</v>
      </c>
      <c r="BM7">
        <v>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144</v>
      </c>
      <c r="CA7">
        <v>0</v>
      </c>
      <c r="CB7">
        <v>10</v>
      </c>
      <c r="CC7">
        <v>45</v>
      </c>
      <c r="CD7">
        <v>63</v>
      </c>
      <c r="CE7">
        <v>115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10</v>
      </c>
      <c r="CP7">
        <v>10</v>
      </c>
      <c r="CQ7">
        <v>10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200</v>
      </c>
      <c r="CZ7">
        <v>0</v>
      </c>
      <c r="DA7">
        <v>0</v>
      </c>
      <c r="DB7">
        <v>0</v>
      </c>
      <c r="DC7">
        <v>49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1</v>
      </c>
      <c r="EM7">
        <v>1</v>
      </c>
      <c r="EN7">
        <v>0</v>
      </c>
      <c r="EO7">
        <v>0</v>
      </c>
      <c r="EP7">
        <v>0</v>
      </c>
      <c r="EQ7">
        <v>68</v>
      </c>
      <c r="ER7">
        <v>140</v>
      </c>
      <c r="ES7">
        <v>297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77</v>
      </c>
      <c r="GE7">
        <v>0</v>
      </c>
      <c r="GF7">
        <v>9</v>
      </c>
      <c r="GG7">
        <v>121</v>
      </c>
      <c r="GH7">
        <v>123</v>
      </c>
      <c r="GI7">
        <v>123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1</v>
      </c>
      <c r="HA7">
        <v>2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1</v>
      </c>
      <c r="IF7">
        <v>0</v>
      </c>
      <c r="IG7">
        <v>0</v>
      </c>
      <c r="IH7">
        <v>0</v>
      </c>
      <c r="II7">
        <v>6</v>
      </c>
      <c r="IJ7">
        <v>6</v>
      </c>
      <c r="IK7">
        <v>6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JD7">
        <v>7</v>
      </c>
      <c r="JE7">
        <v>0</v>
      </c>
      <c r="JF7">
        <v>0</v>
      </c>
      <c r="JG7">
        <v>16</v>
      </c>
      <c r="JH7">
        <v>20</v>
      </c>
      <c r="JI7">
        <v>46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LF7">
        <v>14</v>
      </c>
      <c r="LG7">
        <v>740</v>
      </c>
      <c r="LH7">
        <v>1</v>
      </c>
      <c r="LI7">
        <v>167</v>
      </c>
      <c r="LJ7">
        <v>342</v>
      </c>
      <c r="LK7">
        <v>651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J7">
        <v>0</v>
      </c>
      <c r="MK7">
        <v>0</v>
      </c>
      <c r="ML7">
        <v>0</v>
      </c>
      <c r="MM7">
        <v>6</v>
      </c>
      <c r="MN7">
        <v>6</v>
      </c>
      <c r="MO7">
        <v>6</v>
      </c>
      <c r="MV7">
        <v>7</v>
      </c>
      <c r="MW7">
        <v>0</v>
      </c>
      <c r="MX7">
        <v>1</v>
      </c>
      <c r="MY7">
        <v>4</v>
      </c>
      <c r="MZ7">
        <v>9</v>
      </c>
      <c r="NA7">
        <v>11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</row>
    <row r="8" spans="1:389">
      <c r="A8" t="s">
        <v>389</v>
      </c>
      <c r="B8" t="s">
        <v>397</v>
      </c>
      <c r="C8">
        <v>100290520201</v>
      </c>
      <c r="D8" t="s">
        <v>391</v>
      </c>
      <c r="E8">
        <v>41.5</v>
      </c>
      <c r="F8">
        <v>10504</v>
      </c>
      <c r="G8">
        <v>580</v>
      </c>
      <c r="H8">
        <v>92</v>
      </c>
      <c r="I8">
        <v>1063</v>
      </c>
      <c r="J8">
        <v>1714</v>
      </c>
      <c r="K8">
        <v>2635</v>
      </c>
      <c r="L8">
        <v>3656</v>
      </c>
      <c r="M8">
        <v>0</v>
      </c>
      <c r="N8">
        <v>13</v>
      </c>
      <c r="O8">
        <v>99</v>
      </c>
      <c r="P8">
        <v>152</v>
      </c>
      <c r="Q8">
        <v>227</v>
      </c>
      <c r="R8">
        <v>24</v>
      </c>
      <c r="S8">
        <v>360</v>
      </c>
      <c r="T8">
        <v>19</v>
      </c>
      <c r="U8">
        <v>114</v>
      </c>
      <c r="V8">
        <v>244</v>
      </c>
      <c r="W8">
        <v>448</v>
      </c>
      <c r="X8">
        <v>2882</v>
      </c>
      <c r="Y8">
        <v>0</v>
      </c>
      <c r="Z8">
        <v>3</v>
      </c>
      <c r="AA8">
        <v>133</v>
      </c>
      <c r="AB8">
        <v>180</v>
      </c>
      <c r="AC8">
        <v>300</v>
      </c>
      <c r="AJ8">
        <v>1747</v>
      </c>
      <c r="AK8">
        <v>0</v>
      </c>
      <c r="AL8">
        <v>6</v>
      </c>
      <c r="AM8">
        <v>48</v>
      </c>
      <c r="AN8">
        <v>97</v>
      </c>
      <c r="AO8">
        <v>151</v>
      </c>
      <c r="AV8">
        <v>1428</v>
      </c>
      <c r="AW8">
        <v>20</v>
      </c>
      <c r="AX8">
        <v>24</v>
      </c>
      <c r="AY8">
        <v>183</v>
      </c>
      <c r="AZ8">
        <v>289</v>
      </c>
      <c r="BA8">
        <v>446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5</v>
      </c>
      <c r="BI8">
        <v>0</v>
      </c>
      <c r="BJ8">
        <v>0</v>
      </c>
      <c r="BK8">
        <v>9</v>
      </c>
      <c r="BL8">
        <v>16</v>
      </c>
      <c r="BM8">
        <v>26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222</v>
      </c>
      <c r="CA8">
        <v>0</v>
      </c>
      <c r="CB8">
        <v>4</v>
      </c>
      <c r="CC8">
        <v>23</v>
      </c>
      <c r="CD8">
        <v>35</v>
      </c>
      <c r="CE8">
        <v>68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</v>
      </c>
      <c r="CM8">
        <v>0</v>
      </c>
      <c r="CN8">
        <v>1</v>
      </c>
      <c r="CO8">
        <v>7</v>
      </c>
      <c r="CP8">
        <v>8</v>
      </c>
      <c r="CQ8">
        <v>8</v>
      </c>
      <c r="CX8">
        <v>73</v>
      </c>
      <c r="CY8">
        <v>200</v>
      </c>
      <c r="CZ8">
        <v>3</v>
      </c>
      <c r="DA8">
        <v>68</v>
      </c>
      <c r="DB8">
        <v>150</v>
      </c>
      <c r="DC8">
        <v>191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35</v>
      </c>
      <c r="EO8">
        <v>0</v>
      </c>
      <c r="EP8">
        <v>6</v>
      </c>
      <c r="EQ8">
        <v>123</v>
      </c>
      <c r="ER8">
        <v>159</v>
      </c>
      <c r="ES8">
        <v>224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212</v>
      </c>
      <c r="GE8">
        <v>0</v>
      </c>
      <c r="GF8">
        <v>4</v>
      </c>
      <c r="GG8">
        <v>45</v>
      </c>
      <c r="GH8">
        <v>62</v>
      </c>
      <c r="GI8">
        <v>104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</v>
      </c>
      <c r="ID8">
        <v>1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JD8">
        <v>14</v>
      </c>
      <c r="JE8">
        <v>0</v>
      </c>
      <c r="JF8">
        <v>1</v>
      </c>
      <c r="JG8">
        <v>15</v>
      </c>
      <c r="JH8">
        <v>19</v>
      </c>
      <c r="JI8">
        <v>32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LF8">
        <v>194</v>
      </c>
      <c r="LG8">
        <v>0</v>
      </c>
      <c r="LH8">
        <v>8</v>
      </c>
      <c r="LI8">
        <v>174</v>
      </c>
      <c r="LJ8">
        <v>255</v>
      </c>
      <c r="LK8">
        <v>338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J8">
        <v>0</v>
      </c>
      <c r="MK8">
        <v>0</v>
      </c>
      <c r="ML8">
        <v>0</v>
      </c>
      <c r="MM8">
        <v>2</v>
      </c>
      <c r="MN8">
        <v>5</v>
      </c>
      <c r="MO8">
        <v>8</v>
      </c>
      <c r="MV8">
        <v>4</v>
      </c>
      <c r="MW8">
        <v>0</v>
      </c>
      <c r="MX8">
        <v>0</v>
      </c>
      <c r="MY8">
        <v>1</v>
      </c>
      <c r="MZ8">
        <v>4</v>
      </c>
      <c r="NA8">
        <v>5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T8">
        <v>4</v>
      </c>
      <c r="NU8">
        <v>0</v>
      </c>
      <c r="NV8">
        <v>0</v>
      </c>
      <c r="NW8">
        <v>18</v>
      </c>
      <c r="NX8">
        <v>38</v>
      </c>
      <c r="NY8">
        <v>58</v>
      </c>
    </row>
    <row r="9" spans="1:389">
      <c r="A9" t="s">
        <v>389</v>
      </c>
      <c r="B9" t="s">
        <v>398</v>
      </c>
      <c r="C9">
        <v>3045231</v>
      </c>
      <c r="D9" t="s">
        <v>391</v>
      </c>
      <c r="E9">
        <v>45.9</v>
      </c>
      <c r="F9">
        <v>4746</v>
      </c>
      <c r="G9">
        <v>100</v>
      </c>
      <c r="H9">
        <v>45</v>
      </c>
      <c r="I9">
        <v>1064</v>
      </c>
      <c r="J9">
        <v>1411</v>
      </c>
      <c r="K9">
        <v>1887</v>
      </c>
      <c r="L9">
        <v>554</v>
      </c>
      <c r="M9">
        <v>0</v>
      </c>
      <c r="N9">
        <v>4</v>
      </c>
      <c r="O9">
        <v>39</v>
      </c>
      <c r="P9">
        <v>66</v>
      </c>
      <c r="Q9">
        <v>81</v>
      </c>
      <c r="R9">
        <v>69</v>
      </c>
      <c r="S9">
        <v>0</v>
      </c>
      <c r="T9">
        <v>2</v>
      </c>
      <c r="U9">
        <v>9</v>
      </c>
      <c r="V9">
        <v>22</v>
      </c>
      <c r="W9">
        <v>35</v>
      </c>
      <c r="X9">
        <v>3615</v>
      </c>
      <c r="Y9">
        <v>100</v>
      </c>
      <c r="Z9">
        <v>28</v>
      </c>
      <c r="AA9">
        <v>961</v>
      </c>
      <c r="AB9">
        <v>1209</v>
      </c>
      <c r="AC9">
        <v>1591</v>
      </c>
      <c r="AD9">
        <v>64</v>
      </c>
      <c r="AE9">
        <v>0</v>
      </c>
      <c r="AF9">
        <v>1</v>
      </c>
      <c r="AG9">
        <v>12</v>
      </c>
      <c r="AH9">
        <v>31</v>
      </c>
      <c r="AI9">
        <v>48</v>
      </c>
      <c r="AV9">
        <v>218</v>
      </c>
      <c r="AW9">
        <v>0</v>
      </c>
      <c r="AX9">
        <v>8</v>
      </c>
      <c r="AY9">
        <v>25</v>
      </c>
      <c r="AZ9">
        <v>50</v>
      </c>
      <c r="BA9">
        <v>69</v>
      </c>
      <c r="BZ9">
        <v>191</v>
      </c>
      <c r="CA9">
        <v>0</v>
      </c>
      <c r="CB9">
        <v>1</v>
      </c>
      <c r="CC9">
        <v>8</v>
      </c>
      <c r="CD9">
        <v>9</v>
      </c>
      <c r="CE9">
        <v>9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LF9">
        <v>35</v>
      </c>
      <c r="LG9">
        <v>0</v>
      </c>
      <c r="LH9">
        <v>1</v>
      </c>
      <c r="LI9">
        <v>10</v>
      </c>
      <c r="LJ9">
        <v>24</v>
      </c>
      <c r="LK9">
        <v>54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</row>
    <row r="10" spans="1:389">
      <c r="A10" t="s">
        <v>389</v>
      </c>
      <c r="B10" t="s">
        <v>399</v>
      </c>
      <c r="C10">
        <v>100280260287</v>
      </c>
      <c r="D10" t="s">
        <v>391</v>
      </c>
      <c r="E10">
        <v>73</v>
      </c>
      <c r="F10">
        <v>648</v>
      </c>
      <c r="G10">
        <v>2000</v>
      </c>
      <c r="H10">
        <v>111</v>
      </c>
      <c r="I10">
        <v>1073</v>
      </c>
      <c r="J10">
        <v>1309</v>
      </c>
      <c r="K10">
        <v>1706</v>
      </c>
      <c r="L10">
        <v>218</v>
      </c>
      <c r="M10">
        <v>0</v>
      </c>
      <c r="N10">
        <v>3</v>
      </c>
      <c r="O10">
        <v>53</v>
      </c>
      <c r="P10">
        <v>65</v>
      </c>
      <c r="Q10">
        <v>68</v>
      </c>
      <c r="R10">
        <v>78</v>
      </c>
      <c r="S10">
        <v>0</v>
      </c>
      <c r="T10">
        <v>3</v>
      </c>
      <c r="U10">
        <v>26</v>
      </c>
      <c r="V10">
        <v>34</v>
      </c>
      <c r="W10">
        <v>42</v>
      </c>
      <c r="X10">
        <v>184</v>
      </c>
      <c r="Y10">
        <v>2000</v>
      </c>
      <c r="Z10">
        <v>96</v>
      </c>
      <c r="AA10">
        <v>880</v>
      </c>
      <c r="AB10">
        <v>1060</v>
      </c>
      <c r="AC10">
        <v>1396</v>
      </c>
      <c r="AD10">
        <v>2</v>
      </c>
      <c r="AE10">
        <v>0</v>
      </c>
      <c r="AF10">
        <v>0</v>
      </c>
      <c r="AG10">
        <v>15</v>
      </c>
      <c r="AH10">
        <v>20</v>
      </c>
      <c r="AI10">
        <v>22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70</v>
      </c>
      <c r="AW10">
        <v>0</v>
      </c>
      <c r="AX10">
        <v>5</v>
      </c>
      <c r="AY10">
        <v>68</v>
      </c>
      <c r="AZ10">
        <v>84</v>
      </c>
      <c r="BA10">
        <v>109</v>
      </c>
      <c r="BZ10">
        <v>90</v>
      </c>
      <c r="CA10">
        <v>0</v>
      </c>
      <c r="CB10">
        <v>1</v>
      </c>
      <c r="CC10">
        <v>6</v>
      </c>
      <c r="CD10">
        <v>11</v>
      </c>
      <c r="CE10">
        <v>12</v>
      </c>
      <c r="IX10">
        <v>2</v>
      </c>
      <c r="IY10">
        <v>0</v>
      </c>
      <c r="IZ10">
        <v>0</v>
      </c>
      <c r="JA10">
        <v>0</v>
      </c>
      <c r="JB10">
        <v>0</v>
      </c>
      <c r="JC10">
        <v>0</v>
      </c>
      <c r="LF10">
        <v>1</v>
      </c>
      <c r="LG10">
        <v>0</v>
      </c>
      <c r="LH10">
        <v>3</v>
      </c>
      <c r="LI10">
        <v>25</v>
      </c>
      <c r="LJ10">
        <v>35</v>
      </c>
      <c r="LK10">
        <v>57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</row>
    <row r="11" spans="1:389">
      <c r="A11" t="s">
        <v>389</v>
      </c>
      <c r="B11" t="s">
        <v>400</v>
      </c>
      <c r="C11">
        <v>100017482750</v>
      </c>
      <c r="D11" t="s">
        <v>391</v>
      </c>
      <c r="E11">
        <v>60</v>
      </c>
      <c r="F11">
        <v>2515</v>
      </c>
      <c r="G11">
        <v>0</v>
      </c>
      <c r="H11">
        <v>89</v>
      </c>
      <c r="I11">
        <v>794</v>
      </c>
      <c r="J11">
        <v>1216</v>
      </c>
      <c r="K11">
        <v>1999</v>
      </c>
      <c r="L11">
        <v>183</v>
      </c>
      <c r="M11">
        <v>0</v>
      </c>
      <c r="N11">
        <v>5</v>
      </c>
      <c r="O11">
        <v>82</v>
      </c>
      <c r="P11">
        <v>129</v>
      </c>
      <c r="Q11">
        <v>172</v>
      </c>
      <c r="R11">
        <v>4</v>
      </c>
      <c r="S11">
        <v>0</v>
      </c>
      <c r="T11">
        <v>8</v>
      </c>
      <c r="U11">
        <v>46</v>
      </c>
      <c r="V11">
        <v>70</v>
      </c>
      <c r="W11">
        <v>115</v>
      </c>
      <c r="X11">
        <v>1817</v>
      </c>
      <c r="Y11">
        <v>0</v>
      </c>
      <c r="Z11">
        <v>66</v>
      </c>
      <c r="AA11">
        <v>539</v>
      </c>
      <c r="AB11">
        <v>782</v>
      </c>
      <c r="AC11">
        <v>1365</v>
      </c>
      <c r="AD11">
        <v>29</v>
      </c>
      <c r="AE11">
        <v>0</v>
      </c>
      <c r="AF11">
        <v>1</v>
      </c>
      <c r="AG11">
        <v>34</v>
      </c>
      <c r="AH11">
        <v>58</v>
      </c>
      <c r="AI11">
        <v>76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409</v>
      </c>
      <c r="AW11">
        <v>0</v>
      </c>
      <c r="AX11">
        <v>8</v>
      </c>
      <c r="AY11">
        <v>90</v>
      </c>
      <c r="AZ11">
        <v>138</v>
      </c>
      <c r="BA11">
        <v>225</v>
      </c>
      <c r="BZ11">
        <v>73</v>
      </c>
      <c r="CA11">
        <v>0</v>
      </c>
      <c r="CB11">
        <v>1</v>
      </c>
      <c r="CC11">
        <v>3</v>
      </c>
      <c r="CD11">
        <v>6</v>
      </c>
      <c r="CE11">
        <v>7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33</v>
      </c>
      <c r="LK11">
        <v>39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</row>
    <row r="12" spans="1:389">
      <c r="A12" t="s">
        <v>389</v>
      </c>
      <c r="B12" t="s">
        <v>401</v>
      </c>
      <c r="C12">
        <v>100378134276</v>
      </c>
      <c r="D12" t="s">
        <v>391</v>
      </c>
      <c r="E12">
        <v>105</v>
      </c>
      <c r="F12">
        <v>2833</v>
      </c>
      <c r="G12">
        <v>320</v>
      </c>
      <c r="H12">
        <v>94</v>
      </c>
      <c r="I12">
        <v>593</v>
      </c>
      <c r="J12">
        <v>1158</v>
      </c>
      <c r="K12">
        <v>2008</v>
      </c>
      <c r="L12">
        <v>407</v>
      </c>
      <c r="M12">
        <v>0</v>
      </c>
      <c r="N12">
        <v>10</v>
      </c>
      <c r="O12">
        <v>76</v>
      </c>
      <c r="P12">
        <v>130</v>
      </c>
      <c r="Q12">
        <v>224</v>
      </c>
      <c r="R12">
        <v>473</v>
      </c>
      <c r="S12">
        <v>0</v>
      </c>
      <c r="T12">
        <v>7</v>
      </c>
      <c r="U12">
        <v>65</v>
      </c>
      <c r="V12">
        <v>155</v>
      </c>
      <c r="W12">
        <v>277</v>
      </c>
      <c r="X12">
        <v>701</v>
      </c>
      <c r="Y12">
        <v>0</v>
      </c>
      <c r="Z12">
        <v>3</v>
      </c>
      <c r="AA12">
        <v>34</v>
      </c>
      <c r="AB12">
        <v>66</v>
      </c>
      <c r="AC12">
        <v>124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160</v>
      </c>
      <c r="AK12">
        <v>0</v>
      </c>
      <c r="AL12">
        <v>2</v>
      </c>
      <c r="AM12">
        <v>53</v>
      </c>
      <c r="AN12">
        <v>91</v>
      </c>
      <c r="AO12">
        <v>160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353</v>
      </c>
      <c r="AW12">
        <v>20</v>
      </c>
      <c r="AX12">
        <v>9</v>
      </c>
      <c r="AY12">
        <v>104</v>
      </c>
      <c r="AZ12">
        <v>238</v>
      </c>
      <c r="BA12">
        <v>404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0</v>
      </c>
      <c r="BJ12">
        <v>0</v>
      </c>
      <c r="BK12">
        <v>9</v>
      </c>
      <c r="BL12">
        <v>13</v>
      </c>
      <c r="BM12">
        <v>21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182</v>
      </c>
      <c r="CA12">
        <v>0</v>
      </c>
      <c r="CB12">
        <v>3</v>
      </c>
      <c r="CC12">
        <v>15</v>
      </c>
      <c r="CD12">
        <v>28</v>
      </c>
      <c r="CE12">
        <v>100</v>
      </c>
      <c r="CL12">
        <v>6</v>
      </c>
      <c r="CM12">
        <v>0</v>
      </c>
      <c r="CN12">
        <v>1</v>
      </c>
      <c r="CO12">
        <v>2</v>
      </c>
      <c r="CP12">
        <v>2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114</v>
      </c>
      <c r="CY12">
        <v>0</v>
      </c>
      <c r="CZ12">
        <v>5</v>
      </c>
      <c r="DA12">
        <v>21</v>
      </c>
      <c r="DB12">
        <v>49</v>
      </c>
      <c r="DC12">
        <v>97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93</v>
      </c>
      <c r="EO12">
        <v>0</v>
      </c>
      <c r="EP12">
        <v>2</v>
      </c>
      <c r="EQ12">
        <v>26</v>
      </c>
      <c r="ER12">
        <v>55</v>
      </c>
      <c r="ES12">
        <v>120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187</v>
      </c>
      <c r="GE12">
        <v>0</v>
      </c>
      <c r="GF12">
        <v>5</v>
      </c>
      <c r="GG12">
        <v>27</v>
      </c>
      <c r="GH12">
        <v>52</v>
      </c>
      <c r="GI12">
        <v>90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92</v>
      </c>
      <c r="JE12">
        <v>0</v>
      </c>
      <c r="JF12">
        <v>1</v>
      </c>
      <c r="JG12">
        <v>6</v>
      </c>
      <c r="JH12">
        <v>8</v>
      </c>
      <c r="JI12">
        <v>15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LF12">
        <v>61</v>
      </c>
      <c r="LG12">
        <v>300</v>
      </c>
      <c r="LH12">
        <v>46</v>
      </c>
      <c r="LI12">
        <v>152</v>
      </c>
      <c r="LJ12">
        <v>268</v>
      </c>
      <c r="LK12">
        <v>369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J12">
        <v>2</v>
      </c>
      <c r="MK12">
        <v>0</v>
      </c>
      <c r="ML12">
        <v>0</v>
      </c>
      <c r="MM12">
        <v>3</v>
      </c>
      <c r="MN12">
        <v>3</v>
      </c>
      <c r="MO12">
        <v>5</v>
      </c>
    </row>
    <row r="13" spans="1:389">
      <c r="A13" t="s">
        <v>389</v>
      </c>
      <c r="B13" t="s">
        <v>402</v>
      </c>
      <c r="C13">
        <v>100010040669</v>
      </c>
      <c r="D13" t="s">
        <v>391</v>
      </c>
      <c r="E13">
        <v>35</v>
      </c>
      <c r="F13">
        <v>1464</v>
      </c>
      <c r="G13">
        <v>0</v>
      </c>
      <c r="H13">
        <v>33</v>
      </c>
      <c r="I13">
        <v>242</v>
      </c>
      <c r="J13">
        <v>406</v>
      </c>
      <c r="K13">
        <v>712</v>
      </c>
      <c r="L13">
        <v>268</v>
      </c>
      <c r="M13">
        <v>0</v>
      </c>
      <c r="N13">
        <v>7</v>
      </c>
      <c r="O13">
        <v>25</v>
      </c>
      <c r="P13">
        <v>38</v>
      </c>
      <c r="Q13">
        <v>55</v>
      </c>
      <c r="R13">
        <v>18</v>
      </c>
      <c r="S13">
        <v>0</v>
      </c>
      <c r="T13">
        <v>2</v>
      </c>
      <c r="U13">
        <v>10</v>
      </c>
      <c r="V13">
        <v>19</v>
      </c>
      <c r="W13">
        <v>33</v>
      </c>
      <c r="X13">
        <v>998</v>
      </c>
      <c r="Y13">
        <v>0</v>
      </c>
      <c r="Z13">
        <v>21</v>
      </c>
      <c r="AA13">
        <v>150</v>
      </c>
      <c r="AB13">
        <v>248</v>
      </c>
      <c r="AC13">
        <v>501</v>
      </c>
      <c r="AD13">
        <v>51</v>
      </c>
      <c r="AE13">
        <v>0</v>
      </c>
      <c r="AF13">
        <v>0</v>
      </c>
      <c r="AG13">
        <v>11</v>
      </c>
      <c r="AH13">
        <v>24</v>
      </c>
      <c r="AI13">
        <v>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91</v>
      </c>
      <c r="AW13">
        <v>0</v>
      </c>
      <c r="AX13">
        <v>3</v>
      </c>
      <c r="AY13">
        <v>12</v>
      </c>
      <c r="AZ13">
        <v>32</v>
      </c>
      <c r="BA13">
        <v>49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34</v>
      </c>
      <c r="CA13">
        <v>0</v>
      </c>
      <c r="CB13">
        <v>0</v>
      </c>
      <c r="CC13">
        <v>4</v>
      </c>
      <c r="CD13">
        <v>6</v>
      </c>
      <c r="CE13">
        <v>6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LF13">
        <v>4</v>
      </c>
      <c r="LG13">
        <v>0</v>
      </c>
      <c r="LH13">
        <v>0</v>
      </c>
      <c r="LI13">
        <v>30</v>
      </c>
      <c r="LJ13">
        <v>39</v>
      </c>
      <c r="LK13">
        <v>39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</row>
    <row r="14" spans="1:389">
      <c r="A14" t="s">
        <v>389</v>
      </c>
      <c r="B14" t="s">
        <v>403</v>
      </c>
      <c r="C14">
        <v>100385552302</v>
      </c>
      <c r="D14" t="s">
        <v>391</v>
      </c>
      <c r="E14">
        <v>26.9</v>
      </c>
      <c r="F14">
        <v>216</v>
      </c>
      <c r="G14">
        <v>300</v>
      </c>
      <c r="H14">
        <v>10</v>
      </c>
      <c r="I14">
        <v>150</v>
      </c>
      <c r="J14">
        <v>343</v>
      </c>
      <c r="K14">
        <v>386</v>
      </c>
      <c r="L14">
        <v>48</v>
      </c>
      <c r="M14">
        <v>0</v>
      </c>
      <c r="N14">
        <v>4</v>
      </c>
      <c r="O14">
        <v>40</v>
      </c>
      <c r="P14">
        <v>72</v>
      </c>
      <c r="Q14">
        <v>72</v>
      </c>
      <c r="R14">
        <v>0</v>
      </c>
      <c r="S14">
        <v>0</v>
      </c>
      <c r="T14">
        <v>0</v>
      </c>
      <c r="U14">
        <v>27</v>
      </c>
      <c r="V14">
        <v>40</v>
      </c>
      <c r="W14">
        <v>40</v>
      </c>
      <c r="X14">
        <v>103</v>
      </c>
      <c r="Y14">
        <v>300</v>
      </c>
      <c r="Z14">
        <v>1</v>
      </c>
      <c r="AA14">
        <v>27</v>
      </c>
      <c r="AB14">
        <v>91</v>
      </c>
      <c r="AC14">
        <v>119</v>
      </c>
      <c r="AD14">
        <v>0</v>
      </c>
      <c r="AE14">
        <v>0</v>
      </c>
      <c r="AF14">
        <v>0</v>
      </c>
      <c r="AG14">
        <v>12</v>
      </c>
      <c r="AH14">
        <v>33</v>
      </c>
      <c r="AI14">
        <v>34</v>
      </c>
      <c r="AV14">
        <v>9</v>
      </c>
      <c r="AW14">
        <v>0</v>
      </c>
      <c r="AX14">
        <v>4</v>
      </c>
      <c r="AY14">
        <v>24</v>
      </c>
      <c r="AZ14">
        <v>67</v>
      </c>
      <c r="BA14">
        <v>70</v>
      </c>
      <c r="BZ14">
        <v>35</v>
      </c>
      <c r="CA14">
        <v>0</v>
      </c>
      <c r="CB14">
        <v>0</v>
      </c>
      <c r="CC14">
        <v>2</v>
      </c>
      <c r="CD14">
        <v>5</v>
      </c>
      <c r="CE14">
        <v>5</v>
      </c>
      <c r="LF14">
        <v>21</v>
      </c>
      <c r="LG14">
        <v>0</v>
      </c>
      <c r="LH14">
        <v>1</v>
      </c>
      <c r="LI14">
        <v>18</v>
      </c>
      <c r="LJ14">
        <v>35</v>
      </c>
      <c r="LK14">
        <v>46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</row>
    <row r="15" spans="1:389">
      <c r="A15" t="s">
        <v>389</v>
      </c>
      <c r="B15" t="s">
        <v>404</v>
      </c>
      <c r="C15">
        <v>100101940862</v>
      </c>
      <c r="D15" t="s">
        <v>391</v>
      </c>
      <c r="E15">
        <v>51</v>
      </c>
      <c r="F15">
        <v>83</v>
      </c>
      <c r="G15">
        <v>100</v>
      </c>
      <c r="H15">
        <v>19</v>
      </c>
      <c r="I15">
        <v>94</v>
      </c>
      <c r="J15">
        <v>135</v>
      </c>
      <c r="K15">
        <v>164</v>
      </c>
      <c r="L15">
        <v>26</v>
      </c>
      <c r="M15">
        <v>0</v>
      </c>
      <c r="N15">
        <v>3</v>
      </c>
      <c r="O15">
        <v>8</v>
      </c>
      <c r="P15">
        <v>10</v>
      </c>
      <c r="Q15">
        <v>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47</v>
      </c>
      <c r="Y15">
        <v>100</v>
      </c>
      <c r="Z15">
        <v>12</v>
      </c>
      <c r="AA15">
        <v>80</v>
      </c>
      <c r="AB15">
        <v>118</v>
      </c>
      <c r="AC15">
        <v>135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V15">
        <v>10</v>
      </c>
      <c r="AW15">
        <v>0</v>
      </c>
      <c r="AX15">
        <v>4</v>
      </c>
      <c r="AY15">
        <v>6</v>
      </c>
      <c r="AZ15">
        <v>7</v>
      </c>
      <c r="BA15">
        <v>14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</row>
    <row r="16" spans="1:389">
      <c r="A16" t="s">
        <v>389</v>
      </c>
      <c r="B16" t="s">
        <v>405</v>
      </c>
      <c r="C16">
        <v>100378967756</v>
      </c>
      <c r="D16" t="s">
        <v>391</v>
      </c>
      <c r="E16">
        <v>41.5</v>
      </c>
      <c r="F16">
        <v>221</v>
      </c>
      <c r="G16">
        <v>70</v>
      </c>
      <c r="H16">
        <v>2</v>
      </c>
      <c r="I16">
        <v>53</v>
      </c>
      <c r="J16">
        <v>77</v>
      </c>
      <c r="K16">
        <v>231</v>
      </c>
      <c r="L16">
        <v>31</v>
      </c>
      <c r="M16">
        <v>0</v>
      </c>
      <c r="N16">
        <v>0</v>
      </c>
      <c r="O16">
        <v>3</v>
      </c>
      <c r="P16">
        <v>8</v>
      </c>
      <c r="Q16">
        <v>22</v>
      </c>
      <c r="R16">
        <v>0</v>
      </c>
      <c r="S16">
        <v>20</v>
      </c>
      <c r="T16">
        <v>0</v>
      </c>
      <c r="U16">
        <v>0</v>
      </c>
      <c r="V16">
        <v>0</v>
      </c>
      <c r="W16">
        <v>0</v>
      </c>
      <c r="X16">
        <v>45</v>
      </c>
      <c r="Y16">
        <v>0</v>
      </c>
      <c r="Z16">
        <v>1</v>
      </c>
      <c r="AA16">
        <v>6</v>
      </c>
      <c r="AB16">
        <v>10</v>
      </c>
      <c r="AC16">
        <v>31</v>
      </c>
      <c r="AJ16">
        <v>8</v>
      </c>
      <c r="AK16">
        <v>0</v>
      </c>
      <c r="AL16">
        <v>0</v>
      </c>
      <c r="AM16">
        <v>10</v>
      </c>
      <c r="AN16">
        <v>10</v>
      </c>
      <c r="AO16">
        <v>26</v>
      </c>
      <c r="AV16">
        <v>17</v>
      </c>
      <c r="AW16">
        <v>30</v>
      </c>
      <c r="AX16">
        <v>1</v>
      </c>
      <c r="AY16">
        <v>6</v>
      </c>
      <c r="AZ16">
        <v>14</v>
      </c>
      <c r="BA16">
        <v>66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Z16">
        <v>28</v>
      </c>
      <c r="CA16">
        <v>0</v>
      </c>
      <c r="CB16">
        <v>0</v>
      </c>
      <c r="CC16">
        <v>0</v>
      </c>
      <c r="CD16">
        <v>0</v>
      </c>
      <c r="CE16">
        <v>4</v>
      </c>
      <c r="CX16">
        <v>33</v>
      </c>
      <c r="CY16">
        <v>0</v>
      </c>
      <c r="CZ16">
        <v>0</v>
      </c>
      <c r="DA16">
        <v>5</v>
      </c>
      <c r="DB16">
        <v>7</v>
      </c>
      <c r="DC16">
        <v>15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4</v>
      </c>
      <c r="ES16">
        <v>15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22</v>
      </c>
      <c r="GH16">
        <v>23</v>
      </c>
      <c r="GI16">
        <v>27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JD16">
        <v>58</v>
      </c>
      <c r="JE16">
        <v>0</v>
      </c>
      <c r="JF16">
        <v>0</v>
      </c>
      <c r="JG16">
        <v>0</v>
      </c>
      <c r="JH16">
        <v>1</v>
      </c>
      <c r="JI16">
        <v>4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LF16">
        <v>0</v>
      </c>
      <c r="LG16">
        <v>20</v>
      </c>
      <c r="LH16">
        <v>0</v>
      </c>
      <c r="LI16">
        <v>0</v>
      </c>
      <c r="LJ16">
        <v>0</v>
      </c>
      <c r="LK16">
        <v>19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</row>
    <row r="17" spans="1:359">
      <c r="A17" t="s">
        <v>389</v>
      </c>
      <c r="B17" t="s">
        <v>406</v>
      </c>
      <c r="C17">
        <v>100290551241</v>
      </c>
      <c r="D17" t="s">
        <v>391</v>
      </c>
      <c r="E17">
        <v>41.5</v>
      </c>
      <c r="F17">
        <v>726</v>
      </c>
      <c r="G17">
        <v>50</v>
      </c>
      <c r="H17">
        <v>5</v>
      </c>
      <c r="I17">
        <v>48</v>
      </c>
      <c r="J17">
        <v>82</v>
      </c>
      <c r="K17">
        <v>178</v>
      </c>
      <c r="L17">
        <v>39</v>
      </c>
      <c r="M17">
        <v>0</v>
      </c>
      <c r="N17">
        <v>1</v>
      </c>
      <c r="O17">
        <v>7</v>
      </c>
      <c r="P17">
        <v>9</v>
      </c>
      <c r="Q17">
        <v>15</v>
      </c>
      <c r="R17">
        <v>5</v>
      </c>
      <c r="S17">
        <v>20</v>
      </c>
      <c r="T17">
        <v>0</v>
      </c>
      <c r="U17">
        <v>5</v>
      </c>
      <c r="V17">
        <v>9</v>
      </c>
      <c r="W17">
        <v>30</v>
      </c>
      <c r="X17">
        <v>101</v>
      </c>
      <c r="Y17">
        <v>0</v>
      </c>
      <c r="Z17">
        <v>0</v>
      </c>
      <c r="AA17">
        <v>3</v>
      </c>
      <c r="AB17">
        <v>15</v>
      </c>
      <c r="AC17">
        <v>34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114</v>
      </c>
      <c r="AK17">
        <v>0</v>
      </c>
      <c r="AL17">
        <v>0</v>
      </c>
      <c r="AM17">
        <v>1</v>
      </c>
      <c r="AN17">
        <v>2</v>
      </c>
      <c r="AO17">
        <v>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234</v>
      </c>
      <c r="AW17">
        <v>30</v>
      </c>
      <c r="AX17">
        <v>3</v>
      </c>
      <c r="AY17">
        <v>12</v>
      </c>
      <c r="AZ17">
        <v>19</v>
      </c>
      <c r="BA17">
        <v>36</v>
      </c>
      <c r="BZ17">
        <v>32</v>
      </c>
      <c r="CA17">
        <v>0</v>
      </c>
      <c r="CB17">
        <v>0</v>
      </c>
      <c r="CC17">
        <v>0</v>
      </c>
      <c r="CD17">
        <v>1</v>
      </c>
      <c r="CE17">
        <v>1</v>
      </c>
      <c r="CX17">
        <v>41</v>
      </c>
      <c r="CY17">
        <v>0</v>
      </c>
      <c r="CZ17">
        <v>0</v>
      </c>
      <c r="DA17">
        <v>3</v>
      </c>
      <c r="DB17">
        <v>4</v>
      </c>
      <c r="DC17">
        <v>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35</v>
      </c>
      <c r="EO17">
        <v>0</v>
      </c>
      <c r="EP17">
        <v>0</v>
      </c>
      <c r="EQ17">
        <v>7</v>
      </c>
      <c r="ER17">
        <v>8</v>
      </c>
      <c r="ES17">
        <v>16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GD17">
        <v>69</v>
      </c>
      <c r="GE17">
        <v>0</v>
      </c>
      <c r="GF17">
        <v>0</v>
      </c>
      <c r="GG17">
        <v>2</v>
      </c>
      <c r="GH17">
        <v>2</v>
      </c>
      <c r="GI17">
        <v>6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18</v>
      </c>
      <c r="JE17">
        <v>0</v>
      </c>
      <c r="JF17">
        <v>0</v>
      </c>
      <c r="JG17">
        <v>0</v>
      </c>
      <c r="JH17">
        <v>1</v>
      </c>
      <c r="JI17">
        <v>2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LF17">
        <v>38</v>
      </c>
      <c r="LG17">
        <v>0</v>
      </c>
      <c r="LH17">
        <v>1</v>
      </c>
      <c r="LI17">
        <v>8</v>
      </c>
      <c r="LJ17">
        <v>12</v>
      </c>
      <c r="LK17">
        <v>22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</row>
    <row r="18" spans="1:359">
      <c r="A18" t="s">
        <v>389</v>
      </c>
      <c r="B18" t="s">
        <v>407</v>
      </c>
      <c r="C18">
        <v>100010435395</v>
      </c>
      <c r="D18" t="s">
        <v>391</v>
      </c>
      <c r="E18">
        <v>49</v>
      </c>
      <c r="F18">
        <v>299</v>
      </c>
      <c r="G18">
        <v>60</v>
      </c>
      <c r="H18">
        <v>5</v>
      </c>
      <c r="I18">
        <v>48</v>
      </c>
      <c r="J18">
        <v>70</v>
      </c>
      <c r="K18">
        <v>138</v>
      </c>
      <c r="L18">
        <v>64</v>
      </c>
      <c r="M18">
        <v>0</v>
      </c>
      <c r="N18">
        <v>1</v>
      </c>
      <c r="O18">
        <v>6</v>
      </c>
      <c r="P18">
        <v>6</v>
      </c>
      <c r="Q18">
        <v>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120</v>
      </c>
      <c r="Y18">
        <v>60</v>
      </c>
      <c r="Z18">
        <v>4</v>
      </c>
      <c r="AA18">
        <v>37</v>
      </c>
      <c r="AB18">
        <v>59</v>
      </c>
      <c r="AC18">
        <v>119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V18">
        <v>115</v>
      </c>
      <c r="AW18">
        <v>0</v>
      </c>
      <c r="AX18">
        <v>0</v>
      </c>
      <c r="AY18">
        <v>5</v>
      </c>
      <c r="AZ18">
        <v>5</v>
      </c>
      <c r="BA18">
        <v>13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</row>
    <row r="19" spans="1:359">
      <c r="A19" t="s">
        <v>389</v>
      </c>
      <c r="B19" t="s">
        <v>408</v>
      </c>
      <c r="C19">
        <v>100019896911</v>
      </c>
      <c r="D19" t="s">
        <v>391</v>
      </c>
      <c r="E19">
        <v>216</v>
      </c>
      <c r="F19">
        <v>290</v>
      </c>
      <c r="G19">
        <v>0</v>
      </c>
      <c r="H19">
        <v>3</v>
      </c>
      <c r="I19">
        <v>37</v>
      </c>
      <c r="J19">
        <v>46</v>
      </c>
      <c r="K19">
        <v>135</v>
      </c>
      <c r="L19">
        <v>59</v>
      </c>
      <c r="M19">
        <v>0</v>
      </c>
      <c r="N19">
        <v>0</v>
      </c>
      <c r="O19">
        <v>1</v>
      </c>
      <c r="P19">
        <v>1</v>
      </c>
      <c r="Q19">
        <v>12</v>
      </c>
      <c r="R19">
        <v>0</v>
      </c>
      <c r="S19">
        <v>0</v>
      </c>
      <c r="T19">
        <v>0</v>
      </c>
      <c r="U19">
        <v>0</v>
      </c>
      <c r="V19">
        <v>0</v>
      </c>
      <c r="W19">
        <v>4</v>
      </c>
      <c r="X19">
        <v>196</v>
      </c>
      <c r="Y19">
        <v>0</v>
      </c>
      <c r="Z19">
        <v>3</v>
      </c>
      <c r="AA19">
        <v>33</v>
      </c>
      <c r="AB19">
        <v>40</v>
      </c>
      <c r="AC19">
        <v>87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</v>
      </c>
      <c r="AV19">
        <v>24</v>
      </c>
      <c r="AW19">
        <v>0</v>
      </c>
      <c r="AX19">
        <v>0</v>
      </c>
      <c r="AY19">
        <v>2</v>
      </c>
      <c r="AZ19">
        <v>4</v>
      </c>
      <c r="BA19">
        <v>12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LF19">
        <v>11</v>
      </c>
      <c r="LG19">
        <v>0</v>
      </c>
      <c r="LH19">
        <v>0</v>
      </c>
      <c r="LI19">
        <v>1</v>
      </c>
      <c r="LJ19">
        <v>1</v>
      </c>
      <c r="LK19">
        <v>11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</row>
    <row r="20" spans="1:359">
      <c r="A20" t="s">
        <v>389</v>
      </c>
      <c r="B20" t="s">
        <v>409</v>
      </c>
      <c r="C20">
        <v>100289716337</v>
      </c>
      <c r="D20" t="s">
        <v>391</v>
      </c>
      <c r="E20">
        <v>24.5</v>
      </c>
      <c r="F20">
        <v>415</v>
      </c>
      <c r="G20">
        <v>20</v>
      </c>
      <c r="H20">
        <v>2</v>
      </c>
      <c r="I20">
        <v>35</v>
      </c>
      <c r="J20">
        <v>49</v>
      </c>
      <c r="K20">
        <v>117</v>
      </c>
      <c r="L20">
        <v>28</v>
      </c>
      <c r="M20">
        <v>0</v>
      </c>
      <c r="N20">
        <v>0</v>
      </c>
      <c r="O20">
        <v>9</v>
      </c>
      <c r="P20">
        <v>9</v>
      </c>
      <c r="Q20">
        <v>24</v>
      </c>
      <c r="R20">
        <v>0</v>
      </c>
      <c r="S20">
        <v>20</v>
      </c>
      <c r="T20">
        <v>0</v>
      </c>
      <c r="U20">
        <v>0</v>
      </c>
      <c r="V20">
        <v>0</v>
      </c>
      <c r="W20">
        <v>5</v>
      </c>
      <c r="X20">
        <v>84</v>
      </c>
      <c r="Y20">
        <v>0</v>
      </c>
      <c r="Z20">
        <v>2</v>
      </c>
      <c r="AA20">
        <v>4</v>
      </c>
      <c r="AB20">
        <v>7</v>
      </c>
      <c r="AC20">
        <v>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34</v>
      </c>
      <c r="AW20">
        <v>0</v>
      </c>
      <c r="AX20">
        <v>0</v>
      </c>
      <c r="AY20">
        <v>10</v>
      </c>
      <c r="AZ20">
        <v>13</v>
      </c>
      <c r="BA20">
        <v>32</v>
      </c>
      <c r="BZ20">
        <v>11</v>
      </c>
      <c r="CA20">
        <v>0</v>
      </c>
      <c r="CB20">
        <v>0</v>
      </c>
      <c r="CC20">
        <v>0</v>
      </c>
      <c r="CD20">
        <v>1</v>
      </c>
      <c r="CE20">
        <v>5</v>
      </c>
      <c r="CX20">
        <v>31</v>
      </c>
      <c r="CY20">
        <v>0</v>
      </c>
      <c r="CZ20">
        <v>0</v>
      </c>
      <c r="DA20">
        <v>3</v>
      </c>
      <c r="DB20">
        <v>5</v>
      </c>
      <c r="DC20">
        <v>5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EN20">
        <v>24</v>
      </c>
      <c r="EO20">
        <v>0</v>
      </c>
      <c r="EP20">
        <v>0</v>
      </c>
      <c r="EQ20">
        <v>2</v>
      </c>
      <c r="ER20">
        <v>4</v>
      </c>
      <c r="ES20">
        <v>10</v>
      </c>
      <c r="GD20">
        <v>36</v>
      </c>
      <c r="GE20">
        <v>0</v>
      </c>
      <c r="GF20">
        <v>0</v>
      </c>
      <c r="GG20">
        <v>0</v>
      </c>
      <c r="GH20">
        <v>0</v>
      </c>
      <c r="GI20">
        <v>3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LF20">
        <v>167</v>
      </c>
      <c r="LG20">
        <v>0</v>
      </c>
      <c r="LH20">
        <v>0</v>
      </c>
      <c r="LI20">
        <v>7</v>
      </c>
      <c r="LJ20">
        <v>10</v>
      </c>
      <c r="LK20">
        <v>16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</row>
    <row r="21" spans="1:359">
      <c r="A21" t="s">
        <v>389</v>
      </c>
      <c r="B21" t="s">
        <v>410</v>
      </c>
      <c r="C21">
        <v>100205639525</v>
      </c>
      <c r="D21" t="s">
        <v>391</v>
      </c>
      <c r="E21">
        <v>80</v>
      </c>
      <c r="F21">
        <v>254</v>
      </c>
      <c r="G21">
        <v>0</v>
      </c>
      <c r="H21">
        <v>2</v>
      </c>
      <c r="I21">
        <v>26</v>
      </c>
      <c r="J21">
        <v>39</v>
      </c>
      <c r="K21">
        <v>133</v>
      </c>
      <c r="L21">
        <v>35</v>
      </c>
      <c r="M21">
        <v>0</v>
      </c>
      <c r="N21">
        <v>0</v>
      </c>
      <c r="O21">
        <v>2</v>
      </c>
      <c r="P21">
        <v>6</v>
      </c>
      <c r="Q21">
        <v>15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126</v>
      </c>
      <c r="Y21">
        <v>0</v>
      </c>
      <c r="Z21">
        <v>1</v>
      </c>
      <c r="AA21">
        <v>19</v>
      </c>
      <c r="AB21">
        <v>24</v>
      </c>
      <c r="AC21">
        <v>85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V21">
        <v>77</v>
      </c>
      <c r="AW21">
        <v>0</v>
      </c>
      <c r="AX21">
        <v>0</v>
      </c>
      <c r="AY21">
        <v>3</v>
      </c>
      <c r="AZ21">
        <v>3</v>
      </c>
      <c r="BA21">
        <v>10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LF21">
        <v>16</v>
      </c>
      <c r="LG21">
        <v>0</v>
      </c>
      <c r="LH21">
        <v>1</v>
      </c>
      <c r="LI21">
        <v>2</v>
      </c>
      <c r="LJ21">
        <v>6</v>
      </c>
      <c r="LK21">
        <v>23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</row>
    <row r="22" spans="1:359">
      <c r="A22" t="s">
        <v>389</v>
      </c>
      <c r="B22" t="s">
        <v>411</v>
      </c>
      <c r="C22">
        <v>100378966926</v>
      </c>
      <c r="D22" t="s">
        <v>391</v>
      </c>
      <c r="E22">
        <v>41.5</v>
      </c>
      <c r="F22">
        <v>277</v>
      </c>
      <c r="G22">
        <v>120</v>
      </c>
      <c r="H22">
        <v>0</v>
      </c>
      <c r="I22">
        <v>20</v>
      </c>
      <c r="J22">
        <v>74</v>
      </c>
      <c r="K22">
        <v>207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</v>
      </c>
      <c r="T22">
        <v>0</v>
      </c>
      <c r="U22">
        <v>0</v>
      </c>
      <c r="V22">
        <v>3</v>
      </c>
      <c r="W22">
        <v>32</v>
      </c>
      <c r="X22">
        <v>42</v>
      </c>
      <c r="Y22">
        <v>0</v>
      </c>
      <c r="Z22">
        <v>0</v>
      </c>
      <c r="AA22">
        <v>12</v>
      </c>
      <c r="AB22">
        <v>22</v>
      </c>
      <c r="AC22">
        <v>44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13</v>
      </c>
      <c r="AK22">
        <v>0</v>
      </c>
      <c r="AL22">
        <v>0</v>
      </c>
      <c r="AM22">
        <v>2</v>
      </c>
      <c r="AN22">
        <v>5</v>
      </c>
      <c r="AO22">
        <v>16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30</v>
      </c>
      <c r="AX22">
        <v>0</v>
      </c>
      <c r="AY22">
        <v>0</v>
      </c>
      <c r="AZ22">
        <v>0</v>
      </c>
      <c r="BA22">
        <v>20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32</v>
      </c>
      <c r="CA22">
        <v>0</v>
      </c>
      <c r="CB22">
        <v>0</v>
      </c>
      <c r="CC22">
        <v>1</v>
      </c>
      <c r="CD22">
        <v>3</v>
      </c>
      <c r="CE22">
        <v>8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X22">
        <v>131</v>
      </c>
      <c r="CY22">
        <v>50</v>
      </c>
      <c r="CZ22">
        <v>0</v>
      </c>
      <c r="DA22">
        <v>2</v>
      </c>
      <c r="DB22">
        <v>35</v>
      </c>
      <c r="DC22">
        <v>36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3</v>
      </c>
      <c r="ER22">
        <v>6</v>
      </c>
      <c r="ES22">
        <v>27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2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56</v>
      </c>
      <c r="JE22">
        <v>0</v>
      </c>
      <c r="JF22">
        <v>0</v>
      </c>
      <c r="JG22">
        <v>0</v>
      </c>
      <c r="JH22">
        <v>0</v>
      </c>
      <c r="JI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LF22">
        <v>0</v>
      </c>
      <c r="LG22">
        <v>20</v>
      </c>
      <c r="LH22">
        <v>0</v>
      </c>
      <c r="LI22">
        <v>0</v>
      </c>
      <c r="LJ22">
        <v>0</v>
      </c>
      <c r="LK22">
        <v>24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</row>
    <row r="23" spans="1:359">
      <c r="A23" t="s">
        <v>389</v>
      </c>
      <c r="B23" t="s">
        <v>412</v>
      </c>
      <c r="C23">
        <v>100160527042</v>
      </c>
      <c r="D23" t="s">
        <v>391</v>
      </c>
      <c r="E23">
        <v>52</v>
      </c>
      <c r="F23">
        <v>232</v>
      </c>
      <c r="G23">
        <v>0</v>
      </c>
      <c r="H23">
        <v>4</v>
      </c>
      <c r="I23">
        <v>20</v>
      </c>
      <c r="J23">
        <v>35</v>
      </c>
      <c r="K23">
        <v>56</v>
      </c>
      <c r="L23">
        <v>19</v>
      </c>
      <c r="M23">
        <v>0</v>
      </c>
      <c r="N23">
        <v>0</v>
      </c>
      <c r="O23">
        <v>2</v>
      </c>
      <c r="P23">
        <v>2</v>
      </c>
      <c r="Q23">
        <v>5</v>
      </c>
      <c r="R23">
        <v>0</v>
      </c>
      <c r="S23">
        <v>0</v>
      </c>
      <c r="T23">
        <v>0</v>
      </c>
      <c r="U23">
        <v>0</v>
      </c>
      <c r="V23">
        <v>1</v>
      </c>
      <c r="W23">
        <v>9</v>
      </c>
      <c r="X23">
        <v>141</v>
      </c>
      <c r="Y23">
        <v>0</v>
      </c>
      <c r="Z23">
        <v>1</v>
      </c>
      <c r="AA23">
        <v>4</v>
      </c>
      <c r="AB23">
        <v>15</v>
      </c>
      <c r="AC23">
        <v>18</v>
      </c>
      <c r="AD23">
        <v>0</v>
      </c>
      <c r="AE23">
        <v>0</v>
      </c>
      <c r="AF23">
        <v>0</v>
      </c>
      <c r="AG23">
        <v>6</v>
      </c>
      <c r="AH23">
        <v>9</v>
      </c>
      <c r="AI23">
        <v>16</v>
      </c>
      <c r="AV23">
        <v>72</v>
      </c>
      <c r="AW23">
        <v>0</v>
      </c>
      <c r="AX23">
        <v>3</v>
      </c>
      <c r="AY23">
        <v>8</v>
      </c>
      <c r="AZ23">
        <v>8</v>
      </c>
      <c r="BA23">
        <v>8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</row>
    <row r="24" spans="1:359">
      <c r="A24" t="s">
        <v>389</v>
      </c>
      <c r="B24" t="s">
        <v>413</v>
      </c>
      <c r="C24">
        <v>3396754</v>
      </c>
      <c r="D24" t="s">
        <v>391</v>
      </c>
      <c r="E24">
        <v>80</v>
      </c>
      <c r="F24">
        <v>171</v>
      </c>
      <c r="G24">
        <v>0</v>
      </c>
      <c r="H24">
        <v>5</v>
      </c>
      <c r="I24">
        <v>16</v>
      </c>
      <c r="J24">
        <v>23</v>
      </c>
      <c r="K24">
        <v>53</v>
      </c>
      <c r="L24">
        <v>37</v>
      </c>
      <c r="M24">
        <v>0</v>
      </c>
      <c r="N24">
        <v>0</v>
      </c>
      <c r="O24">
        <v>1</v>
      </c>
      <c r="P24">
        <v>6</v>
      </c>
      <c r="Q24">
        <v>10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105</v>
      </c>
      <c r="Y24">
        <v>0</v>
      </c>
      <c r="Z24">
        <v>3</v>
      </c>
      <c r="AA24">
        <v>7</v>
      </c>
      <c r="AB24">
        <v>8</v>
      </c>
      <c r="AC24">
        <v>25</v>
      </c>
      <c r="AD24">
        <v>6</v>
      </c>
      <c r="AE24">
        <v>0</v>
      </c>
      <c r="AF24">
        <v>0</v>
      </c>
      <c r="AG24">
        <v>1</v>
      </c>
      <c r="AH24">
        <v>1</v>
      </c>
      <c r="AI24">
        <v>2</v>
      </c>
      <c r="AV24">
        <v>10</v>
      </c>
      <c r="AW24">
        <v>0</v>
      </c>
      <c r="AX24">
        <v>2</v>
      </c>
      <c r="AY24">
        <v>5</v>
      </c>
      <c r="AZ24">
        <v>6</v>
      </c>
      <c r="BA24">
        <v>11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LF24">
        <v>13</v>
      </c>
      <c r="LG24">
        <v>0</v>
      </c>
      <c r="LH24">
        <v>0</v>
      </c>
      <c r="LI24">
        <v>2</v>
      </c>
      <c r="LJ24">
        <v>2</v>
      </c>
      <c r="LK24">
        <v>5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</row>
    <row r="25" spans="1:359">
      <c r="A25" t="s">
        <v>389</v>
      </c>
      <c r="B25" t="s">
        <v>414</v>
      </c>
      <c r="C25">
        <v>100290836407</v>
      </c>
      <c r="D25" t="s">
        <v>391</v>
      </c>
      <c r="E25">
        <v>43.5</v>
      </c>
      <c r="F25">
        <v>141</v>
      </c>
      <c r="G25">
        <v>50</v>
      </c>
      <c r="H25">
        <v>5</v>
      </c>
      <c r="I25">
        <v>14</v>
      </c>
      <c r="J25">
        <v>23</v>
      </c>
      <c r="K25">
        <v>81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</v>
      </c>
      <c r="T25">
        <v>0</v>
      </c>
      <c r="U25">
        <v>0</v>
      </c>
      <c r="V25">
        <v>0</v>
      </c>
      <c r="W25">
        <v>11</v>
      </c>
      <c r="X25">
        <v>50</v>
      </c>
      <c r="Y25">
        <v>0</v>
      </c>
      <c r="Z25">
        <v>2</v>
      </c>
      <c r="AA25">
        <v>2</v>
      </c>
      <c r="AB25">
        <v>3</v>
      </c>
      <c r="AC25">
        <v>20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15</v>
      </c>
      <c r="AW25">
        <v>30</v>
      </c>
      <c r="AX25">
        <v>0</v>
      </c>
      <c r="AY25">
        <v>7</v>
      </c>
      <c r="AZ25">
        <v>14</v>
      </c>
      <c r="BA25">
        <v>28</v>
      </c>
      <c r="BZ25">
        <v>13</v>
      </c>
      <c r="CA25">
        <v>0</v>
      </c>
      <c r="CB25">
        <v>1</v>
      </c>
      <c r="CC25">
        <v>1</v>
      </c>
      <c r="CD25">
        <v>1</v>
      </c>
      <c r="CE25">
        <v>6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34</v>
      </c>
      <c r="EO25">
        <v>0</v>
      </c>
      <c r="EP25">
        <v>0</v>
      </c>
      <c r="EQ25">
        <v>0</v>
      </c>
      <c r="ER25">
        <v>0</v>
      </c>
      <c r="ES25">
        <v>5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19</v>
      </c>
      <c r="JE25">
        <v>0</v>
      </c>
      <c r="JF25">
        <v>0</v>
      </c>
      <c r="JG25">
        <v>1</v>
      </c>
      <c r="JH25">
        <v>1</v>
      </c>
      <c r="JI25">
        <v>1</v>
      </c>
      <c r="LF25">
        <v>10</v>
      </c>
      <c r="LG25">
        <v>0</v>
      </c>
      <c r="LH25">
        <v>2</v>
      </c>
      <c r="LI25">
        <v>3</v>
      </c>
      <c r="LJ25">
        <v>4</v>
      </c>
      <c r="LK25">
        <v>10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</row>
    <row r="26" spans="1:359">
      <c r="A26" t="s">
        <v>389</v>
      </c>
      <c r="B26" t="s">
        <v>415</v>
      </c>
      <c r="C26">
        <v>100022327029</v>
      </c>
      <c r="D26" t="s">
        <v>391</v>
      </c>
      <c r="E26">
        <v>73</v>
      </c>
      <c r="F26">
        <v>111</v>
      </c>
      <c r="G26">
        <v>0</v>
      </c>
      <c r="H26">
        <v>2</v>
      </c>
      <c r="I26">
        <v>13</v>
      </c>
      <c r="J26">
        <v>23</v>
      </c>
      <c r="K26">
        <v>52</v>
      </c>
      <c r="L26">
        <v>32</v>
      </c>
      <c r="M26">
        <v>0</v>
      </c>
      <c r="N26">
        <v>0</v>
      </c>
      <c r="O26">
        <v>1</v>
      </c>
      <c r="P26">
        <v>1</v>
      </c>
      <c r="Q26">
        <v>5</v>
      </c>
      <c r="R26">
        <v>0</v>
      </c>
      <c r="S26">
        <v>0</v>
      </c>
      <c r="T26">
        <v>0</v>
      </c>
      <c r="U26">
        <v>0</v>
      </c>
      <c r="V26">
        <v>3</v>
      </c>
      <c r="W26">
        <v>6</v>
      </c>
      <c r="X26">
        <v>61</v>
      </c>
      <c r="Y26">
        <v>0</v>
      </c>
      <c r="Z26">
        <v>1</v>
      </c>
      <c r="AA26">
        <v>9</v>
      </c>
      <c r="AB26">
        <v>15</v>
      </c>
      <c r="AC26">
        <v>29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V26">
        <v>18</v>
      </c>
      <c r="AW26">
        <v>0</v>
      </c>
      <c r="AX26">
        <v>1</v>
      </c>
      <c r="AY26">
        <v>3</v>
      </c>
      <c r="AZ26">
        <v>4</v>
      </c>
      <c r="BA26">
        <v>12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</row>
    <row r="27" spans="1:359">
      <c r="A27" t="s">
        <v>389</v>
      </c>
      <c r="B27" t="s">
        <v>416</v>
      </c>
      <c r="C27">
        <v>100314288492</v>
      </c>
      <c r="D27" t="s">
        <v>391</v>
      </c>
      <c r="E27">
        <v>50</v>
      </c>
      <c r="F27">
        <v>297</v>
      </c>
      <c r="G27">
        <v>0</v>
      </c>
      <c r="H27">
        <v>0</v>
      </c>
      <c r="I27">
        <v>13</v>
      </c>
      <c r="J27">
        <v>27</v>
      </c>
      <c r="K27">
        <v>75</v>
      </c>
      <c r="L27">
        <v>16</v>
      </c>
      <c r="M27">
        <v>0</v>
      </c>
      <c r="N27">
        <v>0</v>
      </c>
      <c r="O27">
        <v>0</v>
      </c>
      <c r="P27">
        <v>1</v>
      </c>
      <c r="Q27">
        <v>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255</v>
      </c>
      <c r="Y27">
        <v>0</v>
      </c>
      <c r="Z27">
        <v>0</v>
      </c>
      <c r="AA27">
        <v>10</v>
      </c>
      <c r="AB27">
        <v>21</v>
      </c>
      <c r="AC27">
        <v>38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17</v>
      </c>
      <c r="AW27">
        <v>0</v>
      </c>
      <c r="AX27">
        <v>0</v>
      </c>
      <c r="AY27">
        <v>0</v>
      </c>
      <c r="AZ27">
        <v>0</v>
      </c>
      <c r="BA27">
        <v>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LF27">
        <v>9</v>
      </c>
      <c r="LG27">
        <v>0</v>
      </c>
      <c r="LH27">
        <v>0</v>
      </c>
      <c r="LI27">
        <v>3</v>
      </c>
      <c r="LJ27">
        <v>4</v>
      </c>
      <c r="LK27">
        <v>10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</row>
    <row r="28" spans="1:359">
      <c r="A28" t="s">
        <v>389</v>
      </c>
      <c r="B28" t="s">
        <v>417</v>
      </c>
      <c r="C28">
        <v>100016216960</v>
      </c>
      <c r="D28" t="s">
        <v>391</v>
      </c>
      <c r="E28">
        <v>42</v>
      </c>
      <c r="F28">
        <v>194</v>
      </c>
      <c r="G28">
        <v>0</v>
      </c>
      <c r="H28">
        <v>0</v>
      </c>
      <c r="I28">
        <v>12</v>
      </c>
      <c r="J28">
        <v>14</v>
      </c>
      <c r="K28">
        <v>27</v>
      </c>
      <c r="L28">
        <v>19</v>
      </c>
      <c r="M28">
        <v>0</v>
      </c>
      <c r="N28">
        <v>0</v>
      </c>
      <c r="O28">
        <v>0</v>
      </c>
      <c r="P28">
        <v>0</v>
      </c>
      <c r="Q28">
        <v>0</v>
      </c>
      <c r="R28">
        <v>10</v>
      </c>
      <c r="S28">
        <v>0</v>
      </c>
      <c r="T28">
        <v>0</v>
      </c>
      <c r="U28">
        <v>0</v>
      </c>
      <c r="V28">
        <v>0</v>
      </c>
      <c r="W28">
        <v>3</v>
      </c>
      <c r="X28">
        <v>158</v>
      </c>
      <c r="Y28">
        <v>0</v>
      </c>
      <c r="Z28">
        <v>0</v>
      </c>
      <c r="AA28">
        <v>9</v>
      </c>
      <c r="AB28">
        <v>11</v>
      </c>
      <c r="AC28">
        <v>14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V28">
        <v>4</v>
      </c>
      <c r="AW28">
        <v>0</v>
      </c>
      <c r="AX28">
        <v>0</v>
      </c>
      <c r="AY28">
        <v>2</v>
      </c>
      <c r="AZ28">
        <v>2</v>
      </c>
      <c r="BA28">
        <v>8</v>
      </c>
      <c r="LF28">
        <v>3</v>
      </c>
      <c r="LG28">
        <v>0</v>
      </c>
      <c r="LH28">
        <v>0</v>
      </c>
      <c r="LI28">
        <v>1</v>
      </c>
      <c r="LJ28">
        <v>1</v>
      </c>
      <c r="LK28">
        <v>2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</row>
    <row r="29" spans="1:359">
      <c r="A29" t="s">
        <v>389</v>
      </c>
      <c r="B29" t="s">
        <v>418</v>
      </c>
      <c r="C29">
        <v>3045249</v>
      </c>
      <c r="D29" t="s">
        <v>391</v>
      </c>
      <c r="E29">
        <v>78</v>
      </c>
      <c r="F29">
        <v>239</v>
      </c>
      <c r="G29">
        <v>0</v>
      </c>
      <c r="H29">
        <v>1</v>
      </c>
      <c r="I29">
        <v>11</v>
      </c>
      <c r="J29">
        <v>21</v>
      </c>
      <c r="K29">
        <v>31</v>
      </c>
      <c r="L29">
        <v>73</v>
      </c>
      <c r="M29">
        <v>0</v>
      </c>
      <c r="N29">
        <v>1</v>
      </c>
      <c r="O29">
        <v>2</v>
      </c>
      <c r="P29">
        <v>2</v>
      </c>
      <c r="Q29">
        <v>4</v>
      </c>
      <c r="R29">
        <v>27</v>
      </c>
      <c r="S29">
        <v>0</v>
      </c>
      <c r="T29">
        <v>0</v>
      </c>
      <c r="U29">
        <v>0</v>
      </c>
      <c r="V29">
        <v>3</v>
      </c>
      <c r="W29">
        <v>3</v>
      </c>
      <c r="X29">
        <v>68</v>
      </c>
      <c r="Y29">
        <v>0</v>
      </c>
      <c r="Z29">
        <v>0</v>
      </c>
      <c r="AA29">
        <v>4</v>
      </c>
      <c r="AB29">
        <v>8</v>
      </c>
      <c r="AC29">
        <v>10</v>
      </c>
      <c r="AD29">
        <v>14</v>
      </c>
      <c r="AE29">
        <v>0</v>
      </c>
      <c r="AF29">
        <v>0</v>
      </c>
      <c r="AG29">
        <v>0</v>
      </c>
      <c r="AH29">
        <v>0</v>
      </c>
      <c r="AI29">
        <v>3</v>
      </c>
      <c r="AV29">
        <v>47</v>
      </c>
      <c r="AW29">
        <v>0</v>
      </c>
      <c r="AX29">
        <v>0</v>
      </c>
      <c r="AY29">
        <v>2</v>
      </c>
      <c r="AZ29">
        <v>4</v>
      </c>
      <c r="BA29">
        <v>5</v>
      </c>
      <c r="LF29">
        <v>10</v>
      </c>
      <c r="LG29">
        <v>0</v>
      </c>
      <c r="LH29">
        <v>0</v>
      </c>
      <c r="LI29">
        <v>3</v>
      </c>
      <c r="LJ29">
        <v>4</v>
      </c>
      <c r="LK29">
        <v>6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</row>
    <row r="30" spans="1:359">
      <c r="A30" t="s">
        <v>389</v>
      </c>
      <c r="B30" t="s">
        <v>419</v>
      </c>
      <c r="C30">
        <v>100378969104</v>
      </c>
      <c r="D30" t="s">
        <v>391</v>
      </c>
      <c r="E30">
        <v>41.5</v>
      </c>
      <c r="F30">
        <v>127</v>
      </c>
      <c r="G30">
        <v>40</v>
      </c>
      <c r="H30">
        <v>3</v>
      </c>
      <c r="I30">
        <v>9</v>
      </c>
      <c r="J30">
        <v>13</v>
      </c>
      <c r="K30">
        <v>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20</v>
      </c>
      <c r="T30">
        <v>0</v>
      </c>
      <c r="U30">
        <v>0</v>
      </c>
      <c r="V30">
        <v>0</v>
      </c>
      <c r="W30">
        <v>0</v>
      </c>
      <c r="X30">
        <v>48</v>
      </c>
      <c r="Y30">
        <v>0</v>
      </c>
      <c r="Z30">
        <v>2</v>
      </c>
      <c r="AA30">
        <v>2</v>
      </c>
      <c r="AB30">
        <v>2</v>
      </c>
      <c r="AC30">
        <v>2</v>
      </c>
      <c r="AJ30">
        <v>2</v>
      </c>
      <c r="AK30">
        <v>0</v>
      </c>
      <c r="AL30">
        <v>0</v>
      </c>
      <c r="AM30">
        <v>1</v>
      </c>
      <c r="AN30">
        <v>4</v>
      </c>
      <c r="AO30">
        <v>15</v>
      </c>
      <c r="AV30">
        <v>13</v>
      </c>
      <c r="AW30">
        <v>0</v>
      </c>
      <c r="AX30">
        <v>0</v>
      </c>
      <c r="AY30">
        <v>4</v>
      </c>
      <c r="AZ30">
        <v>5</v>
      </c>
      <c r="BA30">
        <v>11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X30">
        <v>22</v>
      </c>
      <c r="CY30">
        <v>0</v>
      </c>
      <c r="CZ30">
        <v>1</v>
      </c>
      <c r="DA30">
        <v>2</v>
      </c>
      <c r="DB30">
        <v>2</v>
      </c>
      <c r="DC30">
        <v>6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JD30">
        <v>42</v>
      </c>
      <c r="JE30">
        <v>0</v>
      </c>
      <c r="JF30">
        <v>0</v>
      </c>
      <c r="JG30">
        <v>0</v>
      </c>
      <c r="JH30">
        <v>0</v>
      </c>
      <c r="JI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LF30">
        <v>0</v>
      </c>
      <c r="LG30">
        <v>20</v>
      </c>
      <c r="LH30">
        <v>0</v>
      </c>
      <c r="LI30">
        <v>0</v>
      </c>
      <c r="LJ30">
        <v>0</v>
      </c>
      <c r="LK30">
        <v>2</v>
      </c>
    </row>
    <row r="31" spans="1:359">
      <c r="A31" t="s">
        <v>389</v>
      </c>
      <c r="B31" t="s">
        <v>420</v>
      </c>
      <c r="C31">
        <v>100379261312</v>
      </c>
      <c r="D31" t="s">
        <v>391</v>
      </c>
      <c r="E31">
        <v>23.5</v>
      </c>
      <c r="F31">
        <v>100</v>
      </c>
      <c r="G31">
        <v>40</v>
      </c>
      <c r="H31">
        <v>2</v>
      </c>
      <c r="I31">
        <v>7</v>
      </c>
      <c r="J31">
        <v>10</v>
      </c>
      <c r="K31">
        <v>34</v>
      </c>
      <c r="R31">
        <v>0</v>
      </c>
      <c r="S31">
        <v>20</v>
      </c>
      <c r="T31">
        <v>0</v>
      </c>
      <c r="U31">
        <v>0</v>
      </c>
      <c r="V31">
        <v>0</v>
      </c>
      <c r="W31">
        <v>0</v>
      </c>
      <c r="X31">
        <v>74</v>
      </c>
      <c r="Y31">
        <v>0</v>
      </c>
      <c r="Z31">
        <v>2</v>
      </c>
      <c r="AA31">
        <v>2</v>
      </c>
      <c r="AB31">
        <v>4</v>
      </c>
      <c r="AC31">
        <v>7</v>
      </c>
      <c r="AV31">
        <v>0</v>
      </c>
      <c r="AW31">
        <v>20</v>
      </c>
      <c r="AX31">
        <v>0</v>
      </c>
      <c r="AY31">
        <v>0</v>
      </c>
      <c r="AZ31">
        <v>1</v>
      </c>
      <c r="BA31">
        <v>11</v>
      </c>
      <c r="BZ31">
        <v>7</v>
      </c>
      <c r="CA31">
        <v>0</v>
      </c>
      <c r="CB31">
        <v>0</v>
      </c>
      <c r="CC31">
        <v>0</v>
      </c>
      <c r="CD31">
        <v>0</v>
      </c>
      <c r="CE31">
        <v>3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LF31">
        <v>19</v>
      </c>
      <c r="LG31">
        <v>0</v>
      </c>
      <c r="LH31">
        <v>0</v>
      </c>
      <c r="LI31">
        <v>5</v>
      </c>
      <c r="LJ31">
        <v>5</v>
      </c>
      <c r="LK31">
        <v>13</v>
      </c>
    </row>
    <row r="32" spans="1:359">
      <c r="A32" t="s">
        <v>389</v>
      </c>
      <c r="B32" t="s">
        <v>421</v>
      </c>
      <c r="C32">
        <v>100286224075</v>
      </c>
      <c r="D32" t="s">
        <v>391</v>
      </c>
      <c r="E32">
        <v>47.6</v>
      </c>
      <c r="F32">
        <v>92</v>
      </c>
      <c r="G32">
        <v>0</v>
      </c>
      <c r="H32">
        <v>2</v>
      </c>
      <c r="I32">
        <v>6</v>
      </c>
      <c r="J32">
        <v>16</v>
      </c>
      <c r="K32">
        <v>36</v>
      </c>
      <c r="L32">
        <v>16</v>
      </c>
      <c r="M32">
        <v>0</v>
      </c>
      <c r="N32">
        <v>0</v>
      </c>
      <c r="O32">
        <v>2</v>
      </c>
      <c r="P32">
        <v>4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28</v>
      </c>
      <c r="Y32">
        <v>0</v>
      </c>
      <c r="Z32">
        <v>1</v>
      </c>
      <c r="AA32">
        <v>3</v>
      </c>
      <c r="AB32">
        <v>8</v>
      </c>
      <c r="AC32">
        <v>17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36</v>
      </c>
      <c r="AW32">
        <v>0</v>
      </c>
      <c r="AX32">
        <v>0</v>
      </c>
      <c r="AY32">
        <v>0</v>
      </c>
      <c r="AZ32">
        <v>0</v>
      </c>
      <c r="BA32">
        <v>3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LF32">
        <v>12</v>
      </c>
      <c r="LG32">
        <v>0</v>
      </c>
      <c r="LH32">
        <v>1</v>
      </c>
      <c r="LI32">
        <v>1</v>
      </c>
      <c r="LJ32">
        <v>4</v>
      </c>
      <c r="LK32">
        <v>12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</row>
    <row r="33" spans="1:359">
      <c r="A33" t="s">
        <v>389</v>
      </c>
      <c r="B33" t="s">
        <v>422</v>
      </c>
      <c r="C33">
        <v>100378935094</v>
      </c>
      <c r="D33" t="s">
        <v>391</v>
      </c>
      <c r="E33">
        <v>41.5</v>
      </c>
      <c r="F33">
        <v>109</v>
      </c>
      <c r="G33">
        <v>80</v>
      </c>
      <c r="H33">
        <v>1</v>
      </c>
      <c r="I33">
        <v>4</v>
      </c>
      <c r="J33">
        <v>11</v>
      </c>
      <c r="K33">
        <v>33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20</v>
      </c>
      <c r="T33">
        <v>0</v>
      </c>
      <c r="U33">
        <v>0</v>
      </c>
      <c r="V33">
        <v>0</v>
      </c>
      <c r="W33">
        <v>0</v>
      </c>
      <c r="X33">
        <v>79</v>
      </c>
      <c r="Y33">
        <v>0</v>
      </c>
      <c r="Z33">
        <v>1</v>
      </c>
      <c r="AA33">
        <v>1</v>
      </c>
      <c r="AB33">
        <v>4</v>
      </c>
      <c r="AC33">
        <v>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20</v>
      </c>
      <c r="AW33">
        <v>0</v>
      </c>
      <c r="AX33">
        <v>0</v>
      </c>
      <c r="AY33">
        <v>2</v>
      </c>
      <c r="AZ33">
        <v>3</v>
      </c>
      <c r="BA33">
        <v>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3</v>
      </c>
      <c r="CE33">
        <v>9</v>
      </c>
      <c r="CX33">
        <v>0</v>
      </c>
      <c r="CY33">
        <v>40</v>
      </c>
      <c r="CZ33">
        <v>0</v>
      </c>
      <c r="DA33">
        <v>0</v>
      </c>
      <c r="DB33">
        <v>0</v>
      </c>
      <c r="DC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N33">
        <v>9</v>
      </c>
      <c r="EO33">
        <v>0</v>
      </c>
      <c r="EP33">
        <v>0</v>
      </c>
      <c r="EQ33">
        <v>1</v>
      </c>
      <c r="ER33">
        <v>1</v>
      </c>
      <c r="ES33">
        <v>12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LF33">
        <v>0</v>
      </c>
      <c r="LG33">
        <v>20</v>
      </c>
      <c r="LH33">
        <v>0</v>
      </c>
      <c r="LI33">
        <v>0</v>
      </c>
      <c r="LJ33">
        <v>0</v>
      </c>
      <c r="LK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</row>
    <row r="34" spans="1:359">
      <c r="A34" t="s">
        <v>389</v>
      </c>
      <c r="B34" t="s">
        <v>423</v>
      </c>
      <c r="C34">
        <v>4198934</v>
      </c>
      <c r="D34" t="s">
        <v>391</v>
      </c>
      <c r="E34">
        <v>96</v>
      </c>
      <c r="F34">
        <v>189</v>
      </c>
      <c r="G34">
        <v>0</v>
      </c>
      <c r="H34">
        <v>1</v>
      </c>
      <c r="I34">
        <v>3</v>
      </c>
      <c r="J34">
        <v>16</v>
      </c>
      <c r="K34">
        <v>38</v>
      </c>
      <c r="L34">
        <v>20</v>
      </c>
      <c r="M34">
        <v>0</v>
      </c>
      <c r="N34">
        <v>0</v>
      </c>
      <c r="O34">
        <v>1</v>
      </c>
      <c r="P34">
        <v>4</v>
      </c>
      <c r="Q34">
        <v>7</v>
      </c>
      <c r="R34">
        <v>16</v>
      </c>
      <c r="S34">
        <v>0</v>
      </c>
      <c r="T34">
        <v>0</v>
      </c>
      <c r="U34">
        <v>0</v>
      </c>
      <c r="V34">
        <v>3</v>
      </c>
      <c r="W34">
        <v>7</v>
      </c>
      <c r="X34">
        <v>89</v>
      </c>
      <c r="Y34">
        <v>0</v>
      </c>
      <c r="Z34">
        <v>1</v>
      </c>
      <c r="AA34">
        <v>2</v>
      </c>
      <c r="AB34">
        <v>5</v>
      </c>
      <c r="AC34">
        <v>11</v>
      </c>
      <c r="AD34">
        <v>10</v>
      </c>
      <c r="AE34">
        <v>0</v>
      </c>
      <c r="AF34">
        <v>0</v>
      </c>
      <c r="AG34">
        <v>0</v>
      </c>
      <c r="AH34">
        <v>2</v>
      </c>
      <c r="AI34">
        <v>10</v>
      </c>
      <c r="AV34">
        <v>37</v>
      </c>
      <c r="AW34">
        <v>0</v>
      </c>
      <c r="AX34">
        <v>0</v>
      </c>
      <c r="AY34">
        <v>0</v>
      </c>
      <c r="AZ34">
        <v>1</v>
      </c>
      <c r="BA34">
        <v>1</v>
      </c>
      <c r="LF34">
        <v>17</v>
      </c>
      <c r="LG34">
        <v>0</v>
      </c>
      <c r="LH34">
        <v>0</v>
      </c>
      <c r="LI34">
        <v>0</v>
      </c>
      <c r="LJ34">
        <v>1</v>
      </c>
      <c r="LK34">
        <v>2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</row>
    <row r="35" spans="1:359">
      <c r="A35" t="s">
        <v>389</v>
      </c>
      <c r="B35" t="s">
        <v>424</v>
      </c>
      <c r="C35">
        <v>3751447</v>
      </c>
      <c r="D35" t="s">
        <v>391</v>
      </c>
      <c r="E35">
        <v>110</v>
      </c>
      <c r="F35">
        <v>174</v>
      </c>
      <c r="G35">
        <v>0</v>
      </c>
      <c r="H35">
        <v>0</v>
      </c>
      <c r="I35">
        <v>3</v>
      </c>
      <c r="J35">
        <v>11</v>
      </c>
      <c r="K35">
        <v>71</v>
      </c>
      <c r="L35">
        <v>17</v>
      </c>
      <c r="M35">
        <v>0</v>
      </c>
      <c r="N35">
        <v>0</v>
      </c>
      <c r="O35">
        <v>1</v>
      </c>
      <c r="P35">
        <v>1</v>
      </c>
      <c r="Q35">
        <v>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105</v>
      </c>
      <c r="Y35">
        <v>0</v>
      </c>
      <c r="Z35">
        <v>0</v>
      </c>
      <c r="AA35">
        <v>2</v>
      </c>
      <c r="AB35">
        <v>8</v>
      </c>
      <c r="AC35">
        <v>52</v>
      </c>
      <c r="AD35">
        <v>12</v>
      </c>
      <c r="AE35">
        <v>0</v>
      </c>
      <c r="AF35">
        <v>0</v>
      </c>
      <c r="AG35">
        <v>0</v>
      </c>
      <c r="AH35">
        <v>0</v>
      </c>
      <c r="AI35">
        <v>1</v>
      </c>
      <c r="AV35">
        <v>31</v>
      </c>
      <c r="AW35">
        <v>0</v>
      </c>
      <c r="AX35">
        <v>0</v>
      </c>
      <c r="AY35">
        <v>0</v>
      </c>
      <c r="AZ35">
        <v>1</v>
      </c>
      <c r="BA35">
        <v>5</v>
      </c>
      <c r="LF35">
        <v>9</v>
      </c>
      <c r="LG35">
        <v>0</v>
      </c>
      <c r="LH35">
        <v>0</v>
      </c>
      <c r="LI35">
        <v>0</v>
      </c>
      <c r="LJ35">
        <v>1</v>
      </c>
      <c r="LK35">
        <v>8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</row>
    <row r="36" spans="1:359">
      <c r="A36" t="s">
        <v>389</v>
      </c>
      <c r="B36" t="s">
        <v>425</v>
      </c>
      <c r="C36">
        <v>100233229094</v>
      </c>
      <c r="D36" t="s">
        <v>391</v>
      </c>
      <c r="E36">
        <v>27.5</v>
      </c>
      <c r="F36">
        <v>132</v>
      </c>
      <c r="G36">
        <v>0</v>
      </c>
      <c r="H36">
        <v>0</v>
      </c>
      <c r="I36">
        <v>3</v>
      </c>
      <c r="J36">
        <v>8</v>
      </c>
      <c r="K36">
        <v>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129</v>
      </c>
      <c r="Y36">
        <v>0</v>
      </c>
      <c r="Z36">
        <v>0</v>
      </c>
      <c r="AA36">
        <v>2</v>
      </c>
      <c r="AB36">
        <v>3</v>
      </c>
      <c r="AC36">
        <v>8</v>
      </c>
      <c r="AD36">
        <v>3</v>
      </c>
      <c r="AE36">
        <v>0</v>
      </c>
      <c r="AF36">
        <v>0</v>
      </c>
      <c r="AG36">
        <v>1</v>
      </c>
      <c r="AH36">
        <v>5</v>
      </c>
      <c r="AI36">
        <v>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</row>
    <row r="37" spans="1:359">
      <c r="A37" t="s">
        <v>389</v>
      </c>
      <c r="B37" t="s">
        <v>426</v>
      </c>
      <c r="C37">
        <v>100290837399</v>
      </c>
      <c r="D37" t="s">
        <v>391</v>
      </c>
      <c r="E37">
        <v>43.5</v>
      </c>
      <c r="F37">
        <v>145</v>
      </c>
      <c r="G37">
        <v>0</v>
      </c>
      <c r="H37">
        <v>0</v>
      </c>
      <c r="I37">
        <v>3</v>
      </c>
      <c r="J37">
        <v>4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48</v>
      </c>
      <c r="Y37">
        <v>0</v>
      </c>
      <c r="Z37">
        <v>0</v>
      </c>
      <c r="AA37">
        <v>2</v>
      </c>
      <c r="AB37">
        <v>2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97</v>
      </c>
      <c r="AW37">
        <v>0</v>
      </c>
      <c r="AX37">
        <v>0</v>
      </c>
      <c r="AY37">
        <v>1</v>
      </c>
      <c r="AZ37">
        <v>2</v>
      </c>
      <c r="BA37">
        <v>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</row>
    <row r="38" spans="1:359">
      <c r="A38" t="s">
        <v>389</v>
      </c>
      <c r="B38" t="s">
        <v>427</v>
      </c>
      <c r="C38">
        <v>100233229068</v>
      </c>
      <c r="D38" t="s">
        <v>391</v>
      </c>
      <c r="E38">
        <v>55.5</v>
      </c>
      <c r="F38">
        <v>66</v>
      </c>
      <c r="G38">
        <v>0</v>
      </c>
      <c r="H38">
        <v>0</v>
      </c>
      <c r="I38">
        <v>2</v>
      </c>
      <c r="J38">
        <v>6</v>
      </c>
      <c r="K38">
        <v>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55</v>
      </c>
      <c r="Y38">
        <v>0</v>
      </c>
      <c r="Z38">
        <v>0</v>
      </c>
      <c r="AA38">
        <v>2</v>
      </c>
      <c r="AB38">
        <v>4</v>
      </c>
      <c r="AC38">
        <v>7</v>
      </c>
      <c r="AD38">
        <v>11</v>
      </c>
      <c r="AE38">
        <v>0</v>
      </c>
      <c r="AF38">
        <v>0</v>
      </c>
      <c r="AG38">
        <v>0</v>
      </c>
      <c r="AH38">
        <v>2</v>
      </c>
      <c r="AI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</row>
    <row r="39" spans="1:359">
      <c r="A39" t="s">
        <v>389</v>
      </c>
      <c r="B39" t="s">
        <v>428</v>
      </c>
      <c r="C39">
        <v>100280161233</v>
      </c>
      <c r="D39" t="s">
        <v>391</v>
      </c>
      <c r="E39">
        <v>12.5</v>
      </c>
      <c r="F39">
        <v>161</v>
      </c>
      <c r="G39">
        <v>0</v>
      </c>
      <c r="H39">
        <v>0</v>
      </c>
      <c r="I39">
        <v>2</v>
      </c>
      <c r="J39">
        <v>10</v>
      </c>
      <c r="K39">
        <v>16</v>
      </c>
      <c r="L39">
        <v>19</v>
      </c>
      <c r="M39">
        <v>0</v>
      </c>
      <c r="N39">
        <v>0</v>
      </c>
      <c r="O39">
        <v>2</v>
      </c>
      <c r="P39">
        <v>2</v>
      </c>
      <c r="Q39">
        <v>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110</v>
      </c>
      <c r="Y39">
        <v>0</v>
      </c>
      <c r="Z39">
        <v>0</v>
      </c>
      <c r="AA39">
        <v>0</v>
      </c>
      <c r="AB39">
        <v>8</v>
      </c>
      <c r="AC39">
        <v>13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16</v>
      </c>
      <c r="AW39">
        <v>0</v>
      </c>
      <c r="AX39">
        <v>0</v>
      </c>
      <c r="AY39">
        <v>0</v>
      </c>
      <c r="AZ39">
        <v>0</v>
      </c>
      <c r="BA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LF39">
        <v>16</v>
      </c>
      <c r="LG39">
        <v>0</v>
      </c>
      <c r="LH39">
        <v>0</v>
      </c>
      <c r="LI39">
        <v>0</v>
      </c>
      <c r="LJ39">
        <v>0</v>
      </c>
      <c r="LK39">
        <v>1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</row>
    <row r="40" spans="1:359">
      <c r="A40" t="s">
        <v>389</v>
      </c>
      <c r="B40" t="s">
        <v>429</v>
      </c>
      <c r="C40">
        <v>100280162897</v>
      </c>
      <c r="D40" t="s">
        <v>391</v>
      </c>
      <c r="E40">
        <v>5.5</v>
      </c>
      <c r="F40">
        <v>183</v>
      </c>
      <c r="G40">
        <v>0</v>
      </c>
      <c r="H40">
        <v>0</v>
      </c>
      <c r="I40">
        <v>2</v>
      </c>
      <c r="J40">
        <v>5</v>
      </c>
      <c r="K40">
        <v>11</v>
      </c>
      <c r="L40">
        <v>20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97</v>
      </c>
      <c r="Y40">
        <v>0</v>
      </c>
      <c r="Z40">
        <v>0</v>
      </c>
      <c r="AA40">
        <v>0</v>
      </c>
      <c r="AB40">
        <v>1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37</v>
      </c>
      <c r="AW40">
        <v>0</v>
      </c>
      <c r="AX40">
        <v>0</v>
      </c>
      <c r="AY40">
        <v>1</v>
      </c>
      <c r="AZ40">
        <v>1</v>
      </c>
      <c r="BA40">
        <v>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LF40">
        <v>29</v>
      </c>
      <c r="LG40">
        <v>0</v>
      </c>
      <c r="LH40">
        <v>0</v>
      </c>
      <c r="LI40">
        <v>1</v>
      </c>
      <c r="LJ40">
        <v>3</v>
      </c>
      <c r="LK40">
        <v>6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</row>
    <row r="41" spans="1:359">
      <c r="A41" t="s">
        <v>389</v>
      </c>
      <c r="B41" t="s">
        <v>430</v>
      </c>
      <c r="C41">
        <v>100368684540</v>
      </c>
      <c r="D41" t="s">
        <v>391</v>
      </c>
      <c r="E41">
        <v>42</v>
      </c>
      <c r="F41">
        <v>152</v>
      </c>
      <c r="G41">
        <v>0</v>
      </c>
      <c r="H41">
        <v>0</v>
      </c>
      <c r="I41">
        <v>1</v>
      </c>
      <c r="J41">
        <v>10</v>
      </c>
      <c r="K41">
        <v>15</v>
      </c>
      <c r="L41">
        <v>39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72</v>
      </c>
      <c r="Y41">
        <v>0</v>
      </c>
      <c r="Z41">
        <v>0</v>
      </c>
      <c r="AA41">
        <v>0</v>
      </c>
      <c r="AB41">
        <v>3</v>
      </c>
      <c r="AC41">
        <v>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25</v>
      </c>
      <c r="AW41">
        <v>0</v>
      </c>
      <c r="AX41">
        <v>0</v>
      </c>
      <c r="AY41">
        <v>1</v>
      </c>
      <c r="AZ41">
        <v>5</v>
      </c>
      <c r="BA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LF41">
        <v>15</v>
      </c>
      <c r="LG41">
        <v>0</v>
      </c>
      <c r="LH41">
        <v>0</v>
      </c>
      <c r="LI41">
        <v>0</v>
      </c>
      <c r="LJ41">
        <v>0</v>
      </c>
      <c r="LK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</row>
    <row r="42" hidden="1" spans="1:359">
      <c r="A42" t="s">
        <v>389</v>
      </c>
      <c r="B42" t="s">
        <v>431</v>
      </c>
      <c r="C42">
        <v>100029654347</v>
      </c>
      <c r="D42" t="s">
        <v>432</v>
      </c>
      <c r="E42">
        <v>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hidden="1" spans="1:359">
      <c r="A43" t="s">
        <v>389</v>
      </c>
      <c r="B43" t="s">
        <v>433</v>
      </c>
      <c r="C43">
        <v>100124649011</v>
      </c>
      <c r="D43" t="s">
        <v>432</v>
      </c>
      <c r="E43">
        <v>58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hidden="1" spans="1:359">
      <c r="A44" t="s">
        <v>389</v>
      </c>
      <c r="B44" t="s">
        <v>434</v>
      </c>
      <c r="C44">
        <v>100029654363</v>
      </c>
      <c r="D44" t="s">
        <v>432</v>
      </c>
      <c r="E44">
        <v>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hidden="1" spans="1:359">
      <c r="A45" t="s">
        <v>389</v>
      </c>
      <c r="B45" t="s">
        <v>435</v>
      </c>
      <c r="C45">
        <v>100313329408</v>
      </c>
      <c r="D45" t="s">
        <v>432</v>
      </c>
      <c r="E45">
        <v>35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hidden="1" spans="1:359">
      <c r="A46" t="s">
        <v>389</v>
      </c>
      <c r="B46" t="s">
        <v>436</v>
      </c>
      <c r="C46">
        <v>100061141384</v>
      </c>
      <c r="D46" t="s">
        <v>432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hidden="1" spans="1:359">
      <c r="A47" t="s">
        <v>389</v>
      </c>
      <c r="B47" t="s">
        <v>437</v>
      </c>
      <c r="C47">
        <v>100292105976</v>
      </c>
      <c r="D47" t="s">
        <v>432</v>
      </c>
      <c r="E47">
        <v>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hidden="1" spans="1:359">
      <c r="A48" t="s">
        <v>389</v>
      </c>
      <c r="B48" t="s">
        <v>438</v>
      </c>
      <c r="C48">
        <v>100028076890</v>
      </c>
      <c r="D48" t="s">
        <v>432</v>
      </c>
      <c r="E48">
        <v>50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</row>
    <row r="49" hidden="1" spans="1:329">
      <c r="A49" t="s">
        <v>389</v>
      </c>
      <c r="B49" t="s">
        <v>393</v>
      </c>
      <c r="C49">
        <v>5663758</v>
      </c>
      <c r="D49" t="s">
        <v>432</v>
      </c>
      <c r="E49">
        <v>27.3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</row>
    <row r="50" hidden="1" spans="1:329">
      <c r="A50" t="s">
        <v>389</v>
      </c>
      <c r="B50" t="s">
        <v>439</v>
      </c>
      <c r="C50">
        <v>100034977598</v>
      </c>
      <c r="D50" t="s">
        <v>432</v>
      </c>
      <c r="E50">
        <v>190.5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hidden="1" spans="1:329">
      <c r="A51" t="s">
        <v>389</v>
      </c>
      <c r="B51" t="s">
        <v>440</v>
      </c>
      <c r="C51">
        <v>100064142142</v>
      </c>
      <c r="D51" t="s">
        <v>432</v>
      </c>
      <c r="E51">
        <v>32.9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</row>
    <row r="52" hidden="1" spans="1:329">
      <c r="A52" t="s">
        <v>389</v>
      </c>
      <c r="B52" t="s">
        <v>392</v>
      </c>
      <c r="C52">
        <v>100005119640</v>
      </c>
      <c r="D52" t="s">
        <v>432</v>
      </c>
      <c r="E52">
        <v>27.8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</row>
    <row r="53" hidden="1" spans="1:329">
      <c r="A53" t="s">
        <v>389</v>
      </c>
      <c r="B53" t="s">
        <v>441</v>
      </c>
      <c r="C53">
        <v>100064142146</v>
      </c>
      <c r="D53" t="s">
        <v>432</v>
      </c>
      <c r="E53">
        <v>49.9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</row>
    <row r="54" hidden="1" spans="1:329">
      <c r="A54" t="s">
        <v>389</v>
      </c>
      <c r="B54" t="s">
        <v>442</v>
      </c>
      <c r="C54">
        <v>100192637768</v>
      </c>
      <c r="D54" t="s">
        <v>432</v>
      </c>
      <c r="E54">
        <v>45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 hidden="1" spans="1:329">
      <c r="A55" t="s">
        <v>389</v>
      </c>
      <c r="B55" t="s">
        <v>443</v>
      </c>
      <c r="C55">
        <v>100015289821</v>
      </c>
      <c r="D55" t="s">
        <v>432</v>
      </c>
      <c r="E55">
        <v>50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</row>
    <row r="56" hidden="1" spans="1:329">
      <c r="A56" t="s">
        <v>389</v>
      </c>
      <c r="B56" t="s">
        <v>444</v>
      </c>
      <c r="C56">
        <v>100034977608</v>
      </c>
      <c r="D56" t="s">
        <v>432</v>
      </c>
      <c r="E56">
        <v>190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hidden="1" spans="1:329">
      <c r="A57" t="s">
        <v>389</v>
      </c>
      <c r="B57" t="s">
        <v>445</v>
      </c>
      <c r="C57">
        <v>100092004959</v>
      </c>
      <c r="D57" t="s">
        <v>432</v>
      </c>
      <c r="E57">
        <v>129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hidden="1" spans="1:329">
      <c r="A58" t="s">
        <v>389</v>
      </c>
      <c r="B58" t="s">
        <v>446</v>
      </c>
      <c r="C58">
        <v>100152204183</v>
      </c>
      <c r="D58" t="s">
        <v>432</v>
      </c>
      <c r="E58">
        <v>55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hidden="1" spans="1:329">
      <c r="A59" t="s">
        <v>389</v>
      </c>
      <c r="B59" t="s">
        <v>447</v>
      </c>
      <c r="C59">
        <v>100164506663</v>
      </c>
      <c r="D59" t="s">
        <v>432</v>
      </c>
      <c r="E59">
        <v>59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 hidden="1" spans="1:329">
      <c r="A60" t="s">
        <v>389</v>
      </c>
      <c r="B60" t="s">
        <v>448</v>
      </c>
      <c r="C60">
        <v>100029654359</v>
      </c>
      <c r="D60" t="s">
        <v>432</v>
      </c>
      <c r="E60">
        <v>150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</row>
    <row r="61" hidden="1" spans="1:329">
      <c r="A61" t="s">
        <v>389</v>
      </c>
      <c r="B61" t="s">
        <v>449</v>
      </c>
      <c r="C61">
        <v>3396722</v>
      </c>
      <c r="D61" t="s">
        <v>432</v>
      </c>
      <c r="E61">
        <v>75.5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</row>
    <row r="62" hidden="1" spans="1:329">
      <c r="A62" t="s">
        <v>389</v>
      </c>
      <c r="B62" t="s">
        <v>450</v>
      </c>
      <c r="C62">
        <v>100029654341</v>
      </c>
      <c r="D62" t="s">
        <v>432</v>
      </c>
      <c r="E62">
        <v>55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</row>
    <row r="63" hidden="1" spans="1:329">
      <c r="A63" t="s">
        <v>389</v>
      </c>
      <c r="B63" t="s">
        <v>451</v>
      </c>
      <c r="C63">
        <v>100314288550</v>
      </c>
      <c r="D63" t="s">
        <v>432</v>
      </c>
      <c r="E63">
        <v>74.5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hidden="1" spans="1:329">
      <c r="A64" t="s">
        <v>389</v>
      </c>
      <c r="B64" t="s">
        <v>452</v>
      </c>
      <c r="C64">
        <v>100119660370</v>
      </c>
      <c r="D64" t="s">
        <v>432</v>
      </c>
      <c r="E64">
        <v>41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</row>
    <row r="65" hidden="1" spans="1:83">
      <c r="A65" t="s">
        <v>389</v>
      </c>
      <c r="B65" t="s">
        <v>453</v>
      </c>
      <c r="C65">
        <v>100029654349</v>
      </c>
      <c r="D65" t="s">
        <v>432</v>
      </c>
      <c r="E65">
        <v>29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hidden="1" spans="1:83">
      <c r="A66" t="s">
        <v>389</v>
      </c>
      <c r="B66" t="s">
        <v>454</v>
      </c>
      <c r="C66">
        <v>100076810989</v>
      </c>
      <c r="D66" t="s">
        <v>432</v>
      </c>
      <c r="E66">
        <v>150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hidden="1" spans="1:83">
      <c r="A67" t="s">
        <v>389</v>
      </c>
      <c r="B67" t="s">
        <v>455</v>
      </c>
      <c r="C67">
        <v>100029654365</v>
      </c>
      <c r="D67" t="s">
        <v>432</v>
      </c>
      <c r="E67">
        <v>55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 hidden="1" spans="1:83">
      <c r="A68" t="s">
        <v>389</v>
      </c>
      <c r="B68" t="s">
        <v>456</v>
      </c>
      <c r="C68">
        <v>100098761555</v>
      </c>
      <c r="D68" t="s">
        <v>432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hidden="1" spans="1:83">
      <c r="A69" t="s">
        <v>389</v>
      </c>
      <c r="B69" t="s">
        <v>457</v>
      </c>
      <c r="C69">
        <v>100115420382</v>
      </c>
      <c r="D69" t="s">
        <v>432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hidden="1" spans="1:83">
      <c r="A70" t="s">
        <v>389</v>
      </c>
      <c r="B70" t="s">
        <v>393</v>
      </c>
      <c r="C70">
        <v>100294063714</v>
      </c>
      <c r="D70" t="s">
        <v>432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hidden="1" spans="1:83">
      <c r="A71" t="s">
        <v>389</v>
      </c>
      <c r="B71" t="s">
        <v>458</v>
      </c>
      <c r="C71">
        <v>100058797489</v>
      </c>
      <c r="D71" t="s">
        <v>432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hidden="1" spans="1:83">
      <c r="A72" t="s">
        <v>389</v>
      </c>
      <c r="B72" t="s">
        <v>459</v>
      </c>
      <c r="C72">
        <v>100115420952</v>
      </c>
      <c r="D72" t="s">
        <v>432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hidden="1" spans="1:83">
      <c r="A73" t="s">
        <v>389</v>
      </c>
      <c r="B73" t="s">
        <v>460</v>
      </c>
      <c r="C73">
        <v>100115424238</v>
      </c>
      <c r="D73" t="s">
        <v>432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hidden="1" spans="1:83">
      <c r="A74" t="s">
        <v>389</v>
      </c>
      <c r="B74" t="s">
        <v>461</v>
      </c>
      <c r="C74">
        <v>100091734605</v>
      </c>
      <c r="D74" t="s">
        <v>432</v>
      </c>
      <c r="E74">
        <v>55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hidden="1" spans="1:83">
      <c r="A75" t="s">
        <v>389</v>
      </c>
      <c r="B75" t="s">
        <v>450</v>
      </c>
      <c r="C75">
        <v>100278836638</v>
      </c>
      <c r="D75" t="s">
        <v>432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hidden="1" spans="1:83">
      <c r="A76" t="s">
        <v>389</v>
      </c>
      <c r="B76" t="s">
        <v>462</v>
      </c>
      <c r="C76">
        <v>100030366463</v>
      </c>
      <c r="D76" t="s">
        <v>432</v>
      </c>
      <c r="E76">
        <v>50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hidden="1" spans="1:83">
      <c r="A77" t="s">
        <v>389</v>
      </c>
      <c r="B77" t="s">
        <v>463</v>
      </c>
      <c r="C77">
        <v>4258325</v>
      </c>
      <c r="D77" t="s">
        <v>432</v>
      </c>
      <c r="E77">
        <v>0.01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hidden="1" spans="1:83">
      <c r="A78" t="s">
        <v>389</v>
      </c>
      <c r="B78" t="s">
        <v>450</v>
      </c>
      <c r="C78">
        <v>100209678275</v>
      </c>
      <c r="D78" t="s">
        <v>432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hidden="1" spans="1:83">
      <c r="A79" t="s">
        <v>389</v>
      </c>
      <c r="B79" t="s">
        <v>464</v>
      </c>
      <c r="C79">
        <v>100268718782</v>
      </c>
      <c r="D79" t="s">
        <v>432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hidden="1" spans="1:83">
      <c r="A80" t="s">
        <v>389</v>
      </c>
      <c r="B80" t="s">
        <v>465</v>
      </c>
      <c r="C80">
        <v>100112476172</v>
      </c>
      <c r="D80" t="s">
        <v>432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hidden="1" spans="1:53">
      <c r="A81" t="s">
        <v>389</v>
      </c>
      <c r="B81" t="s">
        <v>466</v>
      </c>
      <c r="C81">
        <v>100096906219</v>
      </c>
      <c r="D81" t="s">
        <v>432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hidden="1" spans="1:53">
      <c r="A82" t="s">
        <v>389</v>
      </c>
      <c r="B82" t="s">
        <v>400</v>
      </c>
      <c r="C82">
        <v>100294063580</v>
      </c>
      <c r="D82" t="s">
        <v>432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hidden="1" spans="1:53">
      <c r="A83" t="s">
        <v>389</v>
      </c>
      <c r="B83" t="s">
        <v>467</v>
      </c>
      <c r="C83">
        <v>100109608416</v>
      </c>
      <c r="D83" t="s">
        <v>432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hidden="1" spans="1:53">
      <c r="A84" t="s">
        <v>389</v>
      </c>
      <c r="B84" t="s">
        <v>468</v>
      </c>
      <c r="C84">
        <v>100167717709</v>
      </c>
      <c r="D84" t="s">
        <v>432</v>
      </c>
      <c r="E84">
        <v>79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hidden="1" spans="1:53">
      <c r="A85" t="s">
        <v>389</v>
      </c>
      <c r="B85" t="s">
        <v>392</v>
      </c>
      <c r="C85">
        <v>100209673171</v>
      </c>
      <c r="D85" t="s">
        <v>432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hidden="1" spans="1:53">
      <c r="A86" t="s">
        <v>389</v>
      </c>
      <c r="B86" t="s">
        <v>469</v>
      </c>
      <c r="C86">
        <v>3396714</v>
      </c>
      <c r="D86" t="s">
        <v>432</v>
      </c>
      <c r="E86">
        <v>29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hidden="1" spans="1:53">
      <c r="A87" t="s">
        <v>389</v>
      </c>
      <c r="B87" t="s">
        <v>470</v>
      </c>
      <c r="C87">
        <v>100278828686</v>
      </c>
      <c r="D87" t="s">
        <v>432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hidden="1" spans="1:53">
      <c r="A88" t="s">
        <v>389</v>
      </c>
      <c r="B88" t="s">
        <v>460</v>
      </c>
      <c r="C88">
        <v>100115420956</v>
      </c>
      <c r="D88" t="s">
        <v>432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53">
      <c r="A89" t="s">
        <v>389</v>
      </c>
      <c r="B89" t="s">
        <v>396</v>
      </c>
      <c r="C89">
        <v>100437211078</v>
      </c>
      <c r="D89" t="s">
        <v>391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hidden="1" spans="1:53">
      <c r="A90" t="s">
        <v>389</v>
      </c>
      <c r="B90" t="s">
        <v>471</v>
      </c>
      <c r="C90">
        <v>100026901285</v>
      </c>
      <c r="D90" t="s">
        <v>432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hidden="1" spans="1:53">
      <c r="A91" t="s">
        <v>389</v>
      </c>
      <c r="B91" t="s">
        <v>472</v>
      </c>
      <c r="C91">
        <v>100028076856</v>
      </c>
      <c r="D91" t="s">
        <v>432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hidden="1" spans="1:53">
      <c r="A92" t="s">
        <v>389</v>
      </c>
      <c r="B92" t="s">
        <v>392</v>
      </c>
      <c r="C92">
        <v>100278828674</v>
      </c>
      <c r="D92" t="s">
        <v>432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hidden="1" spans="1:53">
      <c r="A93" t="s">
        <v>389</v>
      </c>
      <c r="B93" t="s">
        <v>459</v>
      </c>
      <c r="C93">
        <v>100115420954</v>
      </c>
      <c r="D93" t="s">
        <v>432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hidden="1" spans="1:53">
      <c r="A94" t="s">
        <v>389</v>
      </c>
      <c r="B94" t="s">
        <v>473</v>
      </c>
      <c r="C94">
        <v>100119346822</v>
      </c>
      <c r="D94" t="s">
        <v>432</v>
      </c>
      <c r="E94">
        <v>35.8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hidden="1" spans="1:53">
      <c r="A95" t="s">
        <v>389</v>
      </c>
      <c r="B95" t="s">
        <v>474</v>
      </c>
      <c r="C95">
        <v>100100735151</v>
      </c>
      <c r="D95" t="s">
        <v>432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hidden="1" spans="1:53">
      <c r="A96" t="s">
        <v>389</v>
      </c>
      <c r="B96" t="s">
        <v>474</v>
      </c>
      <c r="C96">
        <v>100115420684</v>
      </c>
      <c r="D96" t="s">
        <v>432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hidden="1" spans="1:53">
      <c r="A97" t="s">
        <v>389</v>
      </c>
      <c r="B97" t="s">
        <v>475</v>
      </c>
      <c r="C97">
        <v>100052477586</v>
      </c>
      <c r="D97" t="s">
        <v>432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hidden="1" spans="1:53">
      <c r="A98" t="s">
        <v>389</v>
      </c>
      <c r="B98" t="s">
        <v>394</v>
      </c>
      <c r="C98">
        <v>100194566015</v>
      </c>
      <c r="D98" t="s">
        <v>432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hidden="1" spans="1:53">
      <c r="A99" t="s">
        <v>389</v>
      </c>
      <c r="B99" t="s">
        <v>476</v>
      </c>
      <c r="C99">
        <v>100021787932</v>
      </c>
      <c r="D99" t="s">
        <v>432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hidden="1" spans="1:53">
      <c r="A100" t="s">
        <v>389</v>
      </c>
      <c r="B100" t="s">
        <v>477</v>
      </c>
      <c r="C100">
        <v>100109608414</v>
      </c>
      <c r="D100" t="s">
        <v>432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hidden="1" spans="1:53">
      <c r="A101" t="s">
        <v>389</v>
      </c>
      <c r="B101" t="s">
        <v>447</v>
      </c>
      <c r="C101">
        <v>100278911618</v>
      </c>
      <c r="D101" t="s">
        <v>432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hidden="1" spans="1:53">
      <c r="A102" t="s">
        <v>389</v>
      </c>
      <c r="B102" t="s">
        <v>478</v>
      </c>
      <c r="C102">
        <v>100209678281</v>
      </c>
      <c r="D102" t="s">
        <v>432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hidden="1" spans="1:53">
      <c r="A103" t="s">
        <v>389</v>
      </c>
      <c r="B103" t="s">
        <v>470</v>
      </c>
      <c r="C103">
        <v>100209673177</v>
      </c>
      <c r="D103" t="s">
        <v>432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hidden="1" spans="1:53">
      <c r="A104" t="s">
        <v>389</v>
      </c>
      <c r="B104" t="s">
        <v>479</v>
      </c>
      <c r="C104">
        <v>100160526980</v>
      </c>
      <c r="D104" t="s">
        <v>432</v>
      </c>
      <c r="E104">
        <v>130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hidden="1" spans="1:53">
      <c r="A105" t="s">
        <v>389</v>
      </c>
      <c r="B105" t="s">
        <v>480</v>
      </c>
      <c r="C105">
        <v>100119660356</v>
      </c>
      <c r="D105" t="s">
        <v>432</v>
      </c>
      <c r="E105">
        <v>54.3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hidden="1" spans="1:53">
      <c r="A106" t="s">
        <v>389</v>
      </c>
      <c r="B106" t="s">
        <v>477</v>
      </c>
      <c r="C106">
        <v>100096847113</v>
      </c>
      <c r="D106" t="s">
        <v>432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hidden="1" spans="1:53">
      <c r="A107" t="s">
        <v>389</v>
      </c>
      <c r="B107" t="s">
        <v>465</v>
      </c>
      <c r="C107">
        <v>100098761579</v>
      </c>
      <c r="D107" t="s">
        <v>432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hidden="1" spans="1:53">
      <c r="A108" t="s">
        <v>389</v>
      </c>
      <c r="B108" t="s">
        <v>481</v>
      </c>
      <c r="C108">
        <v>100061141392</v>
      </c>
      <c r="D108" t="s">
        <v>432</v>
      </c>
      <c r="E108">
        <v>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hidden="1" spans="1:53">
      <c r="A109" t="s">
        <v>389</v>
      </c>
      <c r="B109" t="s">
        <v>482</v>
      </c>
      <c r="C109">
        <v>100233229106</v>
      </c>
      <c r="D109" t="s">
        <v>432</v>
      </c>
      <c r="E109">
        <v>30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hidden="1" spans="1:53">
      <c r="A110" t="s">
        <v>389</v>
      </c>
      <c r="B110" t="s">
        <v>392</v>
      </c>
      <c r="C110">
        <v>100209673175</v>
      </c>
      <c r="D110" t="s">
        <v>432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hidden="1" spans="1:53">
      <c r="A111" t="s">
        <v>389</v>
      </c>
      <c r="B111" t="s">
        <v>445</v>
      </c>
      <c r="C111">
        <v>100230305678</v>
      </c>
      <c r="D111" t="s">
        <v>432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hidden="1" spans="1:53">
      <c r="A112" t="s">
        <v>389</v>
      </c>
      <c r="B112" t="s">
        <v>483</v>
      </c>
      <c r="C112">
        <v>100022413232</v>
      </c>
      <c r="D112" t="s">
        <v>432</v>
      </c>
      <c r="E112">
        <v>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hidden="1" spans="1:11">
      <c r="A113" t="s">
        <v>389</v>
      </c>
      <c r="B113" t="s">
        <v>459</v>
      </c>
      <c r="C113">
        <v>100100641783</v>
      </c>
      <c r="D113" t="s">
        <v>432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hidden="1" spans="1:11">
      <c r="A114" t="s">
        <v>389</v>
      </c>
      <c r="B114" t="s">
        <v>484</v>
      </c>
      <c r="C114">
        <v>100134142913</v>
      </c>
      <c r="D114" t="s">
        <v>432</v>
      </c>
      <c r="E114">
        <v>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hidden="1" spans="1:11">
      <c r="A115" t="s">
        <v>389</v>
      </c>
      <c r="B115" t="s">
        <v>485</v>
      </c>
      <c r="C115">
        <v>3045243</v>
      </c>
      <c r="D115" t="s">
        <v>432</v>
      </c>
      <c r="E115">
        <v>425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hidden="1" spans="1:11">
      <c r="A116" t="s">
        <v>389</v>
      </c>
      <c r="B116" t="s">
        <v>474</v>
      </c>
      <c r="C116">
        <v>100026901257</v>
      </c>
      <c r="D116" t="s">
        <v>432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hidden="1" spans="1:11">
      <c r="A117" t="s">
        <v>389</v>
      </c>
      <c r="B117" t="s">
        <v>443</v>
      </c>
      <c r="C117">
        <v>100278836686</v>
      </c>
      <c r="D117" t="s">
        <v>432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hidden="1" spans="1:11">
      <c r="A118" t="s">
        <v>389</v>
      </c>
      <c r="B118" t="s">
        <v>447</v>
      </c>
      <c r="C118">
        <v>100209728089</v>
      </c>
      <c r="D118" t="s">
        <v>432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hidden="1" spans="1:11">
      <c r="A119" t="s">
        <v>389</v>
      </c>
      <c r="B119" t="s">
        <v>486</v>
      </c>
      <c r="C119">
        <v>100038254415</v>
      </c>
      <c r="D119" t="s">
        <v>432</v>
      </c>
      <c r="E119">
        <v>40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hidden="1" spans="1:11">
      <c r="A120" t="s">
        <v>389</v>
      </c>
      <c r="B120" t="s">
        <v>487</v>
      </c>
      <c r="C120">
        <v>100022327043</v>
      </c>
      <c r="D120" t="s">
        <v>432</v>
      </c>
      <c r="E120">
        <v>65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hidden="1" spans="1:11">
      <c r="A121" t="s">
        <v>389</v>
      </c>
      <c r="B121" t="s">
        <v>456</v>
      </c>
      <c r="C121">
        <v>100112475860</v>
      </c>
      <c r="D121" t="s">
        <v>432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hidden="1" spans="1:11">
      <c r="A122" t="s">
        <v>389</v>
      </c>
      <c r="B122" t="s">
        <v>392</v>
      </c>
      <c r="C122">
        <v>100289121392</v>
      </c>
      <c r="D122" t="s">
        <v>432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hidden="1" spans="1:11">
      <c r="A123" t="s">
        <v>389</v>
      </c>
      <c r="B123" t="s">
        <v>478</v>
      </c>
      <c r="C123">
        <v>100209678307</v>
      </c>
      <c r="D123" t="s">
        <v>432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hidden="1" spans="1:11">
      <c r="A124" t="s">
        <v>389</v>
      </c>
      <c r="B124" t="s">
        <v>467</v>
      </c>
      <c r="C124">
        <v>100026901287</v>
      </c>
      <c r="D124" t="s">
        <v>432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hidden="1" spans="1:11">
      <c r="A125" t="s">
        <v>389</v>
      </c>
      <c r="B125" t="s">
        <v>460</v>
      </c>
      <c r="C125">
        <v>100115424240</v>
      </c>
      <c r="D125" t="s">
        <v>432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hidden="1" spans="1:11">
      <c r="A126" t="s">
        <v>389</v>
      </c>
      <c r="B126" t="s">
        <v>488</v>
      </c>
      <c r="C126">
        <v>100017482744</v>
      </c>
      <c r="D126" t="s">
        <v>432</v>
      </c>
      <c r="E126">
        <v>150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hidden="1" spans="1:11">
      <c r="A127" t="s">
        <v>389</v>
      </c>
      <c r="B127" t="s">
        <v>460</v>
      </c>
      <c r="C127">
        <v>100100737355</v>
      </c>
      <c r="D127" t="s">
        <v>432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hidden="1" spans="1:11">
      <c r="A128" t="s">
        <v>389</v>
      </c>
      <c r="B128" t="s">
        <v>489</v>
      </c>
      <c r="C128">
        <v>100103561425</v>
      </c>
      <c r="D128" t="s">
        <v>432</v>
      </c>
      <c r="E128">
        <v>94.1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hidden="1" spans="1:11">
      <c r="A129" t="s">
        <v>389</v>
      </c>
      <c r="B129" t="s">
        <v>490</v>
      </c>
      <c r="C129">
        <v>100090352423</v>
      </c>
      <c r="D129" t="s">
        <v>432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hidden="1" spans="1:11">
      <c r="A130" t="s">
        <v>389</v>
      </c>
      <c r="B130" t="s">
        <v>393</v>
      </c>
      <c r="C130">
        <v>100287510678</v>
      </c>
      <c r="D130" t="s">
        <v>432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hidden="1" spans="1:11">
      <c r="A131" t="s">
        <v>389</v>
      </c>
      <c r="B131" t="s">
        <v>491</v>
      </c>
      <c r="C131">
        <v>100008105772</v>
      </c>
      <c r="D131" t="s">
        <v>432</v>
      </c>
      <c r="E131">
        <v>17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hidden="1" spans="1:11">
      <c r="A132" t="s">
        <v>389</v>
      </c>
      <c r="B132" t="s">
        <v>457</v>
      </c>
      <c r="C132">
        <v>100100734735</v>
      </c>
      <c r="D132" t="s">
        <v>432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hidden="1" spans="1:11">
      <c r="A133" t="s">
        <v>389</v>
      </c>
      <c r="B133" t="s">
        <v>492</v>
      </c>
      <c r="C133">
        <v>100101940840</v>
      </c>
      <c r="D133" t="s">
        <v>432</v>
      </c>
      <c r="E133">
        <v>55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hidden="1" spans="1:11">
      <c r="A134" t="s">
        <v>389</v>
      </c>
      <c r="B134" t="s">
        <v>394</v>
      </c>
      <c r="C134">
        <v>100220288759</v>
      </c>
      <c r="D134" t="s">
        <v>432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hidden="1" spans="1:11">
      <c r="A135" t="s">
        <v>389</v>
      </c>
      <c r="B135" t="s">
        <v>465</v>
      </c>
      <c r="C135">
        <v>100112476128</v>
      </c>
      <c r="D135" t="s">
        <v>432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hidden="1" spans="1:11">
      <c r="A136" t="s">
        <v>389</v>
      </c>
      <c r="B136" t="s">
        <v>447</v>
      </c>
      <c r="C136">
        <v>100278911582</v>
      </c>
      <c r="D136" t="s">
        <v>432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hidden="1" spans="1:11">
      <c r="A137" t="s">
        <v>389</v>
      </c>
      <c r="B137" t="s">
        <v>493</v>
      </c>
      <c r="C137">
        <v>100063641038</v>
      </c>
      <c r="D137" t="s">
        <v>432</v>
      </c>
      <c r="E137">
        <v>67.9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389</v>
      </c>
      <c r="B138" t="s">
        <v>392</v>
      </c>
      <c r="C138">
        <v>100436342408</v>
      </c>
      <c r="D138" t="s">
        <v>391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hidden="1" spans="1:11">
      <c r="A139" t="s">
        <v>389</v>
      </c>
      <c r="B139" t="s">
        <v>465</v>
      </c>
      <c r="C139">
        <v>100098761577</v>
      </c>
      <c r="D139" t="s">
        <v>432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hidden="1" spans="1:11">
      <c r="A140" t="s">
        <v>389</v>
      </c>
      <c r="B140" t="s">
        <v>398</v>
      </c>
      <c r="C140">
        <v>100297444706</v>
      </c>
      <c r="D140" t="s">
        <v>432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hidden="1" spans="1:11">
      <c r="A141" t="s">
        <v>389</v>
      </c>
      <c r="B141" t="s">
        <v>494</v>
      </c>
      <c r="C141">
        <v>3045259</v>
      </c>
      <c r="D141" t="s">
        <v>432</v>
      </c>
      <c r="E141">
        <v>185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hidden="1" spans="1:11">
      <c r="A142" t="s">
        <v>389</v>
      </c>
      <c r="B142" t="s">
        <v>495</v>
      </c>
      <c r="C142">
        <v>100029654355</v>
      </c>
      <c r="D142" t="s">
        <v>432</v>
      </c>
      <c r="E142">
        <v>68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hidden="1" spans="1:11">
      <c r="A143" t="s">
        <v>389</v>
      </c>
      <c r="B143" t="s">
        <v>470</v>
      </c>
      <c r="C143">
        <v>100278828688</v>
      </c>
      <c r="D143" t="s">
        <v>432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hidden="1" spans="1:11">
      <c r="A144" t="s">
        <v>389</v>
      </c>
      <c r="B144" t="s">
        <v>496</v>
      </c>
      <c r="C144">
        <v>100019896913</v>
      </c>
      <c r="D144" t="s">
        <v>432</v>
      </c>
      <c r="E144">
        <v>217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hidden="1" spans="1:23">
      <c r="A145" t="s">
        <v>389</v>
      </c>
      <c r="B145" t="s">
        <v>497</v>
      </c>
      <c r="C145">
        <v>100119346778</v>
      </c>
      <c r="D145" t="s">
        <v>432</v>
      </c>
      <c r="E145">
        <v>60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hidden="1" spans="1:23">
      <c r="A146" t="s">
        <v>389</v>
      </c>
      <c r="B146" t="s">
        <v>478</v>
      </c>
      <c r="C146">
        <v>100209678303</v>
      </c>
      <c r="D146" t="s">
        <v>432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hidden="1" spans="1:23">
      <c r="A147" t="s">
        <v>389</v>
      </c>
      <c r="B147" t="s">
        <v>393</v>
      </c>
      <c r="C147">
        <v>100287510670</v>
      </c>
      <c r="D147" t="s">
        <v>432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hidden="1" spans="1:23">
      <c r="A148" t="s">
        <v>389</v>
      </c>
      <c r="B148" t="s">
        <v>498</v>
      </c>
      <c r="C148">
        <v>100067531390</v>
      </c>
      <c r="D148" t="s">
        <v>432</v>
      </c>
      <c r="E148">
        <v>6.9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hidden="1" spans="1:23">
      <c r="A149" t="s">
        <v>389</v>
      </c>
      <c r="B149" t="s">
        <v>499</v>
      </c>
      <c r="C149">
        <v>100211096112</v>
      </c>
      <c r="D149" t="s">
        <v>432</v>
      </c>
      <c r="E149">
        <v>49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hidden="1" spans="1:23">
      <c r="A150" t="s">
        <v>389</v>
      </c>
      <c r="B150" t="s">
        <v>474</v>
      </c>
      <c r="C150">
        <v>100115420970</v>
      </c>
      <c r="D150" t="s">
        <v>432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hidden="1" spans="1:23">
      <c r="A151" t="s">
        <v>389</v>
      </c>
      <c r="B151" t="s">
        <v>394</v>
      </c>
      <c r="C151">
        <v>100267682858</v>
      </c>
      <c r="D151" t="s">
        <v>432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hidden="1" spans="1:23">
      <c r="A152" t="s">
        <v>389</v>
      </c>
      <c r="B152" t="s">
        <v>447</v>
      </c>
      <c r="C152">
        <v>100278911584</v>
      </c>
      <c r="D152" t="s">
        <v>432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hidden="1" spans="1:23">
      <c r="A153" t="s">
        <v>389</v>
      </c>
      <c r="B153" t="s">
        <v>443</v>
      </c>
      <c r="C153">
        <v>100278836636</v>
      </c>
      <c r="D153" t="s">
        <v>432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hidden="1" spans="1:23">
      <c r="A154" t="s">
        <v>389</v>
      </c>
      <c r="B154" t="s">
        <v>465</v>
      </c>
      <c r="C154">
        <v>100112476334</v>
      </c>
      <c r="D154" t="s">
        <v>432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hidden="1" spans="1:23">
      <c r="A155" t="s">
        <v>389</v>
      </c>
      <c r="B155" t="s">
        <v>500</v>
      </c>
      <c r="C155">
        <v>100202930719</v>
      </c>
      <c r="D155" t="s">
        <v>432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hidden="1" spans="1:23">
      <c r="A156" t="s">
        <v>389</v>
      </c>
      <c r="B156" t="s">
        <v>501</v>
      </c>
      <c r="C156">
        <v>3396750</v>
      </c>
      <c r="D156" t="s">
        <v>432</v>
      </c>
      <c r="E156">
        <v>48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hidden="1" spans="1:23">
      <c r="A157" t="s">
        <v>389</v>
      </c>
      <c r="B157" t="s">
        <v>502</v>
      </c>
      <c r="C157">
        <v>100167717735</v>
      </c>
      <c r="D157" t="s">
        <v>432</v>
      </c>
      <c r="E157">
        <v>49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hidden="1" spans="1:23">
      <c r="A158" t="s">
        <v>389</v>
      </c>
      <c r="B158" t="s">
        <v>457</v>
      </c>
      <c r="C158">
        <v>100115420972</v>
      </c>
      <c r="D158" t="s">
        <v>432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hidden="1" spans="1:23">
      <c r="A159" t="s">
        <v>389</v>
      </c>
      <c r="B159" t="s">
        <v>392</v>
      </c>
      <c r="C159">
        <v>100278828596</v>
      </c>
      <c r="D159" t="s">
        <v>432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hidden="1" spans="1:23">
      <c r="A160" t="s">
        <v>389</v>
      </c>
      <c r="B160" t="s">
        <v>503</v>
      </c>
      <c r="C160">
        <v>100018661926</v>
      </c>
      <c r="D160" t="s">
        <v>432</v>
      </c>
      <c r="E160">
        <v>270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hidden="1" spans="1:11">
      <c r="A161" t="s">
        <v>389</v>
      </c>
      <c r="B161" t="s">
        <v>457</v>
      </c>
      <c r="C161">
        <v>100073622785</v>
      </c>
      <c r="D161" t="s">
        <v>432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hidden="1" spans="1:11">
      <c r="A162" t="s">
        <v>389</v>
      </c>
      <c r="B162" t="s">
        <v>504</v>
      </c>
      <c r="C162">
        <v>3596685</v>
      </c>
      <c r="D162" t="s">
        <v>432</v>
      </c>
      <c r="E162">
        <v>37.5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hidden="1" spans="1:11">
      <c r="A163" t="s">
        <v>389</v>
      </c>
      <c r="B163" t="s">
        <v>478</v>
      </c>
      <c r="C163">
        <v>100209678287</v>
      </c>
      <c r="D163" t="s">
        <v>432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hidden="1" spans="1:11">
      <c r="A164" t="s">
        <v>389</v>
      </c>
      <c r="B164" t="s">
        <v>505</v>
      </c>
      <c r="C164">
        <v>100029654339</v>
      </c>
      <c r="D164" t="s">
        <v>432</v>
      </c>
      <c r="E164">
        <v>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hidden="1" spans="1:11">
      <c r="A165" t="s">
        <v>389</v>
      </c>
      <c r="B165" t="s">
        <v>470</v>
      </c>
      <c r="C165">
        <v>100209678285</v>
      </c>
      <c r="D165" t="s">
        <v>432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hidden="1" spans="1:11">
      <c r="A166" t="s">
        <v>389</v>
      </c>
      <c r="B166" t="s">
        <v>506</v>
      </c>
      <c r="C166">
        <v>100119346826</v>
      </c>
      <c r="D166" t="s">
        <v>432</v>
      </c>
      <c r="E166">
        <v>67.9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hidden="1" spans="1:11">
      <c r="A167" t="s">
        <v>389</v>
      </c>
      <c r="B167" t="s">
        <v>450</v>
      </c>
      <c r="C167">
        <v>100209678309</v>
      </c>
      <c r="D167" t="s">
        <v>432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hidden="1" spans="1:11">
      <c r="A168" t="s">
        <v>389</v>
      </c>
      <c r="B168" t="s">
        <v>507</v>
      </c>
      <c r="C168">
        <v>100119346824</v>
      </c>
      <c r="D168" t="s">
        <v>432</v>
      </c>
      <c r="E168">
        <v>63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hidden="1" spans="1:11">
      <c r="A169" t="s">
        <v>389</v>
      </c>
      <c r="B169" t="s">
        <v>443</v>
      </c>
      <c r="C169">
        <v>100278836654</v>
      </c>
      <c r="D169" t="s">
        <v>432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hidden="1" spans="1:11">
      <c r="A170" t="s">
        <v>389</v>
      </c>
      <c r="B170" t="s">
        <v>398</v>
      </c>
      <c r="C170">
        <v>100297467122</v>
      </c>
      <c r="D170" t="s">
        <v>432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hidden="1" spans="1:11">
      <c r="A171" t="s">
        <v>389</v>
      </c>
      <c r="B171" t="s">
        <v>508</v>
      </c>
      <c r="C171">
        <v>3045255</v>
      </c>
      <c r="D171" t="s">
        <v>432</v>
      </c>
      <c r="E171">
        <v>48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hidden="1" spans="1:11">
      <c r="A172" t="s">
        <v>389</v>
      </c>
      <c r="B172" t="s">
        <v>509</v>
      </c>
      <c r="C172">
        <v>100119660368</v>
      </c>
      <c r="D172" t="s">
        <v>432</v>
      </c>
      <c r="E172">
        <v>58.2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hidden="1" spans="1:11">
      <c r="A173" t="s">
        <v>389</v>
      </c>
      <c r="B173" t="s">
        <v>510</v>
      </c>
      <c r="C173">
        <v>100029654345</v>
      </c>
      <c r="D173" t="s">
        <v>432</v>
      </c>
      <c r="E173">
        <v>55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hidden="1" spans="1:11">
      <c r="A174" t="s">
        <v>389</v>
      </c>
      <c r="B174" t="s">
        <v>450</v>
      </c>
      <c r="C174">
        <v>100278836688</v>
      </c>
      <c r="D174" t="s">
        <v>432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hidden="1" spans="1:11">
      <c r="A175" t="s">
        <v>389</v>
      </c>
      <c r="B175" t="s">
        <v>436</v>
      </c>
      <c r="C175">
        <v>100189053520</v>
      </c>
      <c r="D175" t="s">
        <v>432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hidden="1" spans="1:11">
      <c r="A176" t="s">
        <v>389</v>
      </c>
      <c r="B176" t="s">
        <v>459</v>
      </c>
      <c r="C176">
        <v>100100641785</v>
      </c>
      <c r="D176" t="s">
        <v>432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hidden="1" spans="1:29">
      <c r="A177" t="s">
        <v>389</v>
      </c>
      <c r="B177" t="s">
        <v>511</v>
      </c>
      <c r="C177">
        <v>100029654343</v>
      </c>
      <c r="D177" t="s">
        <v>432</v>
      </c>
      <c r="E177">
        <v>58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hidden="1" spans="1:29">
      <c r="A178" t="s">
        <v>389</v>
      </c>
      <c r="B178" t="s">
        <v>512</v>
      </c>
      <c r="C178">
        <v>100143613678</v>
      </c>
      <c r="D178" t="s">
        <v>432</v>
      </c>
      <c r="E178">
        <v>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hidden="1" spans="1:29">
      <c r="A179" t="s">
        <v>389</v>
      </c>
      <c r="B179" t="s">
        <v>443</v>
      </c>
      <c r="C179">
        <v>100278836682</v>
      </c>
      <c r="D179" t="s">
        <v>432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hidden="1" spans="1:29">
      <c r="A180" t="s">
        <v>389</v>
      </c>
      <c r="B180" t="s">
        <v>470</v>
      </c>
      <c r="C180">
        <v>100234996745</v>
      </c>
      <c r="D180" t="s">
        <v>432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hidden="1" spans="1:29">
      <c r="A181" t="s">
        <v>389</v>
      </c>
      <c r="B181" t="s">
        <v>456</v>
      </c>
      <c r="C181">
        <v>100112475770</v>
      </c>
      <c r="D181" t="s">
        <v>432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hidden="1" spans="1:29">
      <c r="A182" t="s">
        <v>389</v>
      </c>
      <c r="B182" t="s">
        <v>400</v>
      </c>
      <c r="C182">
        <v>100281393488</v>
      </c>
      <c r="D182" t="s">
        <v>432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hidden="1" spans="1:29">
      <c r="A183" t="s">
        <v>389</v>
      </c>
      <c r="B183" t="s">
        <v>513</v>
      </c>
      <c r="C183">
        <v>3396716</v>
      </c>
      <c r="D183" t="s">
        <v>432</v>
      </c>
      <c r="E183">
        <v>50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hidden="1" spans="1:29">
      <c r="A184" t="s">
        <v>389</v>
      </c>
      <c r="B184" t="s">
        <v>514</v>
      </c>
      <c r="C184">
        <v>100008105756</v>
      </c>
      <c r="D184" t="s">
        <v>432</v>
      </c>
      <c r="E184">
        <v>78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hidden="1" spans="1:29">
      <c r="A185" t="s">
        <v>389</v>
      </c>
      <c r="B185" t="s">
        <v>456</v>
      </c>
      <c r="C185">
        <v>100112475914</v>
      </c>
      <c r="D185" t="s">
        <v>432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hidden="1" spans="1:29">
      <c r="A186" t="s">
        <v>389</v>
      </c>
      <c r="B186" t="s">
        <v>456</v>
      </c>
      <c r="C186">
        <v>100112476188</v>
      </c>
      <c r="D186" t="s">
        <v>432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hidden="1" spans="1:29">
      <c r="A187" t="s">
        <v>389</v>
      </c>
      <c r="B187" t="s">
        <v>467</v>
      </c>
      <c r="C187">
        <v>100096847107</v>
      </c>
      <c r="D187" t="s">
        <v>432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</sheetData>
  <autoFilter xmlns:etc="http://www.wps.cn/officeDocument/2017/etCustomData" ref="A1:NY187" etc:filterBottomFollowUsedRange="0">
    <filterColumn colId="3">
      <customFilters>
        <customFilter operator="equal" val="上柜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44"/>
  <sheetViews>
    <sheetView workbookViewId="0">
      <selection activeCell="B18" sqref="B18"/>
    </sheetView>
  </sheetViews>
  <sheetFormatPr defaultColWidth="8.72727272727273" defaultRowHeight="14"/>
  <cols>
    <col min="1" max="1" width="74.8181818181818"/>
    <col min="2" max="30" width="36.5454545454545"/>
  </cols>
  <sheetData>
    <row r="3" spans="1:30">
      <c r="A3" t="s">
        <v>1</v>
      </c>
      <c r="B3" t="s">
        <v>515</v>
      </c>
      <c r="C3" t="s">
        <v>516</v>
      </c>
      <c r="D3" t="s">
        <v>517</v>
      </c>
      <c r="E3" t="s">
        <v>518</v>
      </c>
      <c r="F3" t="s">
        <v>519</v>
      </c>
      <c r="G3" t="s">
        <v>520</v>
      </c>
      <c r="H3" t="s">
        <v>521</v>
      </c>
      <c r="I3" t="s">
        <v>522</v>
      </c>
      <c r="J3" t="s">
        <v>523</v>
      </c>
      <c r="K3" t="s">
        <v>524</v>
      </c>
      <c r="L3" t="s">
        <v>525</v>
      </c>
      <c r="M3" t="s">
        <v>526</v>
      </c>
      <c r="N3" t="s">
        <v>527</v>
      </c>
      <c r="O3" t="s">
        <v>528</v>
      </c>
      <c r="P3" t="s">
        <v>529</v>
      </c>
      <c r="Q3" t="s">
        <v>530</v>
      </c>
      <c r="R3" t="s">
        <v>531</v>
      </c>
      <c r="S3" t="s">
        <v>532</v>
      </c>
      <c r="T3" t="s">
        <v>533</v>
      </c>
      <c r="U3" t="s">
        <v>534</v>
      </c>
      <c r="V3" t="s">
        <v>535</v>
      </c>
      <c r="W3" t="s">
        <v>536</v>
      </c>
      <c r="X3" t="s">
        <v>537</v>
      </c>
      <c r="Y3" t="s">
        <v>538</v>
      </c>
      <c r="Z3" t="s">
        <v>539</v>
      </c>
      <c r="AA3" t="s">
        <v>540</v>
      </c>
      <c r="AB3" t="s">
        <v>541</v>
      </c>
      <c r="AC3" t="s">
        <v>542</v>
      </c>
      <c r="AD3" t="s">
        <v>543</v>
      </c>
    </row>
    <row r="4" spans="1:30">
      <c r="A4" t="s">
        <v>426</v>
      </c>
      <c r="B4">
        <v>100290837399</v>
      </c>
      <c r="C4">
        <v>3</v>
      </c>
      <c r="D4">
        <v>145</v>
      </c>
      <c r="E4">
        <v>0</v>
      </c>
      <c r="F4">
        <v>0</v>
      </c>
      <c r="G4">
        <v>0</v>
      </c>
      <c r="H4">
        <v>0</v>
      </c>
      <c r="I4">
        <v>2</v>
      </c>
      <c r="J4">
        <v>48</v>
      </c>
      <c r="K4">
        <v>0</v>
      </c>
      <c r="L4">
        <v>0</v>
      </c>
      <c r="O4">
        <v>1</v>
      </c>
      <c r="P4">
        <v>97</v>
      </c>
      <c r="Q4">
        <v>0</v>
      </c>
      <c r="R4">
        <v>0</v>
      </c>
      <c r="W4">
        <v>0</v>
      </c>
      <c r="X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414</v>
      </c>
      <c r="B5">
        <v>100290836407</v>
      </c>
      <c r="C5">
        <v>14</v>
      </c>
      <c r="D5">
        <v>141</v>
      </c>
      <c r="E5">
        <v>0</v>
      </c>
      <c r="F5">
        <v>0</v>
      </c>
      <c r="G5">
        <v>0</v>
      </c>
      <c r="H5">
        <v>0</v>
      </c>
      <c r="I5">
        <v>2</v>
      </c>
      <c r="J5">
        <v>50</v>
      </c>
      <c r="K5">
        <v>0</v>
      </c>
      <c r="L5">
        <v>0</v>
      </c>
      <c r="O5">
        <v>7</v>
      </c>
      <c r="P5">
        <v>15</v>
      </c>
      <c r="Q5">
        <v>1</v>
      </c>
      <c r="R5">
        <v>13</v>
      </c>
      <c r="W5">
        <v>0</v>
      </c>
      <c r="X5">
        <v>34</v>
      </c>
      <c r="AA5">
        <v>1</v>
      </c>
      <c r="AB5">
        <v>19</v>
      </c>
      <c r="AC5">
        <v>3</v>
      </c>
      <c r="AD5">
        <v>10</v>
      </c>
    </row>
    <row r="6" spans="1:30">
      <c r="A6" t="s">
        <v>406</v>
      </c>
      <c r="B6">
        <v>100290551241</v>
      </c>
      <c r="C6">
        <v>48</v>
      </c>
      <c r="D6">
        <v>726</v>
      </c>
      <c r="E6">
        <v>7</v>
      </c>
      <c r="F6">
        <v>39</v>
      </c>
      <c r="G6">
        <v>5</v>
      </c>
      <c r="H6">
        <v>5</v>
      </c>
      <c r="I6">
        <v>3</v>
      </c>
      <c r="J6">
        <v>101</v>
      </c>
      <c r="K6">
        <v>0</v>
      </c>
      <c r="L6">
        <v>0</v>
      </c>
      <c r="M6">
        <v>1</v>
      </c>
      <c r="N6">
        <v>114</v>
      </c>
      <c r="O6">
        <v>12</v>
      </c>
      <c r="P6">
        <v>234</v>
      </c>
      <c r="Q6">
        <v>0</v>
      </c>
      <c r="R6">
        <v>32</v>
      </c>
      <c r="S6">
        <v>3</v>
      </c>
      <c r="T6">
        <v>41</v>
      </c>
      <c r="W6">
        <v>7</v>
      </c>
      <c r="X6">
        <v>35</v>
      </c>
      <c r="Y6">
        <v>2</v>
      </c>
      <c r="Z6">
        <v>69</v>
      </c>
      <c r="AA6">
        <v>0</v>
      </c>
      <c r="AB6">
        <v>18</v>
      </c>
      <c r="AC6">
        <v>8</v>
      </c>
      <c r="AD6">
        <v>38</v>
      </c>
    </row>
    <row r="7" spans="1:30">
      <c r="A7" t="s">
        <v>420</v>
      </c>
      <c r="B7">
        <v>100379261312</v>
      </c>
      <c r="C7">
        <v>7</v>
      </c>
      <c r="D7">
        <v>100</v>
      </c>
      <c r="G7">
        <v>0</v>
      </c>
      <c r="H7">
        <v>0</v>
      </c>
      <c r="I7">
        <v>2</v>
      </c>
      <c r="J7">
        <v>74</v>
      </c>
      <c r="O7">
        <v>0</v>
      </c>
      <c r="P7">
        <v>0</v>
      </c>
      <c r="Q7">
        <v>0</v>
      </c>
      <c r="R7">
        <v>7</v>
      </c>
      <c r="AC7">
        <v>5</v>
      </c>
      <c r="AD7">
        <v>19</v>
      </c>
    </row>
    <row r="8" spans="1:30">
      <c r="A8" t="s">
        <v>409</v>
      </c>
      <c r="B8">
        <v>100289716337</v>
      </c>
      <c r="C8">
        <v>35</v>
      </c>
      <c r="D8">
        <v>415</v>
      </c>
      <c r="E8">
        <v>9</v>
      </c>
      <c r="F8">
        <v>28</v>
      </c>
      <c r="G8">
        <v>0</v>
      </c>
      <c r="H8">
        <v>0</v>
      </c>
      <c r="I8">
        <v>4</v>
      </c>
      <c r="J8">
        <v>84</v>
      </c>
      <c r="O8">
        <v>10</v>
      </c>
      <c r="P8">
        <v>34</v>
      </c>
      <c r="Q8">
        <v>0</v>
      </c>
      <c r="R8">
        <v>11</v>
      </c>
      <c r="S8">
        <v>3</v>
      </c>
      <c r="T8">
        <v>31</v>
      </c>
      <c r="W8">
        <v>2</v>
      </c>
      <c r="X8">
        <v>24</v>
      </c>
      <c r="Y8">
        <v>0</v>
      </c>
      <c r="Z8">
        <v>36</v>
      </c>
      <c r="AC8">
        <v>7</v>
      </c>
      <c r="AD8">
        <v>167</v>
      </c>
    </row>
    <row r="9" spans="1:30">
      <c r="A9" t="s">
        <v>396</v>
      </c>
      <c r="B9">
        <v>200726926589</v>
      </c>
      <c r="C9">
        <v>1557</v>
      </c>
      <c r="D9">
        <v>5084</v>
      </c>
      <c r="E9">
        <v>196</v>
      </c>
      <c r="F9">
        <v>33</v>
      </c>
      <c r="G9">
        <v>126</v>
      </c>
      <c r="H9">
        <v>0</v>
      </c>
      <c r="I9">
        <v>150</v>
      </c>
      <c r="J9">
        <v>577</v>
      </c>
      <c r="M9">
        <v>129</v>
      </c>
      <c r="N9">
        <v>278</v>
      </c>
      <c r="O9">
        <v>506</v>
      </c>
      <c r="P9">
        <v>3947</v>
      </c>
      <c r="Q9">
        <v>45</v>
      </c>
      <c r="R9">
        <v>144</v>
      </c>
      <c r="S9">
        <v>0</v>
      </c>
      <c r="T9">
        <v>0</v>
      </c>
      <c r="W9">
        <v>68</v>
      </c>
      <c r="X9">
        <v>0</v>
      </c>
      <c r="Y9">
        <v>121</v>
      </c>
      <c r="Z9">
        <v>77</v>
      </c>
      <c r="AA9">
        <v>16</v>
      </c>
      <c r="AB9">
        <v>7</v>
      </c>
      <c r="AC9">
        <v>167</v>
      </c>
      <c r="AD9">
        <v>14</v>
      </c>
    </row>
    <row r="10" spans="1:30">
      <c r="A10" t="s">
        <v>397</v>
      </c>
      <c r="B10">
        <v>100290520201</v>
      </c>
      <c r="C10">
        <v>1063</v>
      </c>
      <c r="D10">
        <v>10504</v>
      </c>
      <c r="E10">
        <v>99</v>
      </c>
      <c r="F10">
        <v>3656</v>
      </c>
      <c r="G10">
        <v>114</v>
      </c>
      <c r="H10">
        <v>24</v>
      </c>
      <c r="I10">
        <v>133</v>
      </c>
      <c r="J10">
        <v>2882</v>
      </c>
      <c r="M10">
        <v>48</v>
      </c>
      <c r="N10">
        <v>1747</v>
      </c>
      <c r="O10">
        <v>183</v>
      </c>
      <c r="P10">
        <v>1428</v>
      </c>
      <c r="Q10">
        <v>23</v>
      </c>
      <c r="R10">
        <v>222</v>
      </c>
      <c r="S10">
        <v>68</v>
      </c>
      <c r="T10">
        <v>73</v>
      </c>
      <c r="W10">
        <v>123</v>
      </c>
      <c r="X10">
        <v>35</v>
      </c>
      <c r="Y10">
        <v>45</v>
      </c>
      <c r="Z10">
        <v>212</v>
      </c>
      <c r="AA10">
        <v>15</v>
      </c>
      <c r="AB10">
        <v>14</v>
      </c>
      <c r="AC10">
        <v>174</v>
      </c>
      <c r="AD10">
        <v>194</v>
      </c>
    </row>
    <row r="11" spans="1:30">
      <c r="A11" t="s">
        <v>422</v>
      </c>
      <c r="B11">
        <v>100378935094</v>
      </c>
      <c r="C11">
        <v>4</v>
      </c>
      <c r="D11">
        <v>109</v>
      </c>
      <c r="E11">
        <v>0</v>
      </c>
      <c r="F11">
        <v>0</v>
      </c>
      <c r="G11">
        <v>0</v>
      </c>
      <c r="H11">
        <v>0</v>
      </c>
      <c r="I11">
        <v>1</v>
      </c>
      <c r="J11">
        <v>79</v>
      </c>
      <c r="K11">
        <v>0</v>
      </c>
      <c r="L11">
        <v>0</v>
      </c>
      <c r="M11">
        <v>0</v>
      </c>
      <c r="N11">
        <v>0</v>
      </c>
      <c r="O11">
        <v>2</v>
      </c>
      <c r="P11">
        <v>20</v>
      </c>
      <c r="Q11">
        <v>0</v>
      </c>
      <c r="R11">
        <v>1</v>
      </c>
      <c r="S11">
        <v>0</v>
      </c>
      <c r="T11">
        <v>0</v>
      </c>
      <c r="W11">
        <v>1</v>
      </c>
      <c r="X11">
        <v>9</v>
      </c>
      <c r="AC11">
        <v>0</v>
      </c>
      <c r="AD11">
        <v>0</v>
      </c>
    </row>
    <row r="12" spans="1:30">
      <c r="A12" t="s">
        <v>405</v>
      </c>
      <c r="B12">
        <v>100378967756</v>
      </c>
      <c r="C12">
        <v>53</v>
      </c>
      <c r="D12">
        <v>221</v>
      </c>
      <c r="E12">
        <v>3</v>
      </c>
      <c r="F12">
        <v>31</v>
      </c>
      <c r="G12">
        <v>0</v>
      </c>
      <c r="H12">
        <v>0</v>
      </c>
      <c r="I12">
        <v>6</v>
      </c>
      <c r="J12">
        <v>45</v>
      </c>
      <c r="M12">
        <v>10</v>
      </c>
      <c r="N12">
        <v>8</v>
      </c>
      <c r="O12">
        <v>6</v>
      </c>
      <c r="P12">
        <v>17</v>
      </c>
      <c r="Q12">
        <v>0</v>
      </c>
      <c r="R12">
        <v>28</v>
      </c>
      <c r="S12">
        <v>5</v>
      </c>
      <c r="T12">
        <v>33</v>
      </c>
      <c r="W12">
        <v>1</v>
      </c>
      <c r="X12">
        <v>0</v>
      </c>
      <c r="Y12">
        <v>22</v>
      </c>
      <c r="Z12">
        <v>1</v>
      </c>
      <c r="AA12">
        <v>0</v>
      </c>
      <c r="AB12">
        <v>58</v>
      </c>
      <c r="AC12">
        <v>0</v>
      </c>
      <c r="AD12">
        <v>0</v>
      </c>
    </row>
    <row r="13" spans="1:30">
      <c r="A13" t="s">
        <v>411</v>
      </c>
      <c r="B13">
        <v>100378966926</v>
      </c>
      <c r="C13">
        <v>20</v>
      </c>
      <c r="D13">
        <v>277</v>
      </c>
      <c r="E13">
        <v>0</v>
      </c>
      <c r="F13">
        <v>0</v>
      </c>
      <c r="G13">
        <v>0</v>
      </c>
      <c r="H13">
        <v>0</v>
      </c>
      <c r="I13">
        <v>12</v>
      </c>
      <c r="J13">
        <v>42</v>
      </c>
      <c r="K13">
        <v>0</v>
      </c>
      <c r="L13">
        <v>0</v>
      </c>
      <c r="M13">
        <v>2</v>
      </c>
      <c r="N13">
        <v>13</v>
      </c>
      <c r="O13">
        <v>0</v>
      </c>
      <c r="P13">
        <v>0</v>
      </c>
      <c r="Q13">
        <v>1</v>
      </c>
      <c r="R13">
        <v>32</v>
      </c>
      <c r="S13">
        <v>2</v>
      </c>
      <c r="T13">
        <v>131</v>
      </c>
      <c r="W13">
        <v>3</v>
      </c>
      <c r="X13">
        <v>1</v>
      </c>
      <c r="Y13">
        <v>0</v>
      </c>
      <c r="Z13">
        <v>2</v>
      </c>
      <c r="AA13">
        <v>0</v>
      </c>
      <c r="AB13">
        <v>56</v>
      </c>
      <c r="AC13">
        <v>0</v>
      </c>
      <c r="AD13">
        <v>0</v>
      </c>
    </row>
    <row r="14" spans="1:30">
      <c r="A14" t="s">
        <v>419</v>
      </c>
      <c r="B14">
        <v>100378969104</v>
      </c>
      <c r="C14">
        <v>9</v>
      </c>
      <c r="D14">
        <v>127</v>
      </c>
      <c r="E14">
        <v>0</v>
      </c>
      <c r="F14">
        <v>0</v>
      </c>
      <c r="G14">
        <v>0</v>
      </c>
      <c r="H14">
        <v>0</v>
      </c>
      <c r="I14">
        <v>2</v>
      </c>
      <c r="J14">
        <v>48</v>
      </c>
      <c r="M14">
        <v>1</v>
      </c>
      <c r="N14">
        <v>2</v>
      </c>
      <c r="O14">
        <v>4</v>
      </c>
      <c r="P14">
        <v>13</v>
      </c>
      <c r="Q14">
        <v>0</v>
      </c>
      <c r="R14">
        <v>0</v>
      </c>
      <c r="S14">
        <v>2</v>
      </c>
      <c r="T14">
        <v>22</v>
      </c>
      <c r="W14">
        <v>0</v>
      </c>
      <c r="X14">
        <v>0</v>
      </c>
      <c r="AA14">
        <v>0</v>
      </c>
      <c r="AB14">
        <v>42</v>
      </c>
      <c r="AC14">
        <v>0</v>
      </c>
      <c r="AD14">
        <v>0</v>
      </c>
    </row>
    <row r="15" spans="1:30">
      <c r="A15" t="s">
        <v>401</v>
      </c>
      <c r="B15">
        <v>100378134276</v>
      </c>
      <c r="C15">
        <v>593</v>
      </c>
      <c r="D15">
        <v>2833</v>
      </c>
      <c r="E15">
        <v>76</v>
      </c>
      <c r="F15">
        <v>407</v>
      </c>
      <c r="G15">
        <v>65</v>
      </c>
      <c r="H15">
        <v>473</v>
      </c>
      <c r="I15">
        <v>34</v>
      </c>
      <c r="J15">
        <v>701</v>
      </c>
      <c r="K15">
        <v>0</v>
      </c>
      <c r="L15">
        <v>0</v>
      </c>
      <c r="M15">
        <v>53</v>
      </c>
      <c r="N15">
        <v>160</v>
      </c>
      <c r="O15">
        <v>104</v>
      </c>
      <c r="P15">
        <v>353</v>
      </c>
      <c r="Q15">
        <v>15</v>
      </c>
      <c r="R15">
        <v>182</v>
      </c>
      <c r="S15">
        <v>21</v>
      </c>
      <c r="T15">
        <v>114</v>
      </c>
      <c r="W15">
        <v>26</v>
      </c>
      <c r="X15">
        <v>93</v>
      </c>
      <c r="Y15">
        <v>27</v>
      </c>
      <c r="Z15">
        <v>187</v>
      </c>
      <c r="AA15">
        <v>6</v>
      </c>
      <c r="AB15">
        <v>92</v>
      </c>
      <c r="AC15">
        <v>152</v>
      </c>
      <c r="AD15">
        <v>61</v>
      </c>
    </row>
    <row r="16" spans="1:30">
      <c r="A16" t="s">
        <v>393</v>
      </c>
      <c r="B16">
        <v>100268551377</v>
      </c>
      <c r="C16">
        <v>3906</v>
      </c>
      <c r="D16">
        <v>22633</v>
      </c>
      <c r="E16">
        <v>202</v>
      </c>
      <c r="F16">
        <v>3805</v>
      </c>
      <c r="G16">
        <v>225</v>
      </c>
      <c r="H16">
        <v>132</v>
      </c>
      <c r="I16">
        <v>537</v>
      </c>
      <c r="J16">
        <v>6397</v>
      </c>
      <c r="K16">
        <v>0</v>
      </c>
      <c r="L16">
        <v>0</v>
      </c>
      <c r="M16">
        <v>439</v>
      </c>
      <c r="N16">
        <v>1877</v>
      </c>
      <c r="O16">
        <v>919</v>
      </c>
      <c r="P16">
        <v>5332</v>
      </c>
      <c r="Q16">
        <v>121</v>
      </c>
      <c r="R16">
        <v>1444</v>
      </c>
      <c r="S16">
        <v>223</v>
      </c>
      <c r="T16">
        <v>4</v>
      </c>
      <c r="U16">
        <v>240</v>
      </c>
      <c r="V16">
        <v>494</v>
      </c>
      <c r="W16">
        <v>345</v>
      </c>
      <c r="X16">
        <v>129</v>
      </c>
      <c r="Y16">
        <v>207</v>
      </c>
      <c r="Z16">
        <v>1</v>
      </c>
      <c r="AA16">
        <v>51</v>
      </c>
      <c r="AB16">
        <v>486</v>
      </c>
      <c r="AC16">
        <v>314</v>
      </c>
      <c r="AD16">
        <v>2513</v>
      </c>
    </row>
    <row r="17" spans="1:30">
      <c r="A17" t="s">
        <v>413</v>
      </c>
      <c r="B17">
        <v>3396754</v>
      </c>
      <c r="C17">
        <v>16</v>
      </c>
      <c r="D17">
        <v>171</v>
      </c>
      <c r="E17">
        <v>1</v>
      </c>
      <c r="F17">
        <v>37</v>
      </c>
      <c r="G17">
        <v>0</v>
      </c>
      <c r="H17">
        <v>0</v>
      </c>
      <c r="I17">
        <v>7</v>
      </c>
      <c r="J17">
        <v>105</v>
      </c>
      <c r="K17">
        <v>1</v>
      </c>
      <c r="L17">
        <v>6</v>
      </c>
      <c r="O17">
        <v>5</v>
      </c>
      <c r="P17">
        <v>10</v>
      </c>
      <c r="AC17">
        <v>2</v>
      </c>
      <c r="AD17">
        <v>13</v>
      </c>
    </row>
    <row r="18" spans="1:30">
      <c r="A18" t="s">
        <v>416</v>
      </c>
      <c r="B18">
        <v>100314288492</v>
      </c>
      <c r="C18">
        <v>13</v>
      </c>
      <c r="D18">
        <v>297</v>
      </c>
      <c r="E18">
        <v>0</v>
      </c>
      <c r="F18">
        <v>16</v>
      </c>
      <c r="G18">
        <v>0</v>
      </c>
      <c r="H18">
        <v>0</v>
      </c>
      <c r="I18">
        <v>10</v>
      </c>
      <c r="J18">
        <v>255</v>
      </c>
      <c r="K18">
        <v>0</v>
      </c>
      <c r="L18">
        <v>0</v>
      </c>
      <c r="O18">
        <v>0</v>
      </c>
      <c r="P18">
        <v>17</v>
      </c>
      <c r="Q18">
        <v>0</v>
      </c>
      <c r="R18">
        <v>0</v>
      </c>
      <c r="AC18">
        <v>3</v>
      </c>
      <c r="AD18">
        <v>9</v>
      </c>
    </row>
    <row r="19" spans="1:30">
      <c r="A19" t="s">
        <v>412</v>
      </c>
      <c r="B19">
        <v>100160527042</v>
      </c>
      <c r="C19">
        <v>20</v>
      </c>
      <c r="D19">
        <v>232</v>
      </c>
      <c r="E19">
        <v>2</v>
      </c>
      <c r="F19">
        <v>19</v>
      </c>
      <c r="G19">
        <v>0</v>
      </c>
      <c r="H19">
        <v>0</v>
      </c>
      <c r="I19">
        <v>4</v>
      </c>
      <c r="J19">
        <v>141</v>
      </c>
      <c r="K19">
        <v>6</v>
      </c>
      <c r="L19">
        <v>0</v>
      </c>
      <c r="O19">
        <v>8</v>
      </c>
      <c r="P19">
        <v>72</v>
      </c>
      <c r="AC19">
        <v>0</v>
      </c>
      <c r="AD19">
        <v>0</v>
      </c>
    </row>
    <row r="20" spans="1:30">
      <c r="A20" t="s">
        <v>410</v>
      </c>
      <c r="B20">
        <v>100205639525</v>
      </c>
      <c r="C20">
        <v>26</v>
      </c>
      <c r="D20">
        <v>254</v>
      </c>
      <c r="E20">
        <v>2</v>
      </c>
      <c r="F20">
        <v>35</v>
      </c>
      <c r="G20">
        <v>0</v>
      </c>
      <c r="H20">
        <v>0</v>
      </c>
      <c r="I20">
        <v>19</v>
      </c>
      <c r="J20">
        <v>126</v>
      </c>
      <c r="K20">
        <v>0</v>
      </c>
      <c r="L20">
        <v>0</v>
      </c>
      <c r="O20">
        <v>3</v>
      </c>
      <c r="P20">
        <v>77</v>
      </c>
      <c r="AC20">
        <v>2</v>
      </c>
      <c r="AD20">
        <v>16</v>
      </c>
    </row>
    <row r="21" spans="1:30">
      <c r="A21" t="s">
        <v>402</v>
      </c>
      <c r="B21">
        <v>100010040669</v>
      </c>
      <c r="C21">
        <v>242</v>
      </c>
      <c r="D21">
        <v>1464</v>
      </c>
      <c r="E21">
        <v>25</v>
      </c>
      <c r="F21">
        <v>268</v>
      </c>
      <c r="G21">
        <v>10</v>
      </c>
      <c r="H21">
        <v>18</v>
      </c>
      <c r="I21">
        <v>150</v>
      </c>
      <c r="J21">
        <v>998</v>
      </c>
      <c r="K21">
        <v>11</v>
      </c>
      <c r="L21">
        <v>51</v>
      </c>
      <c r="O21">
        <v>12</v>
      </c>
      <c r="P21">
        <v>91</v>
      </c>
      <c r="Q21">
        <v>4</v>
      </c>
      <c r="R21">
        <v>34</v>
      </c>
      <c r="AC21">
        <v>30</v>
      </c>
      <c r="AD21">
        <v>4</v>
      </c>
    </row>
    <row r="22" spans="1:30">
      <c r="A22" t="s">
        <v>400</v>
      </c>
      <c r="B22">
        <v>100017482750</v>
      </c>
      <c r="C22">
        <v>794</v>
      </c>
      <c r="D22">
        <v>2515</v>
      </c>
      <c r="E22">
        <v>82</v>
      </c>
      <c r="F22">
        <v>183</v>
      </c>
      <c r="G22">
        <v>46</v>
      </c>
      <c r="H22">
        <v>4</v>
      </c>
      <c r="I22">
        <v>539</v>
      </c>
      <c r="J22">
        <v>1817</v>
      </c>
      <c r="K22">
        <v>34</v>
      </c>
      <c r="L22">
        <v>29</v>
      </c>
      <c r="O22">
        <v>90</v>
      </c>
      <c r="P22">
        <v>409</v>
      </c>
      <c r="Q22">
        <v>3</v>
      </c>
      <c r="R22">
        <v>73</v>
      </c>
      <c r="AC22">
        <v>0</v>
      </c>
      <c r="AD22">
        <v>0</v>
      </c>
    </row>
    <row r="23" spans="1:30">
      <c r="A23" t="s">
        <v>390</v>
      </c>
      <c r="B23">
        <v>100429918864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O23">
        <v>0</v>
      </c>
      <c r="P23">
        <v>0</v>
      </c>
      <c r="Q23">
        <v>0</v>
      </c>
      <c r="R23">
        <v>0</v>
      </c>
    </row>
    <row r="24" spans="1:30">
      <c r="A24" t="s">
        <v>398</v>
      </c>
      <c r="B24">
        <v>3045231</v>
      </c>
      <c r="C24">
        <v>1064</v>
      </c>
      <c r="D24">
        <v>4746</v>
      </c>
      <c r="E24">
        <v>39</v>
      </c>
      <c r="F24">
        <v>554</v>
      </c>
      <c r="G24">
        <v>9</v>
      </c>
      <c r="H24">
        <v>69</v>
      </c>
      <c r="I24">
        <v>961</v>
      </c>
      <c r="J24">
        <v>3615</v>
      </c>
      <c r="K24">
        <v>12</v>
      </c>
      <c r="L24">
        <v>64</v>
      </c>
      <c r="O24">
        <v>25</v>
      </c>
      <c r="P24">
        <v>218</v>
      </c>
      <c r="Q24">
        <v>8</v>
      </c>
      <c r="R24">
        <v>191</v>
      </c>
      <c r="AC24">
        <v>10</v>
      </c>
      <c r="AD24">
        <v>35</v>
      </c>
    </row>
    <row r="25" spans="1:30">
      <c r="A25" t="s">
        <v>394</v>
      </c>
      <c r="B25">
        <v>100017482746</v>
      </c>
      <c r="C25">
        <v>2734</v>
      </c>
      <c r="D25">
        <v>5603</v>
      </c>
      <c r="E25">
        <v>169</v>
      </c>
      <c r="F25">
        <v>485</v>
      </c>
      <c r="G25">
        <v>86</v>
      </c>
      <c r="H25">
        <v>89</v>
      </c>
      <c r="I25">
        <v>2044</v>
      </c>
      <c r="J25">
        <v>3109</v>
      </c>
      <c r="K25">
        <v>47</v>
      </c>
      <c r="L25">
        <v>195</v>
      </c>
      <c r="O25">
        <v>212</v>
      </c>
      <c r="P25">
        <v>929</v>
      </c>
      <c r="Q25">
        <v>5</v>
      </c>
      <c r="R25">
        <v>186</v>
      </c>
      <c r="AC25">
        <v>169</v>
      </c>
      <c r="AD25">
        <v>606</v>
      </c>
    </row>
    <row r="26" spans="1:30">
      <c r="A26" t="s">
        <v>395</v>
      </c>
      <c r="B26">
        <v>100429921288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</row>
    <row r="27" spans="1:30">
      <c r="A27" t="s">
        <v>408</v>
      </c>
      <c r="B27">
        <v>100019896911</v>
      </c>
      <c r="C27">
        <v>37</v>
      </c>
      <c r="D27">
        <v>290</v>
      </c>
      <c r="E27">
        <v>1</v>
      </c>
      <c r="F27">
        <v>59</v>
      </c>
      <c r="G27">
        <v>0</v>
      </c>
      <c r="H27">
        <v>0</v>
      </c>
      <c r="I27">
        <v>33</v>
      </c>
      <c r="J27">
        <v>196</v>
      </c>
      <c r="K27">
        <v>0</v>
      </c>
      <c r="L27">
        <v>0</v>
      </c>
      <c r="O27">
        <v>2</v>
      </c>
      <c r="P27">
        <v>24</v>
      </c>
      <c r="Q27">
        <v>0</v>
      </c>
      <c r="R27">
        <v>0</v>
      </c>
      <c r="AC27">
        <v>1</v>
      </c>
      <c r="AD27">
        <v>11</v>
      </c>
    </row>
    <row r="28" spans="1:30">
      <c r="A28" t="s">
        <v>403</v>
      </c>
      <c r="B28">
        <v>100385552302</v>
      </c>
      <c r="C28">
        <v>150</v>
      </c>
      <c r="D28">
        <v>216</v>
      </c>
      <c r="E28">
        <v>40</v>
      </c>
      <c r="F28">
        <v>48</v>
      </c>
      <c r="G28">
        <v>27</v>
      </c>
      <c r="H28">
        <v>0</v>
      </c>
      <c r="I28">
        <v>27</v>
      </c>
      <c r="J28">
        <v>103</v>
      </c>
      <c r="K28">
        <v>12</v>
      </c>
      <c r="L28">
        <v>0</v>
      </c>
      <c r="O28">
        <v>24</v>
      </c>
      <c r="P28">
        <v>9</v>
      </c>
      <c r="Q28">
        <v>2</v>
      </c>
      <c r="R28">
        <v>35</v>
      </c>
      <c r="AC28">
        <v>18</v>
      </c>
      <c r="AD28">
        <v>21</v>
      </c>
    </row>
    <row r="29" spans="1:30">
      <c r="A29" t="s">
        <v>417</v>
      </c>
      <c r="B29">
        <v>100016216960</v>
      </c>
      <c r="C29">
        <v>12</v>
      </c>
      <c r="D29">
        <v>194</v>
      </c>
      <c r="E29">
        <v>0</v>
      </c>
      <c r="F29">
        <v>19</v>
      </c>
      <c r="G29">
        <v>0</v>
      </c>
      <c r="H29">
        <v>10</v>
      </c>
      <c r="I29">
        <v>9</v>
      </c>
      <c r="J29">
        <v>158</v>
      </c>
      <c r="K29">
        <v>0</v>
      </c>
      <c r="L29">
        <v>0</v>
      </c>
      <c r="O29">
        <v>2</v>
      </c>
      <c r="P29">
        <v>4</v>
      </c>
      <c r="AC29">
        <v>1</v>
      </c>
      <c r="AD29">
        <v>3</v>
      </c>
    </row>
    <row r="30" spans="1:30">
      <c r="A30" t="s">
        <v>418</v>
      </c>
      <c r="B30">
        <v>3045249</v>
      </c>
      <c r="C30">
        <v>11</v>
      </c>
      <c r="D30">
        <v>239</v>
      </c>
      <c r="E30">
        <v>2</v>
      </c>
      <c r="F30">
        <v>73</v>
      </c>
      <c r="G30">
        <v>0</v>
      </c>
      <c r="H30">
        <v>27</v>
      </c>
      <c r="I30">
        <v>4</v>
      </c>
      <c r="J30">
        <v>68</v>
      </c>
      <c r="K30">
        <v>0</v>
      </c>
      <c r="L30">
        <v>14</v>
      </c>
      <c r="O30">
        <v>2</v>
      </c>
      <c r="P30">
        <v>47</v>
      </c>
      <c r="AC30">
        <v>3</v>
      </c>
      <c r="AD30">
        <v>10</v>
      </c>
    </row>
    <row r="31" spans="1:30">
      <c r="A31" t="s">
        <v>404</v>
      </c>
      <c r="B31">
        <v>100101940862</v>
      </c>
      <c r="C31">
        <v>94</v>
      </c>
      <c r="D31">
        <v>83</v>
      </c>
      <c r="E31">
        <v>8</v>
      </c>
      <c r="F31">
        <v>26</v>
      </c>
      <c r="G31">
        <v>0</v>
      </c>
      <c r="H31">
        <v>0</v>
      </c>
      <c r="I31">
        <v>80</v>
      </c>
      <c r="J31">
        <v>47</v>
      </c>
      <c r="K31">
        <v>0</v>
      </c>
      <c r="L31">
        <v>0</v>
      </c>
      <c r="O31">
        <v>6</v>
      </c>
      <c r="P31">
        <v>10</v>
      </c>
      <c r="Q31">
        <v>0</v>
      </c>
      <c r="R31">
        <v>0</v>
      </c>
      <c r="AC31">
        <v>0</v>
      </c>
      <c r="AD31">
        <v>0</v>
      </c>
    </row>
    <row r="32" spans="1:30">
      <c r="A32" t="s">
        <v>427</v>
      </c>
      <c r="B32">
        <v>100233229068</v>
      </c>
      <c r="C32">
        <v>2</v>
      </c>
      <c r="D32">
        <v>66</v>
      </c>
      <c r="E32">
        <v>0</v>
      </c>
      <c r="F32">
        <v>0</v>
      </c>
      <c r="G32">
        <v>0</v>
      </c>
      <c r="H32">
        <v>0</v>
      </c>
      <c r="I32">
        <v>2</v>
      </c>
      <c r="J32">
        <v>55</v>
      </c>
      <c r="K32">
        <v>0</v>
      </c>
      <c r="L32">
        <v>11</v>
      </c>
      <c r="O32">
        <v>0</v>
      </c>
      <c r="P32">
        <v>0</v>
      </c>
      <c r="Q32">
        <v>0</v>
      </c>
      <c r="R32">
        <v>0</v>
      </c>
    </row>
    <row r="33" spans="1:30">
      <c r="A33" t="s">
        <v>425</v>
      </c>
      <c r="B33">
        <v>100233229094</v>
      </c>
      <c r="C33">
        <v>3</v>
      </c>
      <c r="D33">
        <v>132</v>
      </c>
      <c r="E33">
        <v>0</v>
      </c>
      <c r="F33">
        <v>0</v>
      </c>
      <c r="G33">
        <v>0</v>
      </c>
      <c r="H33">
        <v>0</v>
      </c>
      <c r="I33">
        <v>2</v>
      </c>
      <c r="J33">
        <v>129</v>
      </c>
      <c r="K33">
        <v>1</v>
      </c>
      <c r="L33">
        <v>3</v>
      </c>
      <c r="O33">
        <v>0</v>
      </c>
      <c r="P33">
        <v>0</v>
      </c>
      <c r="Q33">
        <v>0</v>
      </c>
      <c r="R33">
        <v>0</v>
      </c>
    </row>
    <row r="34" spans="1:30">
      <c r="A34" t="s">
        <v>407</v>
      </c>
      <c r="B34">
        <v>100010435395</v>
      </c>
      <c r="C34">
        <v>48</v>
      </c>
      <c r="D34">
        <v>299</v>
      </c>
      <c r="E34">
        <v>6</v>
      </c>
      <c r="F34">
        <v>64</v>
      </c>
      <c r="G34">
        <v>0</v>
      </c>
      <c r="H34">
        <v>0</v>
      </c>
      <c r="I34">
        <v>37</v>
      </c>
      <c r="J34">
        <v>120</v>
      </c>
      <c r="K34">
        <v>0</v>
      </c>
      <c r="L34">
        <v>0</v>
      </c>
      <c r="O34">
        <v>5</v>
      </c>
      <c r="P34">
        <v>115</v>
      </c>
      <c r="AC34">
        <v>0</v>
      </c>
      <c r="AD34">
        <v>0</v>
      </c>
    </row>
    <row r="35" spans="1:30">
      <c r="A35" t="s">
        <v>392</v>
      </c>
      <c r="B35">
        <v>200704895129</v>
      </c>
      <c r="C35">
        <v>10873</v>
      </c>
      <c r="D35">
        <v>26462</v>
      </c>
      <c r="E35">
        <v>501</v>
      </c>
      <c r="F35">
        <v>3195</v>
      </c>
      <c r="G35">
        <v>977</v>
      </c>
      <c r="H35">
        <v>349</v>
      </c>
      <c r="I35">
        <v>1194</v>
      </c>
      <c r="J35">
        <v>7136</v>
      </c>
      <c r="M35">
        <v>644</v>
      </c>
      <c r="N35">
        <v>626</v>
      </c>
      <c r="O35">
        <v>3224</v>
      </c>
      <c r="P35">
        <v>4104</v>
      </c>
      <c r="Q35">
        <v>248</v>
      </c>
      <c r="R35">
        <v>2689</v>
      </c>
      <c r="S35">
        <v>465</v>
      </c>
      <c r="T35">
        <v>652</v>
      </c>
      <c r="U35">
        <v>2</v>
      </c>
      <c r="V35">
        <v>0</v>
      </c>
      <c r="W35">
        <v>840</v>
      </c>
      <c r="X35">
        <v>1437</v>
      </c>
      <c r="Y35">
        <v>813</v>
      </c>
      <c r="Z35">
        <v>9</v>
      </c>
      <c r="AA35">
        <v>112</v>
      </c>
      <c r="AB35">
        <v>1152</v>
      </c>
      <c r="AC35">
        <v>1746</v>
      </c>
      <c r="AD35">
        <v>5016</v>
      </c>
    </row>
    <row r="36" spans="1:30">
      <c r="A36" t="s">
        <v>424</v>
      </c>
      <c r="B36">
        <v>3751447</v>
      </c>
      <c r="C36">
        <v>3</v>
      </c>
      <c r="D36">
        <v>174</v>
      </c>
      <c r="E36">
        <v>1</v>
      </c>
      <c r="F36">
        <v>17</v>
      </c>
      <c r="G36">
        <v>0</v>
      </c>
      <c r="H36">
        <v>0</v>
      </c>
      <c r="I36">
        <v>2</v>
      </c>
      <c r="J36">
        <v>105</v>
      </c>
      <c r="K36">
        <v>0</v>
      </c>
      <c r="L36">
        <v>12</v>
      </c>
      <c r="O36">
        <v>0</v>
      </c>
      <c r="P36">
        <v>31</v>
      </c>
      <c r="AC36">
        <v>0</v>
      </c>
      <c r="AD36">
        <v>9</v>
      </c>
    </row>
    <row r="37" spans="1:30">
      <c r="A37" t="s">
        <v>423</v>
      </c>
      <c r="B37">
        <v>4198934</v>
      </c>
      <c r="C37">
        <v>3</v>
      </c>
      <c r="D37">
        <v>189</v>
      </c>
      <c r="E37">
        <v>1</v>
      </c>
      <c r="F37">
        <v>20</v>
      </c>
      <c r="G37">
        <v>0</v>
      </c>
      <c r="H37">
        <v>16</v>
      </c>
      <c r="I37">
        <v>2</v>
      </c>
      <c r="J37">
        <v>89</v>
      </c>
      <c r="K37">
        <v>0</v>
      </c>
      <c r="L37">
        <v>10</v>
      </c>
      <c r="O37">
        <v>0</v>
      </c>
      <c r="P37">
        <v>37</v>
      </c>
      <c r="AC37">
        <v>0</v>
      </c>
      <c r="AD37">
        <v>17</v>
      </c>
    </row>
    <row r="38" spans="1:30">
      <c r="A38" t="s">
        <v>415</v>
      </c>
      <c r="B38">
        <v>100022327029</v>
      </c>
      <c r="C38">
        <v>13</v>
      </c>
      <c r="D38">
        <v>111</v>
      </c>
      <c r="E38">
        <v>1</v>
      </c>
      <c r="F38">
        <v>32</v>
      </c>
      <c r="G38">
        <v>0</v>
      </c>
      <c r="H38">
        <v>0</v>
      </c>
      <c r="I38">
        <v>9</v>
      </c>
      <c r="J38">
        <v>61</v>
      </c>
      <c r="K38">
        <v>0</v>
      </c>
      <c r="L38">
        <v>0</v>
      </c>
      <c r="O38">
        <v>3</v>
      </c>
      <c r="P38">
        <v>18</v>
      </c>
      <c r="Q38">
        <v>0</v>
      </c>
      <c r="R38">
        <v>0</v>
      </c>
      <c r="AC38">
        <v>0</v>
      </c>
      <c r="AD38">
        <v>0</v>
      </c>
    </row>
    <row r="39" spans="1:30">
      <c r="A39" t="s">
        <v>421</v>
      </c>
      <c r="B39">
        <v>100286224075</v>
      </c>
      <c r="C39">
        <v>6</v>
      </c>
      <c r="D39">
        <v>92</v>
      </c>
      <c r="E39">
        <v>2</v>
      </c>
      <c r="F39">
        <v>16</v>
      </c>
      <c r="G39">
        <v>0</v>
      </c>
      <c r="H39">
        <v>0</v>
      </c>
      <c r="I39">
        <v>3</v>
      </c>
      <c r="J39">
        <v>28</v>
      </c>
      <c r="K39">
        <v>0</v>
      </c>
      <c r="L39">
        <v>0</v>
      </c>
      <c r="O39">
        <v>0</v>
      </c>
      <c r="P39">
        <v>36</v>
      </c>
      <c r="Q39">
        <v>0</v>
      </c>
      <c r="R39">
        <v>0</v>
      </c>
      <c r="AC39">
        <v>1</v>
      </c>
      <c r="AD39">
        <v>12</v>
      </c>
    </row>
    <row r="40" spans="1:30">
      <c r="A40" t="s">
        <v>399</v>
      </c>
      <c r="B40">
        <v>100280260287</v>
      </c>
      <c r="C40">
        <v>1073</v>
      </c>
      <c r="D40">
        <v>648</v>
      </c>
      <c r="E40">
        <v>53</v>
      </c>
      <c r="F40">
        <v>218</v>
      </c>
      <c r="G40">
        <v>26</v>
      </c>
      <c r="H40">
        <v>78</v>
      </c>
      <c r="I40">
        <v>880</v>
      </c>
      <c r="J40">
        <v>184</v>
      </c>
      <c r="K40">
        <v>15</v>
      </c>
      <c r="L40">
        <v>2</v>
      </c>
      <c r="O40">
        <v>68</v>
      </c>
      <c r="P40">
        <v>70</v>
      </c>
      <c r="Q40">
        <v>6</v>
      </c>
      <c r="R40">
        <v>90</v>
      </c>
      <c r="AC40">
        <v>25</v>
      </c>
      <c r="AD40">
        <v>1</v>
      </c>
    </row>
    <row r="41" spans="1:30">
      <c r="A41" t="s">
        <v>428</v>
      </c>
      <c r="B41">
        <v>100280161233</v>
      </c>
      <c r="C41">
        <v>2</v>
      </c>
      <c r="D41">
        <v>161</v>
      </c>
      <c r="E41">
        <v>2</v>
      </c>
      <c r="F41">
        <v>19</v>
      </c>
      <c r="G41">
        <v>0</v>
      </c>
      <c r="H41">
        <v>0</v>
      </c>
      <c r="I41">
        <v>0</v>
      </c>
      <c r="J41">
        <v>110</v>
      </c>
      <c r="K41">
        <v>0</v>
      </c>
      <c r="L41">
        <v>0</v>
      </c>
      <c r="O41">
        <v>0</v>
      </c>
      <c r="P41">
        <v>16</v>
      </c>
      <c r="Q41">
        <v>0</v>
      </c>
      <c r="R41">
        <v>0</v>
      </c>
      <c r="AC41">
        <v>0</v>
      </c>
      <c r="AD41">
        <v>16</v>
      </c>
    </row>
    <row r="42" spans="1:30">
      <c r="A42" t="s">
        <v>429</v>
      </c>
      <c r="B42">
        <v>100280162897</v>
      </c>
      <c r="C42">
        <v>2</v>
      </c>
      <c r="D42">
        <v>183</v>
      </c>
      <c r="E42">
        <v>0</v>
      </c>
      <c r="F42">
        <v>20</v>
      </c>
      <c r="G42">
        <v>0</v>
      </c>
      <c r="H42">
        <v>0</v>
      </c>
      <c r="I42">
        <v>0</v>
      </c>
      <c r="J42">
        <v>97</v>
      </c>
      <c r="K42">
        <v>0</v>
      </c>
      <c r="L42">
        <v>0</v>
      </c>
      <c r="O42">
        <v>1</v>
      </c>
      <c r="P42">
        <v>37</v>
      </c>
      <c r="Q42">
        <v>0</v>
      </c>
      <c r="R42">
        <v>0</v>
      </c>
      <c r="AC42">
        <v>1</v>
      </c>
      <c r="AD42">
        <v>29</v>
      </c>
    </row>
    <row r="43" spans="1:30">
      <c r="A43" t="s">
        <v>430</v>
      </c>
      <c r="B43">
        <v>100368684540</v>
      </c>
      <c r="C43">
        <v>1</v>
      </c>
      <c r="D43">
        <v>152</v>
      </c>
      <c r="E43">
        <v>0</v>
      </c>
      <c r="F43">
        <v>39</v>
      </c>
      <c r="G43">
        <v>0</v>
      </c>
      <c r="H43">
        <v>1</v>
      </c>
      <c r="I43">
        <v>0</v>
      </c>
      <c r="J43">
        <v>72</v>
      </c>
      <c r="K43">
        <v>0</v>
      </c>
      <c r="L43">
        <v>0</v>
      </c>
      <c r="O43">
        <v>1</v>
      </c>
      <c r="P43">
        <v>25</v>
      </c>
      <c r="Q43">
        <v>0</v>
      </c>
      <c r="R43">
        <v>0</v>
      </c>
      <c r="AC43">
        <v>0</v>
      </c>
      <c r="AD43">
        <v>15</v>
      </c>
    </row>
    <row r="44" spans="1:30">
      <c r="A44" t="s">
        <v>544</v>
      </c>
      <c r="B44">
        <v>3709547128792</v>
      </c>
      <c r="C44">
        <v>24554</v>
      </c>
      <c r="D44">
        <v>88288</v>
      </c>
      <c r="E44">
        <v>1530</v>
      </c>
      <c r="F44">
        <v>13461</v>
      </c>
      <c r="G44">
        <v>1716</v>
      </c>
      <c r="H44">
        <v>1295</v>
      </c>
      <c r="I44">
        <v>6906</v>
      </c>
      <c r="J44">
        <v>30052</v>
      </c>
      <c r="K44">
        <v>139</v>
      </c>
      <c r="L44">
        <v>397</v>
      </c>
      <c r="M44">
        <v>1327</v>
      </c>
      <c r="N44">
        <v>4825</v>
      </c>
      <c r="O44">
        <v>5447</v>
      </c>
      <c r="P44">
        <v>17896</v>
      </c>
      <c r="Q44">
        <v>482</v>
      </c>
      <c r="R44">
        <v>5414</v>
      </c>
      <c r="S44">
        <v>792</v>
      </c>
      <c r="T44">
        <v>1101</v>
      </c>
      <c r="U44">
        <v>242</v>
      </c>
      <c r="V44">
        <v>494</v>
      </c>
      <c r="W44">
        <v>1416</v>
      </c>
      <c r="X44">
        <v>1797</v>
      </c>
      <c r="Y44">
        <v>1237</v>
      </c>
      <c r="Z44">
        <v>594</v>
      </c>
      <c r="AA44">
        <v>201</v>
      </c>
      <c r="AB44">
        <v>1944</v>
      </c>
      <c r="AC44">
        <v>2842</v>
      </c>
      <c r="AD44">
        <v>8859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4"/>
  <sheetViews>
    <sheetView tabSelected="1" topLeftCell="D1" workbookViewId="0">
      <selection activeCell="S11" sqref="S11"/>
    </sheetView>
  </sheetViews>
  <sheetFormatPr defaultColWidth="8.72727272727273" defaultRowHeight="14"/>
  <cols>
    <col min="1" max="1" width="74.8181818181818"/>
    <col min="2" max="2" width="15.1818181818182" style="3" customWidth="1"/>
    <col min="3" max="3" width="15.1818181818182" customWidth="1"/>
    <col min="4" max="8" width="11.7272727272727" customWidth="1"/>
    <col min="9" max="9" width="11.7272727272727" style="4" customWidth="1"/>
    <col min="10" max="10" width="8.54545454545454" customWidth="1"/>
    <col min="11" max="13" width="11.7272727272727" customWidth="1"/>
    <col min="14" max="14" width="11.7272727272727" style="4" customWidth="1"/>
    <col min="15" max="40" width="11.7272727272727" customWidth="1"/>
  </cols>
  <sheetData>
    <row r="1" s="1" customFormat="1" ht="42" spans="1:40">
      <c r="A1" s="1" t="s">
        <v>1</v>
      </c>
      <c r="B1" s="3" t="s">
        <v>545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1" t="s">
        <v>546</v>
      </c>
      <c r="I1" s="5" t="s">
        <v>547</v>
      </c>
      <c r="J1" s="1" t="s">
        <v>548</v>
      </c>
      <c r="K1" s="1" t="s">
        <v>520</v>
      </c>
      <c r="L1" s="1" t="s">
        <v>521</v>
      </c>
      <c r="M1" s="1" t="s">
        <v>546</v>
      </c>
      <c r="N1" s="5" t="s">
        <v>547</v>
      </c>
      <c r="O1" s="1" t="s">
        <v>549</v>
      </c>
      <c r="P1" s="1" t="s">
        <v>522</v>
      </c>
      <c r="Q1" s="1" t="s">
        <v>523</v>
      </c>
      <c r="U1" s="1" t="s">
        <v>524</v>
      </c>
      <c r="V1" s="1" t="s">
        <v>525</v>
      </c>
      <c r="W1" s="1" t="s">
        <v>526</v>
      </c>
      <c r="X1" s="1" t="s">
        <v>527</v>
      </c>
      <c r="Y1" s="1" t="s">
        <v>528</v>
      </c>
      <c r="Z1" s="1" t="s">
        <v>529</v>
      </c>
      <c r="AA1" s="1" t="s">
        <v>530</v>
      </c>
      <c r="AB1" s="1" t="s">
        <v>531</v>
      </c>
      <c r="AC1" s="1" t="s">
        <v>532</v>
      </c>
      <c r="AD1" s="1" t="s">
        <v>533</v>
      </c>
      <c r="AE1" s="1" t="s">
        <v>534</v>
      </c>
      <c r="AF1" s="1" t="s">
        <v>535</v>
      </c>
      <c r="AG1" s="1" t="s">
        <v>536</v>
      </c>
      <c r="AH1" s="1" t="s">
        <v>537</v>
      </c>
      <c r="AI1" s="1" t="s">
        <v>538</v>
      </c>
      <c r="AJ1" s="1" t="s">
        <v>539</v>
      </c>
      <c r="AK1" s="1" t="s">
        <v>540</v>
      </c>
      <c r="AL1" s="1" t="s">
        <v>541</v>
      </c>
      <c r="AM1" s="1" t="s">
        <v>542</v>
      </c>
      <c r="AN1" s="1" t="s">
        <v>543</v>
      </c>
    </row>
    <row r="2" spans="1:40">
      <c r="A2" t="s">
        <v>426</v>
      </c>
      <c r="B2" s="3">
        <v>10</v>
      </c>
      <c r="C2" s="6">
        <v>100290837399</v>
      </c>
      <c r="D2">
        <v>3</v>
      </c>
      <c r="E2">
        <v>145</v>
      </c>
      <c r="F2">
        <v>0</v>
      </c>
      <c r="G2">
        <v>0</v>
      </c>
      <c r="H2">
        <f t="shared" ref="H2:H15" si="0">F2*4-G2</f>
        <v>0</v>
      </c>
      <c r="I2" s="4">
        <v>0</v>
      </c>
      <c r="J2">
        <f>B2*I2/1000</f>
        <v>0</v>
      </c>
      <c r="K2">
        <v>0</v>
      </c>
      <c r="L2">
        <v>0</v>
      </c>
      <c r="M2">
        <f>K2*4-L2</f>
        <v>0</v>
      </c>
      <c r="N2" s="4">
        <v>0</v>
      </c>
      <c r="O2">
        <f>N2*B2/1000</f>
        <v>0</v>
      </c>
      <c r="P2">
        <v>2</v>
      </c>
      <c r="Q2">
        <v>48</v>
      </c>
      <c r="U2">
        <v>0</v>
      </c>
      <c r="V2">
        <v>0</v>
      </c>
      <c r="Y2">
        <v>1</v>
      </c>
      <c r="Z2">
        <v>97</v>
      </c>
      <c r="AA2">
        <v>0</v>
      </c>
      <c r="AB2">
        <v>0</v>
      </c>
      <c r="AG2">
        <v>0</v>
      </c>
      <c r="AH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414</v>
      </c>
      <c r="B3" s="3">
        <v>10</v>
      </c>
      <c r="C3" s="6">
        <v>100290836407</v>
      </c>
      <c r="D3">
        <v>14</v>
      </c>
      <c r="E3">
        <v>141</v>
      </c>
      <c r="F3">
        <v>0</v>
      </c>
      <c r="G3">
        <v>0</v>
      </c>
      <c r="H3">
        <f t="shared" si="0"/>
        <v>0</v>
      </c>
      <c r="I3" s="4">
        <v>0</v>
      </c>
      <c r="J3">
        <f t="shared" ref="J3:J15" si="1">B3*I3/1000</f>
        <v>0</v>
      </c>
      <c r="K3">
        <v>0</v>
      </c>
      <c r="L3">
        <v>0</v>
      </c>
      <c r="M3">
        <f t="shared" ref="M3:M15" si="2">K3*4-L3</f>
        <v>0</v>
      </c>
      <c r="N3" s="4">
        <v>0</v>
      </c>
      <c r="O3">
        <f t="shared" ref="O3:O43" si="3">N3*B3/1000</f>
        <v>0</v>
      </c>
      <c r="P3">
        <v>2</v>
      </c>
      <c r="Q3">
        <v>50</v>
      </c>
      <c r="U3">
        <v>0</v>
      </c>
      <c r="V3">
        <v>0</v>
      </c>
      <c r="Y3">
        <v>7</v>
      </c>
      <c r="Z3">
        <v>15</v>
      </c>
      <c r="AA3">
        <v>1</v>
      </c>
      <c r="AB3">
        <v>13</v>
      </c>
      <c r="AG3">
        <v>0</v>
      </c>
      <c r="AH3">
        <v>34</v>
      </c>
      <c r="AK3">
        <v>1</v>
      </c>
      <c r="AL3">
        <v>19</v>
      </c>
      <c r="AM3">
        <v>3</v>
      </c>
      <c r="AN3">
        <v>10</v>
      </c>
    </row>
    <row r="4" spans="1:40">
      <c r="A4" t="s">
        <v>406</v>
      </c>
      <c r="B4" s="3">
        <v>10</v>
      </c>
      <c r="C4" s="6">
        <v>100290551241</v>
      </c>
      <c r="D4">
        <v>48</v>
      </c>
      <c r="E4">
        <v>726</v>
      </c>
      <c r="F4">
        <v>7</v>
      </c>
      <c r="G4">
        <v>39</v>
      </c>
      <c r="H4">
        <f t="shared" si="0"/>
        <v>-11</v>
      </c>
      <c r="I4" s="4">
        <v>0</v>
      </c>
      <c r="J4">
        <f t="shared" si="1"/>
        <v>0</v>
      </c>
      <c r="K4">
        <v>5</v>
      </c>
      <c r="L4">
        <v>5</v>
      </c>
      <c r="M4">
        <f t="shared" si="2"/>
        <v>15</v>
      </c>
      <c r="N4" s="4">
        <v>20</v>
      </c>
      <c r="O4">
        <f t="shared" si="3"/>
        <v>0.2</v>
      </c>
      <c r="P4">
        <v>3</v>
      </c>
      <c r="Q4">
        <v>101</v>
      </c>
      <c r="U4">
        <v>0</v>
      </c>
      <c r="V4">
        <v>0</v>
      </c>
      <c r="W4">
        <v>1</v>
      </c>
      <c r="X4">
        <v>114</v>
      </c>
      <c r="Y4">
        <v>12</v>
      </c>
      <c r="Z4">
        <v>234</v>
      </c>
      <c r="AA4">
        <v>0</v>
      </c>
      <c r="AB4">
        <v>32</v>
      </c>
      <c r="AC4">
        <v>3</v>
      </c>
      <c r="AD4">
        <v>41</v>
      </c>
      <c r="AG4">
        <v>7</v>
      </c>
      <c r="AH4">
        <v>35</v>
      </c>
      <c r="AI4">
        <v>2</v>
      </c>
      <c r="AJ4">
        <v>69</v>
      </c>
      <c r="AK4">
        <v>0</v>
      </c>
      <c r="AL4">
        <v>18</v>
      </c>
      <c r="AM4">
        <v>8</v>
      </c>
      <c r="AN4">
        <v>38</v>
      </c>
    </row>
    <row r="5" spans="1:40">
      <c r="A5" t="s">
        <v>420</v>
      </c>
      <c r="B5" s="3">
        <v>5</v>
      </c>
      <c r="C5" s="6">
        <v>100379261312</v>
      </c>
      <c r="D5">
        <v>7</v>
      </c>
      <c r="E5">
        <v>100</v>
      </c>
      <c r="H5">
        <f t="shared" si="0"/>
        <v>0</v>
      </c>
      <c r="I5" s="4">
        <v>0</v>
      </c>
      <c r="J5">
        <f t="shared" si="1"/>
        <v>0</v>
      </c>
      <c r="K5">
        <v>0</v>
      </c>
      <c r="L5">
        <v>0</v>
      </c>
      <c r="M5">
        <f t="shared" si="2"/>
        <v>0</v>
      </c>
      <c r="N5" s="4">
        <v>0</v>
      </c>
      <c r="O5">
        <f t="shared" si="3"/>
        <v>0</v>
      </c>
      <c r="P5">
        <v>2</v>
      </c>
      <c r="Q5">
        <v>74</v>
      </c>
      <c r="Y5">
        <v>0</v>
      </c>
      <c r="Z5">
        <v>0</v>
      </c>
      <c r="AA5">
        <v>0</v>
      </c>
      <c r="AB5">
        <v>7</v>
      </c>
      <c r="AM5">
        <v>5</v>
      </c>
      <c r="AN5">
        <v>19</v>
      </c>
    </row>
    <row r="6" spans="1:40">
      <c r="A6" t="s">
        <v>409</v>
      </c>
      <c r="B6" s="3">
        <v>5</v>
      </c>
      <c r="C6" s="6">
        <v>100289716337</v>
      </c>
      <c r="D6">
        <v>35</v>
      </c>
      <c r="E6">
        <v>415</v>
      </c>
      <c r="F6">
        <v>9</v>
      </c>
      <c r="G6">
        <v>28</v>
      </c>
      <c r="H6">
        <f t="shared" si="0"/>
        <v>8</v>
      </c>
      <c r="I6" s="4">
        <v>20</v>
      </c>
      <c r="J6">
        <f t="shared" si="1"/>
        <v>0.1</v>
      </c>
      <c r="K6">
        <v>0</v>
      </c>
      <c r="L6">
        <v>0</v>
      </c>
      <c r="M6">
        <f t="shared" si="2"/>
        <v>0</v>
      </c>
      <c r="N6" s="4">
        <v>0</v>
      </c>
      <c r="O6">
        <f t="shared" si="3"/>
        <v>0</v>
      </c>
      <c r="P6">
        <v>4</v>
      </c>
      <c r="Q6">
        <v>84</v>
      </c>
      <c r="Y6">
        <v>10</v>
      </c>
      <c r="Z6">
        <v>34</v>
      </c>
      <c r="AA6">
        <v>0</v>
      </c>
      <c r="AB6">
        <v>11</v>
      </c>
      <c r="AC6">
        <v>3</v>
      </c>
      <c r="AD6">
        <v>31</v>
      </c>
      <c r="AG6">
        <v>2</v>
      </c>
      <c r="AH6">
        <v>24</v>
      </c>
      <c r="AI6">
        <v>0</v>
      </c>
      <c r="AJ6">
        <v>36</v>
      </c>
      <c r="AM6">
        <v>7</v>
      </c>
      <c r="AN6">
        <v>167</v>
      </c>
    </row>
    <row r="7" spans="1:40">
      <c r="A7" t="s">
        <v>396</v>
      </c>
      <c r="B7" s="3">
        <v>10</v>
      </c>
      <c r="C7" s="6">
        <v>200726926589</v>
      </c>
      <c r="D7">
        <v>1557</v>
      </c>
      <c r="E7">
        <v>5084</v>
      </c>
      <c r="F7">
        <v>196</v>
      </c>
      <c r="G7">
        <v>33</v>
      </c>
      <c r="H7">
        <f t="shared" si="0"/>
        <v>751</v>
      </c>
      <c r="I7" s="4">
        <v>750</v>
      </c>
      <c r="J7">
        <f t="shared" si="1"/>
        <v>7.5</v>
      </c>
      <c r="K7">
        <v>126</v>
      </c>
      <c r="L7">
        <v>0</v>
      </c>
      <c r="M7">
        <f t="shared" si="2"/>
        <v>504</v>
      </c>
      <c r="N7" s="4">
        <v>500</v>
      </c>
      <c r="O7">
        <f t="shared" si="3"/>
        <v>5</v>
      </c>
      <c r="P7">
        <v>150</v>
      </c>
      <c r="Q7">
        <v>577</v>
      </c>
      <c r="W7">
        <v>129</v>
      </c>
      <c r="X7">
        <v>278</v>
      </c>
      <c r="Y7">
        <v>506</v>
      </c>
      <c r="Z7">
        <v>3947</v>
      </c>
      <c r="AA7">
        <v>45</v>
      </c>
      <c r="AB7">
        <v>144</v>
      </c>
      <c r="AC7">
        <v>0</v>
      </c>
      <c r="AD7">
        <v>0</v>
      </c>
      <c r="AG7">
        <v>68</v>
      </c>
      <c r="AH7">
        <v>0</v>
      </c>
      <c r="AI7">
        <v>121</v>
      </c>
      <c r="AJ7">
        <v>77</v>
      </c>
      <c r="AK7">
        <v>16</v>
      </c>
      <c r="AL7">
        <v>7</v>
      </c>
      <c r="AM7">
        <v>167</v>
      </c>
      <c r="AN7">
        <v>14</v>
      </c>
    </row>
    <row r="8" spans="1:40">
      <c r="A8" t="s">
        <v>397</v>
      </c>
      <c r="B8" s="3">
        <v>10</v>
      </c>
      <c r="C8" s="6">
        <v>100290520201</v>
      </c>
      <c r="D8">
        <v>1063</v>
      </c>
      <c r="E8">
        <v>10504</v>
      </c>
      <c r="F8">
        <v>99</v>
      </c>
      <c r="G8">
        <v>3656</v>
      </c>
      <c r="H8">
        <f t="shared" si="0"/>
        <v>-3260</v>
      </c>
      <c r="I8" s="4">
        <v>0</v>
      </c>
      <c r="J8">
        <f t="shared" si="1"/>
        <v>0</v>
      </c>
      <c r="K8">
        <v>114</v>
      </c>
      <c r="L8">
        <v>24</v>
      </c>
      <c r="M8">
        <f t="shared" si="2"/>
        <v>432</v>
      </c>
      <c r="N8" s="4">
        <v>430</v>
      </c>
      <c r="O8">
        <f t="shared" si="3"/>
        <v>4.3</v>
      </c>
      <c r="P8">
        <v>133</v>
      </c>
      <c r="Q8">
        <v>2882</v>
      </c>
      <c r="W8">
        <v>48</v>
      </c>
      <c r="X8">
        <v>1747</v>
      </c>
      <c r="Y8">
        <v>183</v>
      </c>
      <c r="Z8">
        <v>1428</v>
      </c>
      <c r="AA8">
        <v>23</v>
      </c>
      <c r="AB8">
        <v>222</v>
      </c>
      <c r="AC8">
        <v>68</v>
      </c>
      <c r="AD8">
        <v>73</v>
      </c>
      <c r="AG8">
        <v>123</v>
      </c>
      <c r="AH8">
        <v>35</v>
      </c>
      <c r="AI8">
        <v>45</v>
      </c>
      <c r="AJ8">
        <v>212</v>
      </c>
      <c r="AK8">
        <v>15</v>
      </c>
      <c r="AL8">
        <v>14</v>
      </c>
      <c r="AM8">
        <v>174</v>
      </c>
      <c r="AN8">
        <v>194</v>
      </c>
    </row>
    <row r="9" spans="1:40">
      <c r="A9" t="s">
        <v>422</v>
      </c>
      <c r="B9" s="3">
        <v>10</v>
      </c>
      <c r="C9" s="6">
        <v>100378935094</v>
      </c>
      <c r="D9">
        <v>4</v>
      </c>
      <c r="E9">
        <v>109</v>
      </c>
      <c r="F9">
        <v>0</v>
      </c>
      <c r="G9">
        <v>0</v>
      </c>
      <c r="H9">
        <f t="shared" si="0"/>
        <v>0</v>
      </c>
      <c r="I9" s="4">
        <v>20</v>
      </c>
      <c r="J9">
        <f t="shared" si="1"/>
        <v>0.2</v>
      </c>
      <c r="K9">
        <v>0</v>
      </c>
      <c r="L9">
        <v>0</v>
      </c>
      <c r="M9">
        <f t="shared" si="2"/>
        <v>0</v>
      </c>
      <c r="N9" s="4">
        <v>0</v>
      </c>
      <c r="O9">
        <f t="shared" si="3"/>
        <v>0</v>
      </c>
      <c r="P9">
        <v>1</v>
      </c>
      <c r="Q9">
        <v>79</v>
      </c>
      <c r="U9">
        <v>0</v>
      </c>
      <c r="V9">
        <v>0</v>
      </c>
      <c r="W9">
        <v>0</v>
      </c>
      <c r="X9">
        <v>0</v>
      </c>
      <c r="Y9">
        <v>2</v>
      </c>
      <c r="Z9">
        <v>20</v>
      </c>
      <c r="AA9">
        <v>0</v>
      </c>
      <c r="AB9">
        <v>1</v>
      </c>
      <c r="AC9">
        <v>0</v>
      </c>
      <c r="AD9">
        <v>0</v>
      </c>
      <c r="AG9">
        <v>1</v>
      </c>
      <c r="AH9">
        <v>9</v>
      </c>
      <c r="AM9">
        <v>0</v>
      </c>
      <c r="AN9">
        <v>0</v>
      </c>
    </row>
    <row r="10" spans="1:40">
      <c r="A10" t="s">
        <v>405</v>
      </c>
      <c r="B10" s="3">
        <v>10</v>
      </c>
      <c r="C10" s="6">
        <v>100378967756</v>
      </c>
      <c r="D10">
        <v>53</v>
      </c>
      <c r="E10">
        <v>221</v>
      </c>
      <c r="F10">
        <v>3</v>
      </c>
      <c r="G10">
        <v>31</v>
      </c>
      <c r="H10">
        <f t="shared" si="0"/>
        <v>-19</v>
      </c>
      <c r="I10" s="4">
        <v>0</v>
      </c>
      <c r="J10">
        <f t="shared" si="1"/>
        <v>0</v>
      </c>
      <c r="K10">
        <v>0</v>
      </c>
      <c r="L10">
        <v>0</v>
      </c>
      <c r="M10">
        <f t="shared" si="2"/>
        <v>0</v>
      </c>
      <c r="N10" s="4">
        <v>0</v>
      </c>
      <c r="O10">
        <f t="shared" si="3"/>
        <v>0</v>
      </c>
      <c r="P10">
        <v>6</v>
      </c>
      <c r="Q10">
        <v>45</v>
      </c>
      <c r="W10">
        <v>10</v>
      </c>
      <c r="X10">
        <v>8</v>
      </c>
      <c r="Y10">
        <v>6</v>
      </c>
      <c r="Z10">
        <v>17</v>
      </c>
      <c r="AA10">
        <v>0</v>
      </c>
      <c r="AB10">
        <v>28</v>
      </c>
      <c r="AC10">
        <v>5</v>
      </c>
      <c r="AD10">
        <v>33</v>
      </c>
      <c r="AG10">
        <v>1</v>
      </c>
      <c r="AH10">
        <v>0</v>
      </c>
      <c r="AI10">
        <v>22</v>
      </c>
      <c r="AJ10">
        <v>1</v>
      </c>
      <c r="AK10">
        <v>0</v>
      </c>
      <c r="AL10">
        <v>58</v>
      </c>
      <c r="AM10">
        <v>0</v>
      </c>
      <c r="AN10">
        <v>0</v>
      </c>
    </row>
    <row r="11" spans="1:40">
      <c r="A11" t="s">
        <v>411</v>
      </c>
      <c r="B11" s="3">
        <v>10</v>
      </c>
      <c r="C11" s="6">
        <v>100378966926</v>
      </c>
      <c r="D11">
        <v>20</v>
      </c>
      <c r="E11">
        <v>277</v>
      </c>
      <c r="F11">
        <v>0</v>
      </c>
      <c r="G11">
        <v>0</v>
      </c>
      <c r="H11">
        <f t="shared" si="0"/>
        <v>0</v>
      </c>
      <c r="I11" s="4">
        <v>0</v>
      </c>
      <c r="J11">
        <f t="shared" si="1"/>
        <v>0</v>
      </c>
      <c r="K11">
        <v>0</v>
      </c>
      <c r="L11">
        <v>0</v>
      </c>
      <c r="M11">
        <f t="shared" si="2"/>
        <v>0</v>
      </c>
      <c r="N11" s="4">
        <v>0</v>
      </c>
      <c r="O11">
        <f t="shared" si="3"/>
        <v>0</v>
      </c>
      <c r="P11">
        <v>12</v>
      </c>
      <c r="Q11">
        <v>42</v>
      </c>
      <c r="U11">
        <v>0</v>
      </c>
      <c r="V11">
        <v>0</v>
      </c>
      <c r="W11">
        <v>2</v>
      </c>
      <c r="X11">
        <v>13</v>
      </c>
      <c r="Y11">
        <v>0</v>
      </c>
      <c r="Z11">
        <v>0</v>
      </c>
      <c r="AA11">
        <v>1</v>
      </c>
      <c r="AB11">
        <v>32</v>
      </c>
      <c r="AC11">
        <v>2</v>
      </c>
      <c r="AD11">
        <v>131</v>
      </c>
      <c r="AG11">
        <v>3</v>
      </c>
      <c r="AH11">
        <v>1</v>
      </c>
      <c r="AI11">
        <v>0</v>
      </c>
      <c r="AJ11">
        <v>2</v>
      </c>
      <c r="AK11">
        <v>0</v>
      </c>
      <c r="AL11">
        <v>56</v>
      </c>
      <c r="AM11">
        <v>0</v>
      </c>
      <c r="AN11">
        <v>0</v>
      </c>
    </row>
    <row r="12" spans="1:40">
      <c r="A12" t="s">
        <v>419</v>
      </c>
      <c r="B12" s="3">
        <v>10</v>
      </c>
      <c r="C12" s="6">
        <v>100378969104</v>
      </c>
      <c r="D12">
        <v>9</v>
      </c>
      <c r="E12">
        <v>127</v>
      </c>
      <c r="F12">
        <v>0</v>
      </c>
      <c r="G12">
        <v>0</v>
      </c>
      <c r="H12">
        <f t="shared" si="0"/>
        <v>0</v>
      </c>
      <c r="I12" s="4">
        <v>0</v>
      </c>
      <c r="J12">
        <f t="shared" si="1"/>
        <v>0</v>
      </c>
      <c r="K12">
        <v>0</v>
      </c>
      <c r="L12">
        <v>0</v>
      </c>
      <c r="M12">
        <f t="shared" si="2"/>
        <v>0</v>
      </c>
      <c r="N12" s="4">
        <v>0</v>
      </c>
      <c r="O12">
        <f t="shared" si="3"/>
        <v>0</v>
      </c>
      <c r="P12">
        <v>2</v>
      </c>
      <c r="Q12">
        <v>48</v>
      </c>
      <c r="W12">
        <v>1</v>
      </c>
      <c r="X12">
        <v>2</v>
      </c>
      <c r="Y12">
        <v>4</v>
      </c>
      <c r="Z12">
        <v>13</v>
      </c>
      <c r="AA12">
        <v>0</v>
      </c>
      <c r="AB12">
        <v>0</v>
      </c>
      <c r="AC12">
        <v>2</v>
      </c>
      <c r="AD12">
        <v>22</v>
      </c>
      <c r="AG12">
        <v>0</v>
      </c>
      <c r="AH12">
        <v>0</v>
      </c>
      <c r="AK12">
        <v>0</v>
      </c>
      <c r="AL12">
        <v>42</v>
      </c>
      <c r="AM12">
        <v>0</v>
      </c>
      <c r="AN12">
        <v>0</v>
      </c>
    </row>
    <row r="13" spans="1:40">
      <c r="A13" t="s">
        <v>401</v>
      </c>
      <c r="B13" s="3">
        <v>25</v>
      </c>
      <c r="C13" s="6">
        <v>100378134276</v>
      </c>
      <c r="D13">
        <v>593</v>
      </c>
      <c r="E13">
        <v>2833</v>
      </c>
      <c r="F13">
        <v>76</v>
      </c>
      <c r="G13">
        <v>407</v>
      </c>
      <c r="H13">
        <f t="shared" si="0"/>
        <v>-103</v>
      </c>
      <c r="I13" s="4">
        <v>0</v>
      </c>
      <c r="J13">
        <f t="shared" si="1"/>
        <v>0</v>
      </c>
      <c r="K13">
        <v>65</v>
      </c>
      <c r="L13">
        <v>473</v>
      </c>
      <c r="M13">
        <f t="shared" si="2"/>
        <v>-213</v>
      </c>
      <c r="N13" s="4">
        <v>0</v>
      </c>
      <c r="O13">
        <f t="shared" si="3"/>
        <v>0</v>
      </c>
      <c r="P13">
        <v>34</v>
      </c>
      <c r="Q13">
        <v>701</v>
      </c>
      <c r="U13">
        <v>0</v>
      </c>
      <c r="V13">
        <v>0</v>
      </c>
      <c r="W13">
        <v>53</v>
      </c>
      <c r="X13">
        <v>160</v>
      </c>
      <c r="Y13">
        <v>104</v>
      </c>
      <c r="Z13">
        <v>353</v>
      </c>
      <c r="AA13">
        <v>15</v>
      </c>
      <c r="AB13">
        <v>182</v>
      </c>
      <c r="AC13">
        <v>21</v>
      </c>
      <c r="AD13">
        <v>114</v>
      </c>
      <c r="AG13">
        <v>26</v>
      </c>
      <c r="AH13">
        <v>93</v>
      </c>
      <c r="AI13">
        <v>27</v>
      </c>
      <c r="AJ13">
        <v>187</v>
      </c>
      <c r="AK13">
        <v>6</v>
      </c>
      <c r="AL13">
        <v>92</v>
      </c>
      <c r="AM13">
        <v>152</v>
      </c>
      <c r="AN13">
        <v>61</v>
      </c>
    </row>
    <row r="14" spans="1:40">
      <c r="A14" t="s">
        <v>393</v>
      </c>
      <c r="B14" s="3">
        <v>5</v>
      </c>
      <c r="C14" s="6">
        <v>100268551377</v>
      </c>
      <c r="D14">
        <v>3906</v>
      </c>
      <c r="E14">
        <v>22633</v>
      </c>
      <c r="F14">
        <v>202</v>
      </c>
      <c r="G14">
        <v>3805</v>
      </c>
      <c r="H14">
        <f t="shared" si="0"/>
        <v>-2997</v>
      </c>
      <c r="I14" s="4">
        <v>0</v>
      </c>
      <c r="J14">
        <f t="shared" si="1"/>
        <v>0</v>
      </c>
      <c r="K14">
        <v>225</v>
      </c>
      <c r="L14">
        <v>132</v>
      </c>
      <c r="M14">
        <f t="shared" si="2"/>
        <v>768</v>
      </c>
      <c r="N14" s="4">
        <v>780</v>
      </c>
      <c r="O14">
        <f t="shared" si="3"/>
        <v>3.9</v>
      </c>
      <c r="P14">
        <v>537</v>
      </c>
      <c r="Q14">
        <v>6397</v>
      </c>
      <c r="U14">
        <v>0</v>
      </c>
      <c r="V14">
        <v>0</v>
      </c>
      <c r="W14">
        <v>439</v>
      </c>
      <c r="X14">
        <v>1877</v>
      </c>
      <c r="Y14">
        <v>919</v>
      </c>
      <c r="Z14">
        <v>5332</v>
      </c>
      <c r="AA14">
        <v>121</v>
      </c>
      <c r="AB14">
        <v>1444</v>
      </c>
      <c r="AC14">
        <v>223</v>
      </c>
      <c r="AD14">
        <v>4</v>
      </c>
      <c r="AE14">
        <v>240</v>
      </c>
      <c r="AF14">
        <v>494</v>
      </c>
      <c r="AG14">
        <v>345</v>
      </c>
      <c r="AH14">
        <v>129</v>
      </c>
      <c r="AI14">
        <v>207</v>
      </c>
      <c r="AJ14">
        <v>1</v>
      </c>
      <c r="AK14">
        <v>51</v>
      </c>
      <c r="AL14">
        <v>486</v>
      </c>
      <c r="AM14">
        <v>314</v>
      </c>
      <c r="AN14">
        <v>2513</v>
      </c>
    </row>
    <row r="15" spans="1:40">
      <c r="A15" t="s">
        <v>392</v>
      </c>
      <c r="B15" s="3">
        <v>5</v>
      </c>
      <c r="C15" s="6">
        <v>200704895129</v>
      </c>
      <c r="D15">
        <v>10873</v>
      </c>
      <c r="E15">
        <v>26462</v>
      </c>
      <c r="F15">
        <v>501</v>
      </c>
      <c r="G15">
        <v>3195</v>
      </c>
      <c r="H15">
        <f t="shared" si="0"/>
        <v>-1191</v>
      </c>
      <c r="I15" s="4">
        <v>0</v>
      </c>
      <c r="J15">
        <f t="shared" si="1"/>
        <v>0</v>
      </c>
      <c r="K15">
        <v>977</v>
      </c>
      <c r="L15">
        <v>349</v>
      </c>
      <c r="M15">
        <f t="shared" si="2"/>
        <v>3559</v>
      </c>
      <c r="N15" s="4">
        <v>3600</v>
      </c>
      <c r="O15">
        <f t="shared" si="3"/>
        <v>18</v>
      </c>
      <c r="P15">
        <v>1194</v>
      </c>
      <c r="Q15">
        <v>7136</v>
      </c>
      <c r="W15">
        <v>644</v>
      </c>
      <c r="X15">
        <v>626</v>
      </c>
      <c r="Y15">
        <v>3224</v>
      </c>
      <c r="Z15">
        <v>4104</v>
      </c>
      <c r="AA15">
        <v>248</v>
      </c>
      <c r="AB15">
        <v>2689</v>
      </c>
      <c r="AC15">
        <v>465</v>
      </c>
      <c r="AD15">
        <v>652</v>
      </c>
      <c r="AE15">
        <v>2</v>
      </c>
      <c r="AF15">
        <v>0</v>
      </c>
      <c r="AG15">
        <v>840</v>
      </c>
      <c r="AH15">
        <v>1437</v>
      </c>
      <c r="AI15">
        <v>813</v>
      </c>
      <c r="AJ15">
        <v>9</v>
      </c>
      <c r="AK15">
        <v>112</v>
      </c>
      <c r="AL15">
        <v>1152</v>
      </c>
      <c r="AM15">
        <v>1746</v>
      </c>
      <c r="AN15">
        <v>5016</v>
      </c>
    </row>
    <row r="16" spans="1:40">
      <c r="C16" s="6"/>
    </row>
    <row r="17" spans="1:40">
      <c r="A17" t="s">
        <v>413</v>
      </c>
      <c r="B17" s="3">
        <v>5</v>
      </c>
      <c r="C17" s="6">
        <v>3396754</v>
      </c>
      <c r="D17">
        <v>16</v>
      </c>
      <c r="E17">
        <v>171</v>
      </c>
      <c r="F17">
        <v>1</v>
      </c>
      <c r="G17">
        <v>37</v>
      </c>
      <c r="H17">
        <f t="shared" ref="H16:H37" si="4">F17*4-G17</f>
        <v>-33</v>
      </c>
      <c r="I17" s="4">
        <v>0</v>
      </c>
      <c r="J17">
        <f t="shared" ref="J16:J43" si="5">B17*I17/1000</f>
        <v>0</v>
      </c>
      <c r="K17">
        <v>0</v>
      </c>
      <c r="L17">
        <v>0</v>
      </c>
      <c r="M17">
        <f t="shared" ref="M16:M43" si="6">K17*4-L17</f>
        <v>0</v>
      </c>
      <c r="N17" s="4">
        <v>0</v>
      </c>
      <c r="O17">
        <f t="shared" si="3"/>
        <v>0</v>
      </c>
      <c r="P17">
        <v>7</v>
      </c>
      <c r="Q17">
        <v>105</v>
      </c>
      <c r="U17">
        <v>1</v>
      </c>
      <c r="V17">
        <v>6</v>
      </c>
      <c r="Y17">
        <v>5</v>
      </c>
      <c r="Z17">
        <v>10</v>
      </c>
      <c r="AM17">
        <v>2</v>
      </c>
      <c r="AN17">
        <v>13</v>
      </c>
    </row>
    <row r="18" spans="1:40">
      <c r="A18" t="s">
        <v>416</v>
      </c>
      <c r="B18" s="3">
        <v>5</v>
      </c>
      <c r="C18" s="6">
        <v>100314288492</v>
      </c>
      <c r="D18">
        <v>13</v>
      </c>
      <c r="E18">
        <v>297</v>
      </c>
      <c r="F18">
        <v>0</v>
      </c>
      <c r="G18">
        <v>16</v>
      </c>
      <c r="H18">
        <f t="shared" si="4"/>
        <v>-16</v>
      </c>
      <c r="I18" s="4">
        <v>0</v>
      </c>
      <c r="J18">
        <f t="shared" si="5"/>
        <v>0</v>
      </c>
      <c r="K18">
        <v>0</v>
      </c>
      <c r="L18">
        <v>0</v>
      </c>
      <c r="M18">
        <f t="shared" si="6"/>
        <v>0</v>
      </c>
      <c r="N18" s="4">
        <v>0</v>
      </c>
      <c r="O18">
        <f t="shared" si="3"/>
        <v>0</v>
      </c>
      <c r="P18">
        <v>10</v>
      </c>
      <c r="Q18">
        <v>255</v>
      </c>
      <c r="U18">
        <v>0</v>
      </c>
      <c r="V18">
        <v>0</v>
      </c>
      <c r="Y18">
        <v>0</v>
      </c>
      <c r="Z18">
        <v>17</v>
      </c>
      <c r="AA18">
        <v>0</v>
      </c>
      <c r="AB18">
        <v>0</v>
      </c>
      <c r="AM18">
        <v>3</v>
      </c>
      <c r="AN18">
        <v>9</v>
      </c>
    </row>
    <row r="19" spans="1:40">
      <c r="A19" t="s">
        <v>412</v>
      </c>
      <c r="B19" s="3">
        <v>5</v>
      </c>
      <c r="C19" s="6">
        <v>100160527042</v>
      </c>
      <c r="D19">
        <v>20</v>
      </c>
      <c r="E19">
        <v>232</v>
      </c>
      <c r="F19">
        <v>2</v>
      </c>
      <c r="G19">
        <v>19</v>
      </c>
      <c r="H19">
        <f t="shared" si="4"/>
        <v>-11</v>
      </c>
      <c r="I19" s="4">
        <v>0</v>
      </c>
      <c r="J19">
        <f t="shared" si="5"/>
        <v>0</v>
      </c>
      <c r="K19">
        <v>0</v>
      </c>
      <c r="L19">
        <v>0</v>
      </c>
      <c r="M19">
        <f t="shared" si="6"/>
        <v>0</v>
      </c>
      <c r="N19" s="4">
        <v>0</v>
      </c>
      <c r="O19">
        <f t="shared" si="3"/>
        <v>0</v>
      </c>
      <c r="P19">
        <v>4</v>
      </c>
      <c r="Q19">
        <v>141</v>
      </c>
      <c r="U19">
        <v>6</v>
      </c>
      <c r="V19">
        <v>0</v>
      </c>
      <c r="Y19">
        <v>8</v>
      </c>
      <c r="Z19">
        <v>72</v>
      </c>
      <c r="AM19">
        <v>0</v>
      </c>
      <c r="AN19">
        <v>0</v>
      </c>
    </row>
    <row r="20" spans="1:40">
      <c r="A20" t="s">
        <v>410</v>
      </c>
      <c r="B20" s="3">
        <v>10</v>
      </c>
      <c r="C20" s="6">
        <v>100205639525</v>
      </c>
      <c r="D20">
        <v>26</v>
      </c>
      <c r="E20">
        <v>254</v>
      </c>
      <c r="F20">
        <v>2</v>
      </c>
      <c r="G20">
        <v>35</v>
      </c>
      <c r="H20">
        <f t="shared" si="4"/>
        <v>-27</v>
      </c>
      <c r="I20" s="4">
        <v>0</v>
      </c>
      <c r="J20">
        <f t="shared" si="5"/>
        <v>0</v>
      </c>
      <c r="K20">
        <v>0</v>
      </c>
      <c r="L20">
        <v>0</v>
      </c>
      <c r="M20">
        <f t="shared" si="6"/>
        <v>0</v>
      </c>
      <c r="N20" s="4">
        <v>0</v>
      </c>
      <c r="O20">
        <f t="shared" si="3"/>
        <v>0</v>
      </c>
      <c r="P20">
        <v>19</v>
      </c>
      <c r="Q20">
        <v>126</v>
      </c>
      <c r="U20">
        <v>0</v>
      </c>
      <c r="V20">
        <v>0</v>
      </c>
      <c r="Y20">
        <v>3</v>
      </c>
      <c r="Z20">
        <v>77</v>
      </c>
      <c r="AM20">
        <v>2</v>
      </c>
      <c r="AN20">
        <v>16</v>
      </c>
    </row>
    <row r="21" spans="1:40">
      <c r="A21" t="s">
        <v>402</v>
      </c>
      <c r="B21" s="3">
        <v>5</v>
      </c>
      <c r="C21" s="6">
        <v>100010040669</v>
      </c>
      <c r="D21">
        <v>242</v>
      </c>
      <c r="E21">
        <v>1464</v>
      </c>
      <c r="F21">
        <v>25</v>
      </c>
      <c r="G21">
        <v>268</v>
      </c>
      <c r="H21">
        <f t="shared" si="4"/>
        <v>-168</v>
      </c>
      <c r="I21" s="4">
        <v>0</v>
      </c>
      <c r="J21">
        <f t="shared" si="5"/>
        <v>0</v>
      </c>
      <c r="K21">
        <v>10</v>
      </c>
      <c r="L21">
        <v>18</v>
      </c>
      <c r="M21">
        <f t="shared" si="6"/>
        <v>22</v>
      </c>
      <c r="N21" s="4">
        <v>20</v>
      </c>
      <c r="O21">
        <f t="shared" si="3"/>
        <v>0.1</v>
      </c>
      <c r="P21">
        <v>150</v>
      </c>
      <c r="Q21">
        <v>998</v>
      </c>
      <c r="U21">
        <v>11</v>
      </c>
      <c r="V21">
        <v>51</v>
      </c>
      <c r="Y21">
        <v>12</v>
      </c>
      <c r="Z21">
        <v>91</v>
      </c>
      <c r="AA21">
        <v>4</v>
      </c>
      <c r="AB21">
        <v>34</v>
      </c>
      <c r="AM21">
        <v>30</v>
      </c>
      <c r="AN21">
        <v>4</v>
      </c>
    </row>
    <row r="22" spans="1:40">
      <c r="A22" t="s">
        <v>400</v>
      </c>
      <c r="B22" s="3">
        <v>10</v>
      </c>
      <c r="C22" s="6">
        <v>100017482750</v>
      </c>
      <c r="D22">
        <v>794</v>
      </c>
      <c r="E22">
        <v>2515</v>
      </c>
      <c r="F22">
        <v>82</v>
      </c>
      <c r="G22">
        <v>183</v>
      </c>
      <c r="H22">
        <f t="shared" si="4"/>
        <v>145</v>
      </c>
      <c r="I22" s="4">
        <v>145</v>
      </c>
      <c r="J22">
        <f t="shared" si="5"/>
        <v>1.45</v>
      </c>
      <c r="K22">
        <v>46</v>
      </c>
      <c r="L22">
        <v>4</v>
      </c>
      <c r="M22">
        <f t="shared" si="6"/>
        <v>180</v>
      </c>
      <c r="N22" s="4">
        <v>180</v>
      </c>
      <c r="O22">
        <f t="shared" si="3"/>
        <v>1.8</v>
      </c>
      <c r="P22">
        <v>539</v>
      </c>
      <c r="Q22">
        <v>1817</v>
      </c>
      <c r="U22">
        <v>34</v>
      </c>
      <c r="V22">
        <v>29</v>
      </c>
      <c r="Y22">
        <v>90</v>
      </c>
      <c r="Z22">
        <v>409</v>
      </c>
      <c r="AA22">
        <v>3</v>
      </c>
      <c r="AB22">
        <v>73</v>
      </c>
      <c r="AM22">
        <v>0</v>
      </c>
      <c r="AN22">
        <v>0</v>
      </c>
    </row>
    <row r="23" spans="1:40">
      <c r="A23" t="s">
        <v>390</v>
      </c>
      <c r="B23" s="3">
        <v>5</v>
      </c>
      <c r="C23" s="6">
        <v>100429918864</v>
      </c>
      <c r="D23">
        <v>0</v>
      </c>
      <c r="E23">
        <v>0</v>
      </c>
      <c r="F23">
        <v>0</v>
      </c>
      <c r="G23">
        <v>0</v>
      </c>
      <c r="H23">
        <f t="shared" si="4"/>
        <v>0</v>
      </c>
      <c r="I23" s="4">
        <v>0</v>
      </c>
      <c r="J23">
        <f t="shared" si="5"/>
        <v>0</v>
      </c>
      <c r="K23">
        <v>0</v>
      </c>
      <c r="L23">
        <v>0</v>
      </c>
      <c r="M23">
        <f t="shared" si="6"/>
        <v>0</v>
      </c>
      <c r="N23" s="4">
        <v>0</v>
      </c>
      <c r="O23">
        <f t="shared" si="3"/>
        <v>0</v>
      </c>
      <c r="P23">
        <v>0</v>
      </c>
      <c r="Q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</row>
    <row r="24" spans="1:40">
      <c r="A24" t="s">
        <v>398</v>
      </c>
      <c r="B24" s="3">
        <v>5</v>
      </c>
      <c r="C24" s="6">
        <v>3045231</v>
      </c>
      <c r="D24">
        <v>1064</v>
      </c>
      <c r="E24">
        <v>4746</v>
      </c>
      <c r="F24">
        <v>39</v>
      </c>
      <c r="G24">
        <v>554</v>
      </c>
      <c r="H24">
        <f t="shared" si="4"/>
        <v>-398</v>
      </c>
      <c r="I24" s="4">
        <v>0</v>
      </c>
      <c r="J24">
        <f t="shared" si="5"/>
        <v>0</v>
      </c>
      <c r="K24">
        <v>9</v>
      </c>
      <c r="L24">
        <v>69</v>
      </c>
      <c r="M24">
        <f t="shared" si="6"/>
        <v>-33</v>
      </c>
      <c r="N24" s="4">
        <v>0</v>
      </c>
      <c r="O24">
        <f t="shared" si="3"/>
        <v>0</v>
      </c>
      <c r="P24">
        <v>961</v>
      </c>
      <c r="Q24">
        <v>3615</v>
      </c>
      <c r="U24">
        <v>12</v>
      </c>
      <c r="V24">
        <v>64</v>
      </c>
      <c r="Y24">
        <v>25</v>
      </c>
      <c r="Z24">
        <v>218</v>
      </c>
      <c r="AA24">
        <v>8</v>
      </c>
      <c r="AB24">
        <v>191</v>
      </c>
      <c r="AM24">
        <v>10</v>
      </c>
      <c r="AN24">
        <v>35</v>
      </c>
    </row>
    <row r="25" spans="1:40">
      <c r="A25" t="s">
        <v>394</v>
      </c>
      <c r="B25" s="3">
        <v>10</v>
      </c>
      <c r="C25" s="6">
        <v>100017482746</v>
      </c>
      <c r="D25">
        <v>2734</v>
      </c>
      <c r="E25">
        <v>5603</v>
      </c>
      <c r="F25">
        <v>169</v>
      </c>
      <c r="G25">
        <v>485</v>
      </c>
      <c r="H25">
        <f t="shared" si="4"/>
        <v>191</v>
      </c>
      <c r="I25" s="4">
        <v>190</v>
      </c>
      <c r="J25">
        <f t="shared" si="5"/>
        <v>1.9</v>
      </c>
      <c r="K25">
        <v>86</v>
      </c>
      <c r="L25">
        <v>89</v>
      </c>
      <c r="M25">
        <f t="shared" si="6"/>
        <v>255</v>
      </c>
      <c r="N25" s="4">
        <v>260</v>
      </c>
      <c r="O25">
        <f t="shared" si="3"/>
        <v>2.6</v>
      </c>
      <c r="P25">
        <v>2044</v>
      </c>
      <c r="Q25">
        <v>3109</v>
      </c>
      <c r="U25">
        <v>47</v>
      </c>
      <c r="V25">
        <v>195</v>
      </c>
      <c r="Y25">
        <v>212</v>
      </c>
      <c r="Z25">
        <v>929</v>
      </c>
      <c r="AA25">
        <v>5</v>
      </c>
      <c r="AB25">
        <v>186</v>
      </c>
      <c r="AM25">
        <v>169</v>
      </c>
      <c r="AN25">
        <v>606</v>
      </c>
    </row>
    <row r="26" spans="1:40">
      <c r="A26" t="s">
        <v>395</v>
      </c>
      <c r="B26" s="3">
        <v>10</v>
      </c>
      <c r="C26" s="6">
        <v>100429921288</v>
      </c>
      <c r="D26">
        <v>0</v>
      </c>
      <c r="E26">
        <v>0</v>
      </c>
      <c r="F26">
        <v>0</v>
      </c>
      <c r="G26">
        <v>0</v>
      </c>
      <c r="H26">
        <f t="shared" si="4"/>
        <v>0</v>
      </c>
      <c r="I26" s="4">
        <v>0</v>
      </c>
      <c r="J26">
        <f t="shared" si="5"/>
        <v>0</v>
      </c>
      <c r="K26">
        <v>0</v>
      </c>
      <c r="L26">
        <v>0</v>
      </c>
      <c r="M26">
        <f t="shared" si="6"/>
        <v>0</v>
      </c>
      <c r="N26" s="4">
        <v>0</v>
      </c>
      <c r="O26">
        <f t="shared" si="3"/>
        <v>0</v>
      </c>
      <c r="P26">
        <v>0</v>
      </c>
      <c r="Q26">
        <v>0</v>
      </c>
      <c r="U26">
        <v>0</v>
      </c>
      <c r="V26">
        <v>0</v>
      </c>
      <c r="Y26">
        <v>0</v>
      </c>
      <c r="Z26">
        <v>0</v>
      </c>
      <c r="AA26">
        <v>0</v>
      </c>
      <c r="AB26">
        <v>0</v>
      </c>
    </row>
    <row r="27" spans="1:40">
      <c r="A27" t="s">
        <v>408</v>
      </c>
      <c r="B27" s="3">
        <v>25</v>
      </c>
      <c r="C27" s="6">
        <v>100019896911</v>
      </c>
      <c r="D27">
        <v>37</v>
      </c>
      <c r="E27">
        <v>290</v>
      </c>
      <c r="F27">
        <v>1</v>
      </c>
      <c r="G27">
        <v>59</v>
      </c>
      <c r="H27">
        <f t="shared" si="4"/>
        <v>-55</v>
      </c>
      <c r="I27" s="4">
        <v>0</v>
      </c>
      <c r="J27">
        <f t="shared" si="5"/>
        <v>0</v>
      </c>
      <c r="K27">
        <v>0</v>
      </c>
      <c r="L27">
        <v>0</v>
      </c>
      <c r="M27">
        <f t="shared" si="6"/>
        <v>0</v>
      </c>
      <c r="N27" s="4">
        <v>0</v>
      </c>
      <c r="O27">
        <f t="shared" si="3"/>
        <v>0</v>
      </c>
      <c r="P27">
        <v>33</v>
      </c>
      <c r="Q27">
        <v>196</v>
      </c>
      <c r="U27">
        <v>0</v>
      </c>
      <c r="V27">
        <v>0</v>
      </c>
      <c r="Y27">
        <v>2</v>
      </c>
      <c r="Z27">
        <v>24</v>
      </c>
      <c r="AA27">
        <v>0</v>
      </c>
      <c r="AB27">
        <v>0</v>
      </c>
      <c r="AM27">
        <v>1</v>
      </c>
      <c r="AN27">
        <v>11</v>
      </c>
    </row>
    <row r="28" spans="1:40">
      <c r="A28" t="s">
        <v>403</v>
      </c>
      <c r="B28" s="3">
        <v>2.5</v>
      </c>
      <c r="C28" s="6">
        <v>100385552302</v>
      </c>
      <c r="D28">
        <v>150</v>
      </c>
      <c r="E28">
        <v>216</v>
      </c>
      <c r="F28">
        <v>40</v>
      </c>
      <c r="G28">
        <v>48</v>
      </c>
      <c r="H28">
        <f t="shared" si="4"/>
        <v>112</v>
      </c>
      <c r="I28" s="4">
        <v>110</v>
      </c>
      <c r="J28">
        <f t="shared" si="5"/>
        <v>0.275</v>
      </c>
      <c r="K28">
        <v>27</v>
      </c>
      <c r="L28">
        <v>0</v>
      </c>
      <c r="M28">
        <f t="shared" si="6"/>
        <v>108</v>
      </c>
      <c r="N28" s="4">
        <v>110</v>
      </c>
      <c r="O28">
        <f t="shared" si="3"/>
        <v>0.275</v>
      </c>
      <c r="P28">
        <v>27</v>
      </c>
      <c r="Q28">
        <v>103</v>
      </c>
      <c r="U28">
        <v>12</v>
      </c>
      <c r="V28">
        <v>0</v>
      </c>
      <c r="Y28">
        <v>24</v>
      </c>
      <c r="Z28">
        <v>9</v>
      </c>
      <c r="AA28">
        <v>2</v>
      </c>
      <c r="AB28">
        <v>35</v>
      </c>
      <c r="AM28">
        <v>18</v>
      </c>
      <c r="AN28">
        <v>21</v>
      </c>
    </row>
    <row r="29" spans="1:40">
      <c r="A29" t="s">
        <v>417</v>
      </c>
      <c r="B29" s="3">
        <v>5</v>
      </c>
      <c r="C29" s="6">
        <v>100016216960</v>
      </c>
      <c r="D29">
        <v>12</v>
      </c>
      <c r="E29">
        <v>194</v>
      </c>
      <c r="F29">
        <v>0</v>
      </c>
      <c r="G29">
        <v>19</v>
      </c>
      <c r="H29">
        <f t="shared" si="4"/>
        <v>-19</v>
      </c>
      <c r="I29" s="4">
        <v>0</v>
      </c>
      <c r="J29">
        <f t="shared" si="5"/>
        <v>0</v>
      </c>
      <c r="K29">
        <v>0</v>
      </c>
      <c r="L29">
        <v>10</v>
      </c>
      <c r="M29">
        <f t="shared" si="6"/>
        <v>-10</v>
      </c>
      <c r="N29" s="4">
        <v>0</v>
      </c>
      <c r="O29">
        <f t="shared" si="3"/>
        <v>0</v>
      </c>
      <c r="P29">
        <v>9</v>
      </c>
      <c r="Q29">
        <v>158</v>
      </c>
      <c r="U29">
        <v>0</v>
      </c>
      <c r="V29">
        <v>0</v>
      </c>
      <c r="Y29">
        <v>2</v>
      </c>
      <c r="Z29">
        <v>4</v>
      </c>
      <c r="AM29">
        <v>1</v>
      </c>
      <c r="AN29">
        <v>3</v>
      </c>
    </row>
    <row r="30" spans="1:40">
      <c r="A30" t="s">
        <v>418</v>
      </c>
      <c r="B30" s="3">
        <v>5</v>
      </c>
      <c r="C30" s="6">
        <v>3045249</v>
      </c>
      <c r="D30">
        <v>11</v>
      </c>
      <c r="E30">
        <v>239</v>
      </c>
      <c r="F30">
        <v>2</v>
      </c>
      <c r="G30">
        <v>73</v>
      </c>
      <c r="H30">
        <f t="shared" si="4"/>
        <v>-65</v>
      </c>
      <c r="I30" s="4">
        <v>0</v>
      </c>
      <c r="J30">
        <f t="shared" si="5"/>
        <v>0</v>
      </c>
      <c r="K30">
        <v>0</v>
      </c>
      <c r="L30">
        <v>27</v>
      </c>
      <c r="M30">
        <f t="shared" si="6"/>
        <v>-27</v>
      </c>
      <c r="N30" s="4">
        <v>0</v>
      </c>
      <c r="O30">
        <f t="shared" si="3"/>
        <v>0</v>
      </c>
      <c r="P30">
        <v>4</v>
      </c>
      <c r="Q30">
        <v>68</v>
      </c>
      <c r="U30">
        <v>0</v>
      </c>
      <c r="V30">
        <v>14</v>
      </c>
      <c r="Y30">
        <v>2</v>
      </c>
      <c r="Z30">
        <v>47</v>
      </c>
      <c r="AM30">
        <v>3</v>
      </c>
      <c r="AN30">
        <v>10</v>
      </c>
    </row>
    <row r="31" spans="1:40">
      <c r="A31" t="s">
        <v>404</v>
      </c>
      <c r="B31" s="3">
        <v>10</v>
      </c>
      <c r="C31" s="6">
        <v>100101940862</v>
      </c>
      <c r="D31">
        <v>94</v>
      </c>
      <c r="E31">
        <v>83</v>
      </c>
      <c r="F31">
        <v>8</v>
      </c>
      <c r="G31">
        <v>26</v>
      </c>
      <c r="H31">
        <f t="shared" si="4"/>
        <v>6</v>
      </c>
      <c r="I31" s="4">
        <v>0</v>
      </c>
      <c r="J31">
        <f t="shared" si="5"/>
        <v>0</v>
      </c>
      <c r="K31">
        <v>0</v>
      </c>
      <c r="L31">
        <v>0</v>
      </c>
      <c r="M31">
        <f t="shared" si="6"/>
        <v>0</v>
      </c>
      <c r="N31" s="4">
        <v>0</v>
      </c>
      <c r="O31">
        <f t="shared" si="3"/>
        <v>0</v>
      </c>
      <c r="P31">
        <v>80</v>
      </c>
      <c r="Q31">
        <v>47</v>
      </c>
      <c r="U31">
        <v>0</v>
      </c>
      <c r="V31">
        <v>0</v>
      </c>
      <c r="Y31">
        <v>6</v>
      </c>
      <c r="Z31">
        <v>10</v>
      </c>
      <c r="AA31">
        <v>0</v>
      </c>
      <c r="AB31">
        <v>0</v>
      </c>
      <c r="AM31">
        <v>0</v>
      </c>
      <c r="AN31">
        <v>0</v>
      </c>
    </row>
    <row r="32" spans="1:40">
      <c r="A32" t="s">
        <v>427</v>
      </c>
      <c r="B32" s="3">
        <v>5</v>
      </c>
      <c r="C32" s="6">
        <v>100233229068</v>
      </c>
      <c r="D32">
        <v>2</v>
      </c>
      <c r="E32">
        <v>66</v>
      </c>
      <c r="F32">
        <v>0</v>
      </c>
      <c r="G32">
        <v>0</v>
      </c>
      <c r="H32">
        <f t="shared" si="4"/>
        <v>0</v>
      </c>
      <c r="I32" s="4">
        <v>0</v>
      </c>
      <c r="J32">
        <f t="shared" si="5"/>
        <v>0</v>
      </c>
      <c r="K32">
        <v>0</v>
      </c>
      <c r="L32">
        <v>0</v>
      </c>
      <c r="M32">
        <f t="shared" si="6"/>
        <v>0</v>
      </c>
      <c r="N32" s="4">
        <v>0</v>
      </c>
      <c r="O32">
        <f t="shared" si="3"/>
        <v>0</v>
      </c>
      <c r="P32">
        <v>2</v>
      </c>
      <c r="Q32">
        <v>55</v>
      </c>
      <c r="U32">
        <v>0</v>
      </c>
      <c r="V32">
        <v>11</v>
      </c>
      <c r="Y32">
        <v>0</v>
      </c>
      <c r="Z32">
        <v>0</v>
      </c>
      <c r="AA32">
        <v>0</v>
      </c>
      <c r="AB32">
        <v>0</v>
      </c>
    </row>
    <row r="33" spans="1:40">
      <c r="A33" t="s">
        <v>425</v>
      </c>
      <c r="B33" s="3">
        <v>2.5</v>
      </c>
      <c r="C33" s="6">
        <v>100233229094</v>
      </c>
      <c r="D33">
        <v>3</v>
      </c>
      <c r="E33">
        <v>132</v>
      </c>
      <c r="F33">
        <v>0</v>
      </c>
      <c r="G33">
        <v>0</v>
      </c>
      <c r="H33">
        <f t="shared" si="4"/>
        <v>0</v>
      </c>
      <c r="I33" s="4">
        <v>0</v>
      </c>
      <c r="J33">
        <f t="shared" si="5"/>
        <v>0</v>
      </c>
      <c r="K33">
        <v>0</v>
      </c>
      <c r="L33">
        <v>0</v>
      </c>
      <c r="M33">
        <f t="shared" si="6"/>
        <v>0</v>
      </c>
      <c r="N33" s="4">
        <v>0</v>
      </c>
      <c r="O33">
        <f t="shared" si="3"/>
        <v>0</v>
      </c>
      <c r="P33">
        <v>2</v>
      </c>
      <c r="Q33">
        <v>129</v>
      </c>
      <c r="U33">
        <v>1</v>
      </c>
      <c r="V33">
        <v>3</v>
      </c>
      <c r="Y33">
        <v>0</v>
      </c>
      <c r="Z33">
        <v>0</v>
      </c>
      <c r="AA33">
        <v>0</v>
      </c>
      <c r="AB33">
        <v>0</v>
      </c>
    </row>
    <row r="34" spans="1:40">
      <c r="A34" t="s">
        <v>407</v>
      </c>
      <c r="B34" s="3">
        <v>5</v>
      </c>
      <c r="C34" s="6">
        <v>100010435395</v>
      </c>
      <c r="D34">
        <v>48</v>
      </c>
      <c r="E34">
        <v>299</v>
      </c>
      <c r="F34">
        <v>6</v>
      </c>
      <c r="G34">
        <v>64</v>
      </c>
      <c r="H34">
        <f t="shared" si="4"/>
        <v>-40</v>
      </c>
      <c r="I34" s="4">
        <v>0</v>
      </c>
      <c r="J34">
        <f t="shared" si="5"/>
        <v>0</v>
      </c>
      <c r="K34">
        <v>0</v>
      </c>
      <c r="L34">
        <v>0</v>
      </c>
      <c r="M34">
        <f t="shared" si="6"/>
        <v>0</v>
      </c>
      <c r="N34" s="4">
        <v>0</v>
      </c>
      <c r="O34">
        <f t="shared" si="3"/>
        <v>0</v>
      </c>
      <c r="P34">
        <v>37</v>
      </c>
      <c r="Q34">
        <v>120</v>
      </c>
      <c r="U34">
        <v>0</v>
      </c>
      <c r="V34">
        <v>0</v>
      </c>
      <c r="Y34">
        <v>5</v>
      </c>
      <c r="Z34">
        <v>115</v>
      </c>
      <c r="AM34">
        <v>0</v>
      </c>
      <c r="AN34">
        <v>0</v>
      </c>
    </row>
    <row r="35" spans="1:40">
      <c r="A35" t="s">
        <v>424</v>
      </c>
      <c r="B35" s="3">
        <v>5</v>
      </c>
      <c r="C35" s="6">
        <v>3751447</v>
      </c>
      <c r="D35">
        <v>3</v>
      </c>
      <c r="E35">
        <v>174</v>
      </c>
      <c r="F35">
        <v>1</v>
      </c>
      <c r="G35">
        <v>17</v>
      </c>
      <c r="H35">
        <f t="shared" si="4"/>
        <v>-13</v>
      </c>
      <c r="I35" s="4">
        <v>0</v>
      </c>
      <c r="J35">
        <f t="shared" si="5"/>
        <v>0</v>
      </c>
      <c r="K35">
        <v>0</v>
      </c>
      <c r="L35">
        <v>0</v>
      </c>
      <c r="M35">
        <f t="shared" si="6"/>
        <v>0</v>
      </c>
      <c r="N35" s="4">
        <v>0</v>
      </c>
      <c r="O35">
        <f t="shared" si="3"/>
        <v>0</v>
      </c>
      <c r="P35">
        <v>2</v>
      </c>
      <c r="Q35">
        <v>105</v>
      </c>
      <c r="U35">
        <v>0</v>
      </c>
      <c r="V35">
        <v>12</v>
      </c>
      <c r="Y35">
        <v>0</v>
      </c>
      <c r="Z35">
        <v>31</v>
      </c>
      <c r="AM35">
        <v>0</v>
      </c>
      <c r="AN35">
        <v>9</v>
      </c>
    </row>
    <row r="36" spans="1:40">
      <c r="A36" t="s">
        <v>423</v>
      </c>
      <c r="B36" s="3">
        <v>5</v>
      </c>
      <c r="C36" s="6">
        <v>4198934</v>
      </c>
      <c r="D36">
        <v>3</v>
      </c>
      <c r="E36">
        <v>189</v>
      </c>
      <c r="F36">
        <v>1</v>
      </c>
      <c r="G36">
        <v>20</v>
      </c>
      <c r="H36">
        <f t="shared" si="4"/>
        <v>-16</v>
      </c>
      <c r="I36" s="4">
        <v>0</v>
      </c>
      <c r="J36">
        <f t="shared" si="5"/>
        <v>0</v>
      </c>
      <c r="K36">
        <v>0</v>
      </c>
      <c r="L36">
        <v>16</v>
      </c>
      <c r="M36">
        <f t="shared" si="6"/>
        <v>-16</v>
      </c>
      <c r="N36" s="4">
        <v>0</v>
      </c>
      <c r="O36">
        <f t="shared" si="3"/>
        <v>0</v>
      </c>
      <c r="P36">
        <v>2</v>
      </c>
      <c r="Q36">
        <v>89</v>
      </c>
      <c r="U36">
        <v>0</v>
      </c>
      <c r="V36">
        <v>10</v>
      </c>
      <c r="Y36">
        <v>0</v>
      </c>
      <c r="Z36">
        <v>37</v>
      </c>
      <c r="AM36">
        <v>0</v>
      </c>
      <c r="AN36">
        <v>17</v>
      </c>
    </row>
    <row r="37" spans="1:40">
      <c r="A37" t="s">
        <v>415</v>
      </c>
      <c r="B37" s="3">
        <v>10</v>
      </c>
      <c r="C37" s="6">
        <v>100022327029</v>
      </c>
      <c r="D37">
        <v>13</v>
      </c>
      <c r="E37">
        <v>111</v>
      </c>
      <c r="F37">
        <v>1</v>
      </c>
      <c r="G37">
        <v>32</v>
      </c>
      <c r="H37">
        <f t="shared" si="4"/>
        <v>-28</v>
      </c>
      <c r="I37" s="4">
        <v>0</v>
      </c>
      <c r="J37">
        <f t="shared" si="5"/>
        <v>0</v>
      </c>
      <c r="K37">
        <v>0</v>
      </c>
      <c r="L37">
        <v>0</v>
      </c>
      <c r="M37">
        <f t="shared" si="6"/>
        <v>0</v>
      </c>
      <c r="N37" s="4">
        <v>0</v>
      </c>
      <c r="O37">
        <f t="shared" si="3"/>
        <v>0</v>
      </c>
      <c r="P37">
        <v>9</v>
      </c>
      <c r="Q37">
        <v>61</v>
      </c>
      <c r="U37">
        <v>0</v>
      </c>
      <c r="V37">
        <v>0</v>
      </c>
      <c r="Y37">
        <v>3</v>
      </c>
      <c r="Z37">
        <v>18</v>
      </c>
      <c r="AA37">
        <v>0</v>
      </c>
      <c r="AB37">
        <v>0</v>
      </c>
      <c r="AM37">
        <v>0</v>
      </c>
      <c r="AN37">
        <v>0</v>
      </c>
    </row>
    <row r="38" spans="1:40">
      <c r="C38" s="6"/>
    </row>
    <row r="39" spans="1:40">
      <c r="A39" t="s">
        <v>421</v>
      </c>
      <c r="B39" s="3">
        <v>5</v>
      </c>
      <c r="C39" s="6">
        <v>100286224075</v>
      </c>
      <c r="D39">
        <v>6</v>
      </c>
      <c r="E39">
        <v>92</v>
      </c>
      <c r="F39">
        <v>2</v>
      </c>
      <c r="G39">
        <v>16</v>
      </c>
      <c r="H39">
        <f t="shared" ref="H39:H44" si="7">F39*4-G39</f>
        <v>-8</v>
      </c>
      <c r="I39" s="4">
        <v>0</v>
      </c>
      <c r="J39">
        <f t="shared" si="5"/>
        <v>0</v>
      </c>
      <c r="K39">
        <v>0</v>
      </c>
      <c r="L39">
        <v>0</v>
      </c>
      <c r="M39">
        <f t="shared" si="6"/>
        <v>0</v>
      </c>
      <c r="N39" s="4">
        <v>0</v>
      </c>
      <c r="O39">
        <f t="shared" si="3"/>
        <v>0</v>
      </c>
      <c r="P39">
        <v>3</v>
      </c>
      <c r="Q39">
        <v>28</v>
      </c>
      <c r="U39">
        <v>0</v>
      </c>
      <c r="V39">
        <v>0</v>
      </c>
      <c r="Y39">
        <v>0</v>
      </c>
      <c r="Z39">
        <v>36</v>
      </c>
      <c r="AA39">
        <v>0</v>
      </c>
      <c r="AB39">
        <v>0</v>
      </c>
      <c r="AM39">
        <v>1</v>
      </c>
      <c r="AN39">
        <v>12</v>
      </c>
    </row>
    <row r="40" spans="1:40">
      <c r="A40" t="s">
        <v>399</v>
      </c>
      <c r="B40" s="3">
        <v>10</v>
      </c>
      <c r="C40" s="6">
        <v>100280260287</v>
      </c>
      <c r="D40">
        <v>1073</v>
      </c>
      <c r="E40">
        <v>648</v>
      </c>
      <c r="F40">
        <v>53</v>
      </c>
      <c r="G40">
        <v>218</v>
      </c>
      <c r="H40">
        <f t="shared" si="7"/>
        <v>-6</v>
      </c>
      <c r="I40" s="4">
        <v>0</v>
      </c>
      <c r="J40">
        <f t="shared" si="5"/>
        <v>0</v>
      </c>
      <c r="K40">
        <v>26</v>
      </c>
      <c r="L40">
        <v>78</v>
      </c>
      <c r="M40">
        <f t="shared" si="6"/>
        <v>26</v>
      </c>
      <c r="N40" s="4">
        <v>30</v>
      </c>
      <c r="O40">
        <f t="shared" si="3"/>
        <v>0.3</v>
      </c>
      <c r="P40">
        <v>880</v>
      </c>
      <c r="Q40">
        <v>184</v>
      </c>
      <c r="U40">
        <v>15</v>
      </c>
      <c r="V40">
        <v>2</v>
      </c>
      <c r="Y40">
        <v>68</v>
      </c>
      <c r="Z40">
        <v>70</v>
      </c>
      <c r="AA40">
        <v>6</v>
      </c>
      <c r="AB40">
        <v>90</v>
      </c>
      <c r="AM40">
        <v>25</v>
      </c>
      <c r="AN40">
        <v>1</v>
      </c>
    </row>
    <row r="41" spans="1:40">
      <c r="A41" t="s">
        <v>428</v>
      </c>
      <c r="B41" s="3">
        <v>1</v>
      </c>
      <c r="C41" s="6">
        <v>100280161233</v>
      </c>
      <c r="D41">
        <v>2</v>
      </c>
      <c r="E41">
        <v>161</v>
      </c>
      <c r="F41">
        <v>2</v>
      </c>
      <c r="G41">
        <v>19</v>
      </c>
      <c r="H41">
        <f t="shared" si="7"/>
        <v>-11</v>
      </c>
      <c r="I41" s="4">
        <v>0</v>
      </c>
      <c r="J41">
        <f t="shared" si="5"/>
        <v>0</v>
      </c>
      <c r="K41">
        <v>0</v>
      </c>
      <c r="L41">
        <v>0</v>
      </c>
      <c r="M41">
        <f t="shared" si="6"/>
        <v>0</v>
      </c>
      <c r="N41" s="4">
        <v>0</v>
      </c>
      <c r="O41">
        <f t="shared" si="3"/>
        <v>0</v>
      </c>
      <c r="P41">
        <v>0</v>
      </c>
      <c r="Q41">
        <v>110</v>
      </c>
      <c r="U41">
        <v>0</v>
      </c>
      <c r="V41">
        <v>0</v>
      </c>
      <c r="Y41">
        <v>0</v>
      </c>
      <c r="Z41">
        <v>16</v>
      </c>
      <c r="AA41">
        <v>0</v>
      </c>
      <c r="AB41">
        <v>0</v>
      </c>
      <c r="AM41">
        <v>0</v>
      </c>
      <c r="AN41">
        <v>16</v>
      </c>
    </row>
    <row r="42" spans="1:40">
      <c r="A42" t="s">
        <v>429</v>
      </c>
      <c r="B42" s="3">
        <v>0.3</v>
      </c>
      <c r="C42" s="6">
        <v>100280162897</v>
      </c>
      <c r="D42">
        <v>2</v>
      </c>
      <c r="E42">
        <v>183</v>
      </c>
      <c r="F42">
        <v>0</v>
      </c>
      <c r="G42">
        <v>20</v>
      </c>
      <c r="H42">
        <f t="shared" si="7"/>
        <v>-20</v>
      </c>
      <c r="I42" s="4">
        <v>0</v>
      </c>
      <c r="J42">
        <f t="shared" si="5"/>
        <v>0</v>
      </c>
      <c r="K42">
        <v>0</v>
      </c>
      <c r="L42">
        <v>0</v>
      </c>
      <c r="M42">
        <f t="shared" si="6"/>
        <v>0</v>
      </c>
      <c r="N42" s="4">
        <v>0</v>
      </c>
      <c r="O42">
        <f t="shared" si="3"/>
        <v>0</v>
      </c>
      <c r="P42">
        <v>0</v>
      </c>
      <c r="Q42">
        <v>97</v>
      </c>
      <c r="U42">
        <v>0</v>
      </c>
      <c r="V42">
        <v>0</v>
      </c>
      <c r="Y42">
        <v>1</v>
      </c>
      <c r="Z42">
        <v>37</v>
      </c>
      <c r="AA42">
        <v>0</v>
      </c>
      <c r="AB42">
        <v>0</v>
      </c>
      <c r="AM42">
        <v>1</v>
      </c>
      <c r="AN42">
        <v>29</v>
      </c>
    </row>
    <row r="43" spans="1:40">
      <c r="A43" t="s">
        <v>430</v>
      </c>
      <c r="B43" s="3">
        <v>2.5</v>
      </c>
      <c r="C43" s="6">
        <v>100368684540</v>
      </c>
      <c r="D43">
        <v>1</v>
      </c>
      <c r="E43">
        <v>152</v>
      </c>
      <c r="F43">
        <v>0</v>
      </c>
      <c r="G43">
        <v>39</v>
      </c>
      <c r="H43">
        <f t="shared" si="7"/>
        <v>-39</v>
      </c>
      <c r="I43" s="4">
        <v>0</v>
      </c>
      <c r="J43">
        <f t="shared" si="5"/>
        <v>0</v>
      </c>
      <c r="K43">
        <v>0</v>
      </c>
      <c r="L43">
        <v>1</v>
      </c>
      <c r="M43">
        <f t="shared" si="6"/>
        <v>-1</v>
      </c>
      <c r="N43" s="4">
        <v>0</v>
      </c>
      <c r="O43">
        <f t="shared" si="3"/>
        <v>0</v>
      </c>
      <c r="P43">
        <v>0</v>
      </c>
      <c r="Q43">
        <v>72</v>
      </c>
      <c r="U43">
        <v>0</v>
      </c>
      <c r="V43">
        <v>0</v>
      </c>
      <c r="Y43">
        <v>1</v>
      </c>
      <c r="Z43">
        <v>25</v>
      </c>
      <c r="AA43">
        <v>0</v>
      </c>
      <c r="AB43">
        <v>0</v>
      </c>
      <c r="AM43">
        <v>0</v>
      </c>
      <c r="AN43">
        <v>15</v>
      </c>
    </row>
    <row r="44" s="2" customFormat="1" spans="1:40">
      <c r="A44" s="2" t="s">
        <v>544</v>
      </c>
      <c r="B44" s="7"/>
      <c r="C44" s="8"/>
      <c r="D44" s="2">
        <v>24554</v>
      </c>
      <c r="E44" s="2">
        <v>88288</v>
      </c>
      <c r="F44" s="2">
        <v>1530</v>
      </c>
      <c r="G44" s="2">
        <v>13461</v>
      </c>
      <c r="H44" s="2">
        <f t="shared" si="7"/>
        <v>-7341</v>
      </c>
      <c r="I44" s="4">
        <f>SUM(I2:I43)</f>
        <v>1235</v>
      </c>
      <c r="J44" s="4">
        <f>SUM(J1:J43)</f>
        <v>11.425</v>
      </c>
      <c r="K44" s="2">
        <v>1716</v>
      </c>
      <c r="L44" s="2">
        <v>1295</v>
      </c>
      <c r="N44" s="4">
        <f>SUM(N2:N43)</f>
        <v>5930</v>
      </c>
      <c r="O44" s="4">
        <f>SUM(O2:O43)</f>
        <v>36.475</v>
      </c>
      <c r="P44" s="2">
        <v>6906</v>
      </c>
      <c r="Q44" s="2">
        <v>30052</v>
      </c>
      <c r="U44" s="2">
        <v>139</v>
      </c>
      <c r="V44" s="2">
        <v>397</v>
      </c>
      <c r="W44" s="2">
        <v>1327</v>
      </c>
      <c r="X44" s="2">
        <v>4825</v>
      </c>
      <c r="Y44" s="2">
        <v>5447</v>
      </c>
      <c r="Z44" s="2">
        <v>17896</v>
      </c>
      <c r="AA44" s="2">
        <v>482</v>
      </c>
      <c r="AB44" s="2">
        <v>5414</v>
      </c>
      <c r="AC44" s="2">
        <v>792</v>
      </c>
      <c r="AD44" s="2">
        <v>1101</v>
      </c>
      <c r="AE44" s="2">
        <v>242</v>
      </c>
      <c r="AF44" s="2">
        <v>494</v>
      </c>
      <c r="AG44" s="2">
        <v>1416</v>
      </c>
      <c r="AH44" s="2">
        <v>1797</v>
      </c>
      <c r="AI44" s="2">
        <v>1237</v>
      </c>
      <c r="AJ44" s="2">
        <v>594</v>
      </c>
      <c r="AK44" s="2">
        <v>201</v>
      </c>
      <c r="AL44" s="2">
        <v>1944</v>
      </c>
      <c r="AM44" s="2">
        <v>2842</v>
      </c>
      <c r="AN44" s="2">
        <v>8859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木偶人</cp:lastModifiedBy>
  <dcterms:created xsi:type="dcterms:W3CDTF">2026-10-26T07:57:00Z</dcterms:created>
  <dcterms:modified xsi:type="dcterms:W3CDTF">2026-10-27T03:59:09Z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B62659F147FB418EA21A4FE9F4E322CC_12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