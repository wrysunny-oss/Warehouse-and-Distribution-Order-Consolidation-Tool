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beifen\2024.6.17刘雯的工作资料\1对账单\猫超-国宝-对账\2026年8月账单\"/>
    </mc:Choice>
  </mc:AlternateContent>
  <bookViews>
    <workbookView windowWidth="28800" windowHeight="12375"/>
  </bookViews>
  <sheets>
    <sheet name="Sheet1" sheetId="1" r:id="rId1"/>
  </sheets>
  <definedNames>
    <definedName name="_xlnm._FilterDatabase" localSheetId="0" hidden="1">Sheet1!$B$5:$G$44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<sst xmlns="http://schemas.openxmlformats.org/spreadsheetml/2006/main" count="77" uniqueCount="59">
  <si>
    <t>开 票 通 知 单</t>
  </si>
  <si>
    <t>开票通知时间：</t>
  </si>
  <si>
    <t>2026-9-10</t>
  </si>
  <si>
    <t>申请人：刘雯</t>
  </si>
  <si>
    <t>一、 开票内容</t>
  </si>
  <si>
    <t>商品名称</t>
  </si>
  <si>
    <t>规   格
（袋）</t>
  </si>
  <si>
    <t>数   量（袋）</t>
  </si>
  <si>
    <t>单价
（元）</t>
  </si>
  <si>
    <t>金   额
（元）</t>
  </si>
  <si>
    <t>备注</t>
  </si>
  <si>
    <t>国宝桥米京山桥米10kg</t>
  </si>
  <si>
    <t>10kg</t>
  </si>
  <si>
    <t>国宝桥米京山桥米5kg</t>
  </si>
  <si>
    <t>5kg</t>
  </si>
  <si>
    <t>国宝桥米京山大米10kg</t>
  </si>
  <si>
    <t>国宝桥米京山大米5kg</t>
  </si>
  <si>
    <t>国宝桥米京山桥米25kg</t>
  </si>
  <si>
    <t>25kg</t>
  </si>
  <si>
    <t>稻花翁丝苗米10kg</t>
  </si>
  <si>
    <t>稻花翁泰玉京香大米5kg</t>
  </si>
  <si>
    <t>稻花翁金泰南白兰香米10kg</t>
  </si>
  <si>
    <t>稻花翁大米油粘米5kg</t>
  </si>
  <si>
    <t>稻花翁珍珠香米5kg</t>
  </si>
  <si>
    <t>国宝桥米猫牙香米5kg</t>
  </si>
  <si>
    <t>稻花翁精选丝苗米5kg</t>
  </si>
  <si>
    <t>国宝桥米甄选猫牙香米10kg</t>
  </si>
  <si>
    <t>国宝桥米靓香丝苗米5kg</t>
  </si>
  <si>
    <t>国宝桥米京山桥米江汉大米10KG</t>
  </si>
  <si>
    <t>国宝桥米连年旺米25kg</t>
  </si>
  <si>
    <t>国宝桥米京山桥米江汉大米5KG</t>
  </si>
  <si>
    <t>稻花翁精选丝苗米10kg</t>
  </si>
  <si>
    <t>稻花翁珍珠香米10kg</t>
  </si>
  <si>
    <t>国宝桥米甄选油粘米10kg</t>
  </si>
  <si>
    <t>国宝桥米甄选油粘米5kg</t>
  </si>
  <si>
    <t>国宝桥米京山桥米2.5kg高端</t>
  </si>
  <si>
    <t>稻花翁软香贡米25kg</t>
  </si>
  <si>
    <t>稻花翁臻选丝苗米2.5kg</t>
  </si>
  <si>
    <t>合计</t>
  </si>
  <si>
    <t>注：销售平台：国宝猫超</t>
  </si>
  <si>
    <t>发货仓库：</t>
  </si>
  <si>
    <t>二、开票资料：</t>
  </si>
  <si>
    <t>发票种类</t>
  </si>
  <si>
    <t>专用发票</t>
  </si>
  <si>
    <t>发票抬头</t>
  </si>
  <si>
    <t xml:space="preserve">浙江昊超网络科技有限公司
</t>
  </si>
  <si>
    <t>税号</t>
  </si>
  <si>
    <t>91330110MA2GK1DN85</t>
  </si>
  <si>
    <t>地址</t>
  </si>
  <si>
    <t>杭州市余杭区五常街道文一西路969号3幢5层551室</t>
  </si>
  <si>
    <t>电话</t>
  </si>
  <si>
    <t>0571-85022088</t>
  </si>
  <si>
    <t>开户银行</t>
  </si>
  <si>
    <t>招商银行股份有限公司杭州高新支行</t>
  </si>
  <si>
    <t>账号</t>
  </si>
  <si>
    <t>571913080610506</t>
  </si>
  <si>
    <t>三、发票邮寄地址：</t>
  </si>
  <si>
    <t>收件人</t>
  </si>
  <si>
    <t>武汉营销中心1293737582@qq.com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</si>
</sst>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8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6"/>
      <color theme="1"/>
      <name val="微软雅黑"/>
      <charset val="134"/>
    </font>
    <font>
      <sz val="14"/>
      <color theme="1"/>
      <name val="微软雅黑"/>
      <charset val="134"/>
    </font>
    <font>
      <sz val="12"/>
      <color theme="1"/>
      <name val="微软雅黑"/>
      <charset val="134"/>
    </font>
    <font>
      <sz val="11"/>
      <color theme="1"/>
      <name val="微软雅黑"/>
      <charset val="134"/>
    </font>
    <font>
      <sz val="11"/>
      <name val="微软雅黑"/>
      <charset val="134"/>
    </font>
    <font>
      <sz val="9"/>
      <color theme="1"/>
      <name val="微软雅黑"/>
      <charset val="134"/>
    </font>
    <font>
      <sz val="12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5" applyNumberFormat="0" applyAlignment="0" applyProtection="0">
      <alignment vertical="center"/>
    </xf>
    <xf numFmtId="0" fontId="18" fillId="4" borderId="6" applyNumberFormat="0" applyAlignment="0" applyProtection="0">
      <alignment vertical="center"/>
    </xf>
    <xf numFmtId="0" fontId="19" fillId="4" borderId="5" applyNumberFormat="0" applyAlignment="0" applyProtection="0">
      <alignment vertical="center"/>
    </xf>
    <xf numFmtId="0" fontId="20" fillId="5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NumberFormat="1" applyFont="1" applyAlignment="1">
      <alignment vertical="center"/>
    </xf>
    <xf numFmtId="176" fontId="1" fillId="0" borderId="0" xfId="0" applyNumberFormat="1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  <xf numFmtId="0" fontId="4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176" fontId="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justify" vertical="center" indent="1"/>
    </xf>
    <xf numFmtId="0" fontId="5" fillId="0" borderId="0" xfId="0" applyNumberFormat="1" applyFont="1" applyAlignment="1">
      <alignment vertical="center"/>
    </xf>
    <xf numFmtId="176" fontId="5" fillId="0" borderId="0" xfId="0" applyNumberFormat="1" applyFont="1" applyAlignment="1">
      <alignment vertical="center"/>
    </xf>
    <xf numFmtId="0" fontId="3" fillId="0" borderId="0" xfId="0" applyFont="1" applyAlignment="1">
      <alignment horizontal="justify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NumberFormat="1" applyFont="1" applyBorder="1" applyAlignment="1">
      <alignment horizontal="center" vertical="center" wrapText="1"/>
    </xf>
    <xf numFmtId="176" fontId="4" fillId="0" borderId="1" xfId="0" applyNumberFormat="1" applyFont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0" fontId="5" fillId="0" borderId="1" xfId="0" applyNumberFormat="1" applyFont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NumberFormat="1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NumberFormat="1" applyFont="1" applyBorder="1" applyAlignment="1">
      <alignment horizontal="left" vertical="center" wrapText="1"/>
    </xf>
    <xf numFmtId="176" fontId="4" fillId="0" borderId="1" xfId="0" applyNumberFormat="1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1" xfId="0" applyNumberFormat="1" applyFont="1" applyBorder="1" applyAlignment="1">
      <alignment horizontal="left" vertical="center" wrapText="1"/>
    </xf>
    <xf numFmtId="176" fontId="8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 quotePrefix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46"/>
  <sheetViews>
    <sheetView tabSelected="1" workbookViewId="0">
      <selection activeCell="M27" sqref="M27"/>
    </sheetView>
  </sheetViews>
  <sheetFormatPr defaultColWidth="9" defaultRowHeight="13.5" outlineLevelCol="6"/>
  <cols>
    <col min="1" max="1" width="9" style="1"/>
    <col min="2" max="2" width="31.875" style="1" customWidth="1"/>
    <col min="3" max="3" width="15.625" style="1" customWidth="1"/>
    <col min="4" max="4" width="11.375" style="3" customWidth="1"/>
    <col min="5" max="5" width="13" style="1" customWidth="1"/>
    <col min="6" max="6" width="15.625" style="4" customWidth="1"/>
    <col min="7" max="7" width="10" style="1" customWidth="1"/>
    <col min="8" max="16384" width="9" style="1"/>
  </cols>
  <sheetData>
    <row r="1" s="1" customFormat="1" ht="29" customHeight="1" spans="2:7">
      <c r="B1" s="5" t="s">
        <v>0</v>
      </c>
      <c r="C1" s="5"/>
      <c r="D1" s="6"/>
      <c r="E1" s="5"/>
      <c r="F1" s="7"/>
      <c r="G1" s="5"/>
    </row>
    <row r="2" s="1" customFormat="1" ht="34" customHeight="1" spans="2:7">
      <c r="B2" s="8" t="s">
        <v>1</v>
      </c>
      <c r="C2" s="9" t="s">
        <v>2</v>
      </c>
      <c r="D2" s="10"/>
      <c r="E2" s="11" t="s">
        <v>3</v>
      </c>
      <c r="F2" s="12"/>
      <c r="G2" s="13"/>
    </row>
    <row r="3" s="1" customFormat="1" ht="20" customHeight="1" spans="2:7">
      <c r="B3" s="14"/>
      <c r="C3" s="13"/>
      <c r="D3" s="15"/>
      <c r="E3" s="13"/>
      <c r="F3" s="16"/>
      <c r="G3" s="13"/>
    </row>
    <row r="4" s="1" customFormat="1" ht="20.25" spans="2:7">
      <c r="B4" s="17" t="s">
        <v>4</v>
      </c>
      <c r="C4" s="13"/>
      <c r="D4" s="15"/>
      <c r="E4" s="13"/>
      <c r="F4" s="16"/>
      <c r="G4" s="13"/>
    </row>
    <row r="5" s="1" customFormat="1" ht="36" customHeight="1" spans="2:7">
      <c r="B5" s="18" t="s">
        <v>5</v>
      </c>
      <c r="C5" s="18" t="s">
        <v>6</v>
      </c>
      <c r="D5" s="19" t="s">
        <v>7</v>
      </c>
      <c r="E5" s="18" t="s">
        <v>8</v>
      </c>
      <c r="F5" s="20" t="s">
        <v>9</v>
      </c>
      <c r="G5" s="18" t="s">
        <v>10</v>
      </c>
    </row>
    <row r="6" s="1" customFormat="1" ht="21" customHeight="1" spans="2:7">
      <c r="B6" s="21" t="s">
        <v>11</v>
      </c>
      <c r="C6" s="18" t="s">
        <v>12</v>
      </c>
      <c r="D6" s="19">
        <v>5989</v>
      </c>
      <c r="E6" s="20">
        <f>F6/D6</f>
        <v>71.5088011354149</v>
      </c>
      <c r="F6" s="20">
        <v>428266.21</v>
      </c>
      <c r="G6" s="18"/>
    </row>
    <row r="7" s="1" customFormat="1" ht="19" customHeight="1" spans="2:7">
      <c r="B7" s="21" t="s">
        <v>13</v>
      </c>
      <c r="C7" s="18" t="s">
        <v>14</v>
      </c>
      <c r="D7" s="19">
        <v>372</v>
      </c>
      <c r="E7" s="20">
        <f t="shared" ref="E7:E29" si="0">F7/D7</f>
        <v>45.3372043010753</v>
      </c>
      <c r="F7" s="20">
        <v>16865.44</v>
      </c>
      <c r="G7" s="18"/>
    </row>
    <row r="8" s="1" customFormat="1" ht="19" customHeight="1" spans="2:7">
      <c r="B8" s="21" t="s">
        <v>15</v>
      </c>
      <c r="C8" s="18" t="s">
        <v>12</v>
      </c>
      <c r="D8" s="19">
        <v>195</v>
      </c>
      <c r="E8" s="20">
        <f t="shared" si="0"/>
        <v>59.3292307692308</v>
      </c>
      <c r="F8" s="20">
        <v>11569.2</v>
      </c>
      <c r="G8" s="18"/>
    </row>
    <row r="9" s="1" customFormat="1" ht="19" customHeight="1" spans="2:7">
      <c r="B9" s="21" t="s">
        <v>16</v>
      </c>
      <c r="C9" s="18" t="s">
        <v>14</v>
      </c>
      <c r="D9" s="19">
        <v>144</v>
      </c>
      <c r="E9" s="20">
        <f t="shared" si="0"/>
        <v>35.3676388888889</v>
      </c>
      <c r="F9" s="20">
        <v>5092.94</v>
      </c>
      <c r="G9" s="18"/>
    </row>
    <row r="10" s="1" customFormat="1" ht="19" customHeight="1" spans="2:7">
      <c r="B10" s="21" t="s">
        <v>17</v>
      </c>
      <c r="C10" s="18" t="s">
        <v>18</v>
      </c>
      <c r="D10" s="19">
        <v>32</v>
      </c>
      <c r="E10" s="20">
        <f t="shared" si="0"/>
        <v>177.1953125</v>
      </c>
      <c r="F10" s="20">
        <v>5670.25</v>
      </c>
      <c r="G10" s="18"/>
    </row>
    <row r="11" s="1" customFormat="1" ht="19" customHeight="1" spans="2:7">
      <c r="B11" s="21" t="s">
        <v>19</v>
      </c>
      <c r="C11" s="22" t="s">
        <v>12</v>
      </c>
      <c r="D11" s="19">
        <v>2014</v>
      </c>
      <c r="E11" s="20">
        <f t="shared" si="0"/>
        <v>42.6633465739821</v>
      </c>
      <c r="F11" s="20">
        <v>85923.98</v>
      </c>
      <c r="G11" s="23"/>
    </row>
    <row r="12" s="1" customFormat="1" ht="19" customHeight="1" spans="2:7">
      <c r="B12" s="21" t="s">
        <v>20</v>
      </c>
      <c r="C12" s="22" t="s">
        <v>14</v>
      </c>
      <c r="D12" s="19">
        <v>584</v>
      </c>
      <c r="E12" s="20">
        <f t="shared" si="0"/>
        <v>23.42125</v>
      </c>
      <c r="F12" s="20">
        <v>13678.01</v>
      </c>
      <c r="G12" s="23"/>
    </row>
    <row r="13" s="1" customFormat="1" ht="19" customHeight="1" spans="2:7">
      <c r="B13" s="21" t="s">
        <v>21</v>
      </c>
      <c r="C13" s="22" t="s">
        <v>12</v>
      </c>
      <c r="D13" s="19">
        <v>568</v>
      </c>
      <c r="E13" s="20">
        <f t="shared" si="0"/>
        <v>42.3448415492958</v>
      </c>
      <c r="F13" s="20">
        <v>24051.87</v>
      </c>
      <c r="G13" s="23"/>
    </row>
    <row r="14" s="1" customFormat="1" ht="19" customHeight="1" spans="2:7">
      <c r="B14" s="21" t="s">
        <v>22</v>
      </c>
      <c r="C14" s="22" t="s">
        <v>14</v>
      </c>
      <c r="D14" s="19">
        <v>1310</v>
      </c>
      <c r="E14" s="20">
        <f t="shared" si="0"/>
        <v>23.202465648855</v>
      </c>
      <c r="F14" s="20">
        <v>30395.23</v>
      </c>
      <c r="G14" s="23"/>
    </row>
    <row r="15" s="1" customFormat="1" ht="19" customHeight="1" spans="2:7">
      <c r="B15" s="21" t="s">
        <v>23</v>
      </c>
      <c r="C15" s="22" t="s">
        <v>14</v>
      </c>
      <c r="D15" s="19">
        <v>1654</v>
      </c>
      <c r="E15" s="20">
        <f t="shared" si="0"/>
        <v>23.4368500604595</v>
      </c>
      <c r="F15" s="20">
        <v>38764.55</v>
      </c>
      <c r="G15" s="23"/>
    </row>
    <row r="16" s="1" customFormat="1" ht="20" customHeight="1" spans="2:7">
      <c r="B16" s="21" t="s">
        <v>24</v>
      </c>
      <c r="C16" s="24" t="s">
        <v>14</v>
      </c>
      <c r="D16" s="19">
        <v>775</v>
      </c>
      <c r="E16" s="20">
        <f t="shared" si="0"/>
        <v>26.3832</v>
      </c>
      <c r="F16" s="20">
        <v>20446.98</v>
      </c>
      <c r="G16" s="23"/>
    </row>
    <row r="17" s="2" customFormat="1" ht="20" customHeight="1" spans="2:7">
      <c r="B17" s="21" t="s">
        <v>25</v>
      </c>
      <c r="C17" s="25" t="s">
        <v>14</v>
      </c>
      <c r="D17" s="19">
        <v>11104</v>
      </c>
      <c r="E17" s="20">
        <f t="shared" si="0"/>
        <v>20.9435951008646</v>
      </c>
      <c r="F17" s="20">
        <v>232557.68</v>
      </c>
      <c r="G17" s="26"/>
    </row>
    <row r="18" s="1" customFormat="1" ht="20" customHeight="1" spans="2:7">
      <c r="B18" s="21" t="s">
        <v>26</v>
      </c>
      <c r="C18" s="24" t="s">
        <v>12</v>
      </c>
      <c r="D18" s="19">
        <v>583</v>
      </c>
      <c r="E18" s="20">
        <f t="shared" si="0"/>
        <v>49.7571526586621</v>
      </c>
      <c r="F18" s="20">
        <v>29008.42</v>
      </c>
      <c r="G18" s="23"/>
    </row>
    <row r="19" s="1" customFormat="1" ht="20" customHeight="1" spans="2:7">
      <c r="B19" s="21" t="s">
        <v>27</v>
      </c>
      <c r="C19" s="24" t="s">
        <v>14</v>
      </c>
      <c r="D19" s="19">
        <v>57</v>
      </c>
      <c r="E19" s="20">
        <f t="shared" si="0"/>
        <v>26.5115789473684</v>
      </c>
      <c r="F19" s="20">
        <v>1511.16</v>
      </c>
      <c r="G19" s="23"/>
    </row>
    <row r="20" s="1" customFormat="1" ht="20" customHeight="1" spans="2:7">
      <c r="B20" s="21" t="s">
        <v>28</v>
      </c>
      <c r="C20" s="24" t="s">
        <v>12</v>
      </c>
      <c r="D20" s="19">
        <v>247</v>
      </c>
      <c r="E20" s="20">
        <f t="shared" si="0"/>
        <v>69.9878542510122</v>
      </c>
      <c r="F20" s="20">
        <v>17287</v>
      </c>
      <c r="G20" s="23"/>
    </row>
    <row r="21" s="1" customFormat="1" ht="20" customHeight="1" spans="2:7">
      <c r="B21" s="21" t="s">
        <v>29</v>
      </c>
      <c r="C21" s="22" t="s">
        <v>18</v>
      </c>
      <c r="D21" s="19">
        <v>132</v>
      </c>
      <c r="E21" s="20">
        <f t="shared" si="0"/>
        <v>113.739545454545</v>
      </c>
      <c r="F21" s="20">
        <v>15013.62</v>
      </c>
      <c r="G21" s="23"/>
    </row>
    <row r="22" s="1" customFormat="1" ht="20" customHeight="1" spans="2:7">
      <c r="B22" s="21" t="s">
        <v>30</v>
      </c>
      <c r="C22" s="22" t="s">
        <v>14</v>
      </c>
      <c r="D22" s="19">
        <v>51</v>
      </c>
      <c r="E22" s="20">
        <f t="shared" si="0"/>
        <v>43.0366666666667</v>
      </c>
      <c r="F22" s="20">
        <v>2194.87</v>
      </c>
      <c r="G22" s="23"/>
    </row>
    <row r="23" s="1" customFormat="1" ht="20" customHeight="1" spans="2:7">
      <c r="B23" s="21" t="s">
        <v>31</v>
      </c>
      <c r="C23" s="22" t="s">
        <v>12</v>
      </c>
      <c r="D23" s="19">
        <v>1190</v>
      </c>
      <c r="E23" s="20">
        <f t="shared" si="0"/>
        <v>43.3828907563025</v>
      </c>
      <c r="F23" s="20">
        <v>51625.64</v>
      </c>
      <c r="G23" s="23"/>
    </row>
    <row r="24" s="1" customFormat="1" ht="20" customHeight="1" spans="2:7">
      <c r="B24" s="21" t="s">
        <v>32</v>
      </c>
      <c r="C24" s="22" t="s">
        <v>12</v>
      </c>
      <c r="D24" s="19">
        <v>2072</v>
      </c>
      <c r="E24" s="20">
        <f t="shared" si="0"/>
        <v>36.0917615830116</v>
      </c>
      <c r="F24" s="20">
        <v>74782.13</v>
      </c>
      <c r="G24" s="23"/>
    </row>
    <row r="25" s="1" customFormat="1" ht="20" customHeight="1" spans="2:7">
      <c r="B25" s="21" t="s">
        <v>33</v>
      </c>
      <c r="C25" s="22" t="s">
        <v>12</v>
      </c>
      <c r="D25" s="19">
        <v>152</v>
      </c>
      <c r="E25" s="20">
        <f t="shared" si="0"/>
        <v>49.4803947368421</v>
      </c>
      <c r="F25" s="20">
        <v>7521.02</v>
      </c>
      <c r="G25" s="23"/>
    </row>
    <row r="26" s="1" customFormat="1" ht="20" customHeight="1" spans="2:7">
      <c r="B26" s="21" t="s">
        <v>34</v>
      </c>
      <c r="C26" s="22" t="s">
        <v>14</v>
      </c>
      <c r="D26" s="19">
        <v>152</v>
      </c>
      <c r="E26" s="20">
        <f t="shared" si="0"/>
        <v>27.6969078947368</v>
      </c>
      <c r="F26" s="20">
        <v>4209.93</v>
      </c>
      <c r="G26" s="23"/>
    </row>
    <row r="27" s="1" customFormat="1" ht="20" customHeight="1" spans="2:7">
      <c r="B27" s="21" t="s">
        <v>35</v>
      </c>
      <c r="C27" s="22">
        <v>2.5</v>
      </c>
      <c r="D27" s="19">
        <v>2</v>
      </c>
      <c r="E27" s="20">
        <f t="shared" si="0"/>
        <v>32.37</v>
      </c>
      <c r="F27" s="20">
        <v>64.74</v>
      </c>
      <c r="G27" s="23"/>
    </row>
    <row r="28" s="1" customFormat="1" ht="20" customHeight="1" spans="2:7">
      <c r="B28" s="21" t="s">
        <v>36</v>
      </c>
      <c r="C28" s="22">
        <v>25</v>
      </c>
      <c r="D28" s="19">
        <v>4</v>
      </c>
      <c r="E28" s="20">
        <f t="shared" si="0"/>
        <v>115.285</v>
      </c>
      <c r="F28" s="20">
        <v>461.14</v>
      </c>
      <c r="G28" s="23"/>
    </row>
    <row r="29" s="1" customFormat="1" ht="20" customHeight="1" spans="2:7">
      <c r="B29" s="21" t="s">
        <v>37</v>
      </c>
      <c r="C29" s="22">
        <v>2.5</v>
      </c>
      <c r="D29" s="19">
        <v>1</v>
      </c>
      <c r="E29" s="20">
        <f t="shared" si="0"/>
        <v>14.31</v>
      </c>
      <c r="F29" s="20">
        <v>14.31</v>
      </c>
      <c r="G29" s="23"/>
    </row>
    <row r="30" s="1" customFormat="1" ht="23" customHeight="1" spans="2:7">
      <c r="B30" s="21" t="s">
        <v>38</v>
      </c>
      <c r="C30" s="24"/>
      <c r="D30" s="27">
        <f>SUM(D6:D29)</f>
        <v>29384</v>
      </c>
      <c r="E30" s="28"/>
      <c r="F30" s="27">
        <f>SUM(F6:F29)</f>
        <v>1116976.32</v>
      </c>
      <c r="G30" s="23"/>
    </row>
    <row r="31" s="1" customFormat="1" ht="24" customHeight="1" spans="2:7">
      <c r="B31" s="29" t="s">
        <v>39</v>
      </c>
      <c r="C31" s="29"/>
      <c r="D31" s="15"/>
      <c r="E31" s="13"/>
      <c r="F31" s="16"/>
      <c r="G31" s="13"/>
    </row>
    <row r="32" s="1" customFormat="1" ht="20" customHeight="1" spans="2:7">
      <c r="B32" s="29" t="s">
        <v>40</v>
      </c>
      <c r="C32" s="29"/>
      <c r="D32" s="15"/>
      <c r="E32" s="13"/>
      <c r="F32" s="16"/>
      <c r="G32" s="13"/>
    </row>
    <row r="33" s="1" customFormat="1" ht="20" customHeight="1" spans="2:7">
      <c r="B33" s="17"/>
      <c r="C33" s="13"/>
      <c r="D33" s="15"/>
      <c r="E33" s="13"/>
      <c r="F33" s="16"/>
      <c r="G33" s="13"/>
    </row>
    <row r="34" s="1" customFormat="1" ht="20.25" spans="2:7">
      <c r="B34" s="30" t="s">
        <v>41</v>
      </c>
      <c r="C34" s="30"/>
      <c r="D34" s="15"/>
      <c r="E34" s="13"/>
      <c r="F34" s="16"/>
      <c r="G34" s="13"/>
    </row>
    <row r="35" s="1" customFormat="1" ht="18" customHeight="1" spans="2:7">
      <c r="B35" s="18" t="s">
        <v>42</v>
      </c>
      <c r="C35" s="31" t="s">
        <v>43</v>
      </c>
      <c r="D35" s="32"/>
      <c r="E35" s="31"/>
      <c r="F35" s="33"/>
      <c r="G35" s="31"/>
    </row>
    <row r="36" s="1" customFormat="1" ht="18" customHeight="1" spans="2:7">
      <c r="B36" s="18" t="s">
        <v>44</v>
      </c>
      <c r="C36" s="34" t="s">
        <v>45</v>
      </c>
      <c r="D36" s="35"/>
      <c r="E36" s="34"/>
      <c r="F36" s="36"/>
      <c r="G36" s="34"/>
    </row>
    <row r="37" s="1" customFormat="1" ht="18" customHeight="1" spans="2:7">
      <c r="B37" s="18" t="s">
        <v>46</v>
      </c>
      <c r="C37" s="34" t="s">
        <v>47</v>
      </c>
      <c r="D37" s="35"/>
      <c r="E37" s="34"/>
      <c r="F37" s="36"/>
      <c r="G37" s="34"/>
    </row>
    <row r="38" s="1" customFormat="1" ht="18" customHeight="1" spans="2:7">
      <c r="B38" s="18" t="s">
        <v>48</v>
      </c>
      <c r="C38" s="37" t="s">
        <v>49</v>
      </c>
      <c r="D38" s="38"/>
      <c r="E38" s="37"/>
      <c r="F38" s="39"/>
      <c r="G38" s="37"/>
    </row>
    <row r="39" s="1" customFormat="1" ht="18" customHeight="1" spans="2:7">
      <c r="B39" s="18" t="s">
        <v>50</v>
      </c>
      <c r="C39" s="34" t="s">
        <v>51</v>
      </c>
      <c r="D39" s="35"/>
      <c r="E39" s="34"/>
      <c r="F39" s="36"/>
      <c r="G39" s="34"/>
    </row>
    <row r="40" s="1" customFormat="1" ht="18" customHeight="1" spans="2:7">
      <c r="B40" s="18" t="s">
        <v>52</v>
      </c>
      <c r="C40" s="34" t="s">
        <v>53</v>
      </c>
      <c r="D40" s="35"/>
      <c r="E40" s="34"/>
      <c r="F40" s="36"/>
      <c r="G40" s="34"/>
    </row>
    <row r="41" s="1" customFormat="1" ht="18" customHeight="1" spans="2:7">
      <c r="B41" s="18" t="s">
        <v>54</v>
      </c>
      <c r="C41" s="40" t="s">
        <v>55</v>
      </c>
      <c r="D41" s="35"/>
      <c r="E41" s="34"/>
      <c r="F41" s="36"/>
      <c r="G41" s="34"/>
    </row>
    <row r="42" s="1" customFormat="1" ht="16.5" spans="2:7">
      <c r="B42" s="13"/>
      <c r="C42" s="13"/>
      <c r="D42" s="15"/>
      <c r="E42" s="13"/>
      <c r="F42" s="16"/>
      <c r="G42" s="13"/>
    </row>
    <row r="43" s="1" customFormat="1" ht="20.25" spans="2:7">
      <c r="B43" s="30" t="s">
        <v>56</v>
      </c>
      <c r="C43" s="30"/>
      <c r="D43" s="15"/>
      <c r="E43" s="13"/>
      <c r="F43" s="16"/>
      <c r="G43" s="13"/>
    </row>
    <row r="44" s="1" customFormat="1" ht="17.25" spans="2:7">
      <c r="B44" s="18" t="s">
        <v>57</v>
      </c>
      <c r="C44" s="34" t="s">
        <v>58</v>
      </c>
      <c r="D44" s="35"/>
      <c r="E44" s="34"/>
      <c r="F44" s="36"/>
      <c r="G44" s="34"/>
    </row>
    <row r="45" s="1" customFormat="1" ht="16.5" spans="2:7">
      <c r="B45" s="13"/>
      <c r="C45" s="13"/>
      <c r="D45" s="15"/>
      <c r="E45" s="13"/>
      <c r="F45" s="16"/>
      <c r="G45" s="13"/>
    </row>
    <row r="46" s="1" customFormat="1" ht="16.5" spans="2:7">
      <c r="B46" s="13"/>
      <c r="C46" s="13"/>
      <c r="D46" s="15"/>
      <c r="E46" s="13"/>
      <c r="F46" s="16"/>
      <c r="G46" s="13"/>
    </row>
  </sheetData>
  <autoFilter xmlns:etc="http://www.wps.cn/officeDocument/2017/etCustomData" ref="B5:G44" etc:filterBottomFollowUsedRange="0">
    <extLst/>
  </autoFilter>
  <mergeCells count="11">
    <mergeCell ref="B1:G1"/>
    <mergeCell ref="B34:C34"/>
    <mergeCell ref="C35:G35"/>
    <mergeCell ref="C36:G36"/>
    <mergeCell ref="C37:G37"/>
    <mergeCell ref="C38:G38"/>
    <mergeCell ref="C39:G39"/>
    <mergeCell ref="C40:G40"/>
    <mergeCell ref="C41:G41"/>
    <mergeCell ref="B43:C43"/>
    <mergeCell ref="C44:G44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刘雯</cp:lastModifiedBy>
  <dcterms:created xsi:type="dcterms:W3CDTF">2023-05-12T11:15:00Z</dcterms:created>
  <dcterms:modified xsi:type="dcterms:W3CDTF">2026-09-10T09:23:43Z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D228590FC2DE4B45B5428295CE82AA99_13</vt:lpwstr>
  </property>
  <property fmtid="{D5CDD505-2E9C-101B-9397-08002B2CF9AE}" pid="4" name="CalculationRule">
    <vt:i4>0</vt:i4>
  </property>
</Properties>
</file>