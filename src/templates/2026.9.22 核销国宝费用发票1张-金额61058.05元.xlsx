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ifen\2024.6.17刘雯的工作资料\1对账单\猫超-国宝-对账\国宝--账扣费用单\已开发票管理\2026.9.22 国宝发票\"/>
    </mc:Choice>
  </mc:AlternateContent>
  <bookViews>
    <workbookView windowWidth="28800" windowHeight="12375" activeTab="1"/>
  </bookViews>
  <sheets>
    <sheet name="开票流水单据列表" sheetId="1" r:id="rId1"/>
    <sheet name="1. 费用汇总表     " sheetId="4" r:id="rId2"/>
    <sheet name="2. 费用明细打印    " sheetId="3" r:id="rId3"/>
    <sheet name="3. 发票1张  " sheetId="2" r:id="rId4"/>
    <sheet name="应收对账单列表" sheetId="5" r:id="rId5"/>
    <sheet name="Sheet4" sheetId="6" r:id="rId6"/>
  </sheets>
  <definedNames>
    <definedName name="_xlnm._FilterDatabase" localSheetId="0" hidden="1">开票流水单据列表!$A$1:$P$39</definedName>
    <definedName name="_xlnm._FilterDatabase" localSheetId="2" hidden="1">'2. 费用明细打印    '!$A$2:$G$41</definedName>
    <definedName name="_xlnm.Print_Area" localSheetId="1">'1. 费用汇总表     '!$A$1:$E$27</definedName>
    <definedName name="_xlnm.Print_Area" localSheetId="2">'2. 费用明细打印    '!$B$1:$G$41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<sst xmlns="http://schemas.openxmlformats.org/spreadsheetml/2006/main" count="1108" uniqueCount="303">
  <si>
    <t>待开票流水主单号</t>
  </si>
  <si>
    <t>对账单号</t>
  </si>
  <si>
    <t>销方</t>
  </si>
  <si>
    <t>购方</t>
  </si>
  <si>
    <t>费用项编码</t>
  </si>
  <si>
    <t>费用项名称</t>
  </si>
  <si>
    <t>开票内容</t>
  </si>
  <si>
    <t>税收分类编码</t>
  </si>
  <si>
    <t>日期</t>
  </si>
  <si>
    <t>币种</t>
  </si>
  <si>
    <t>开票金额</t>
  </si>
  <si>
    <t>待开票金额</t>
  </si>
  <si>
    <t>已开票金额</t>
  </si>
  <si>
    <t>申请日期</t>
  </si>
  <si>
    <t>开票状态</t>
  </si>
  <si>
    <t>发票分类</t>
  </si>
  <si>
    <t>AF1012609081594656392</t>
  </si>
  <si>
    <t>S2026090135293847541</t>
  </si>
  <si>
    <t>浙江天猫供应链管理有限公司</t>
  </si>
  <si>
    <t>湖北国宝桥米有限公司寄售</t>
  </si>
  <si>
    <t>1030579</t>
  </si>
  <si>
    <t>用户权益推广服务费</t>
  </si>
  <si>
    <t>推广服务费</t>
  </si>
  <si>
    <t>3079900000000000000</t>
  </si>
  <si>
    <t>2026-08-22 07:55:40</t>
  </si>
  <si>
    <t>CNY</t>
  </si>
  <si>
    <t>未提交</t>
  </si>
  <si>
    <t>服务</t>
  </si>
  <si>
    <t>AF1012609081594656393</t>
  </si>
  <si>
    <t>1030592</t>
  </si>
  <si>
    <t>先用后付服务费</t>
  </si>
  <si>
    <t>技术服务费</t>
  </si>
  <si>
    <t>3040205000000000000</t>
  </si>
  <si>
    <t>2026-08-01 09:09:44</t>
  </si>
  <si>
    <t>AF1012609081594656394</t>
  </si>
  <si>
    <t>1039989</t>
  </si>
  <si>
    <t>售后客服服务费</t>
  </si>
  <si>
    <t>客服服务费</t>
  </si>
  <si>
    <t>3040204000000000000</t>
  </si>
  <si>
    <t>2026-08-01 00:09:57</t>
  </si>
  <si>
    <t>AF1012609081594656395</t>
  </si>
  <si>
    <t>1039990</t>
  </si>
  <si>
    <t>退货运费保障服务费</t>
  </si>
  <si>
    <t>2026-07-31 23:59:59</t>
  </si>
  <si>
    <t>AF1012609081594656396</t>
  </si>
  <si>
    <t>3030586</t>
  </si>
  <si>
    <t>评价有礼服务费</t>
  </si>
  <si>
    <t>2026-08-15 22:15:49</t>
  </si>
  <si>
    <t>AF1012609081594656397</t>
  </si>
  <si>
    <t>3030589</t>
  </si>
  <si>
    <t>智能营销推广服务费</t>
  </si>
  <si>
    <t>2026-08-25 10:30:17</t>
  </si>
  <si>
    <t>AF1012609081594656398</t>
  </si>
  <si>
    <t>6020010</t>
  </si>
  <si>
    <t>寄售集货仓物流费</t>
  </si>
  <si>
    <t>集货仓物流费</t>
  </si>
  <si>
    <t>3040407030000000000</t>
  </si>
  <si>
    <t>2026-08-27 09:26:04</t>
  </si>
  <si>
    <t>AF1012609081594656399</t>
  </si>
  <si>
    <t>6020014</t>
  </si>
  <si>
    <t>渠道推广服务费</t>
  </si>
  <si>
    <t>2026-08-21 00:01:38</t>
  </si>
  <si>
    <t>AF1012609081594656400</t>
  </si>
  <si>
    <t>7020086</t>
  </si>
  <si>
    <t>售前客服服务费</t>
  </si>
  <si>
    <t>2026-08-01 00:00:00</t>
  </si>
  <si>
    <t>AF1012609081594656401</t>
  </si>
  <si>
    <t>7021013</t>
  </si>
  <si>
    <t>新品推广服务费</t>
  </si>
  <si>
    <t>2026-08-25 19:12:29</t>
  </si>
  <si>
    <t>AF1012609081594656402</t>
  </si>
  <si>
    <t>8020002</t>
  </si>
  <si>
    <t>营销活动-淘客</t>
  </si>
  <si>
    <t>2026-08-21 10:52:35</t>
  </si>
  <si>
    <t>AF1012609081594656403</t>
  </si>
  <si>
    <t>8020006</t>
  </si>
  <si>
    <t>超市福袋</t>
  </si>
  <si>
    <t>2026-08-22 00:19:05</t>
  </si>
  <si>
    <t>AF1012609081594656404</t>
  </si>
  <si>
    <t>8020011</t>
  </si>
  <si>
    <t>达播佣金</t>
  </si>
  <si>
    <t>2026-08-21 11:37:57</t>
  </si>
  <si>
    <t>AF1012609081594656405</t>
  </si>
  <si>
    <t>8020017</t>
  </si>
  <si>
    <t>物流补贴</t>
  </si>
  <si>
    <t>物流服务费</t>
  </si>
  <si>
    <t>3040409030000000000</t>
  </si>
  <si>
    <t>2026-08-22 01:58:40</t>
  </si>
  <si>
    <t>AF1012609081594656406</t>
  </si>
  <si>
    <t>8020018</t>
  </si>
  <si>
    <t>淘客基础服务费</t>
  </si>
  <si>
    <t>2026-08-21 00:06:13</t>
  </si>
  <si>
    <t>AF1012609081594656407</t>
  </si>
  <si>
    <t>8020021</t>
  </si>
  <si>
    <t>退供寄付服务费</t>
  </si>
  <si>
    <t>供应链管理服务费</t>
  </si>
  <si>
    <t>3040801990000000000</t>
  </si>
  <si>
    <t>2026-08-22 13:59:26</t>
  </si>
  <si>
    <t>AF1012609081594656408</t>
  </si>
  <si>
    <t>8020024</t>
  </si>
  <si>
    <t>营销活动-淘客团长服务费</t>
  </si>
  <si>
    <t>2026-08-21 09:38:35</t>
  </si>
  <si>
    <t>AF1012609081594656409</t>
  </si>
  <si>
    <t>8020032</t>
  </si>
  <si>
    <t>控温仓储服务费</t>
  </si>
  <si>
    <t>AF1012608281590679745</t>
  </si>
  <si>
    <t>S2026082135213707760</t>
  </si>
  <si>
    <t>2026-08-11 07:20:38</t>
  </si>
  <si>
    <t>AF1012608281590679746</t>
  </si>
  <si>
    <t>2026-08-15 09:40:27</t>
  </si>
  <si>
    <t>AF1012608281590679747</t>
  </si>
  <si>
    <t>2026-08-11 00:08:59</t>
  </si>
  <si>
    <t>AF1012608281590679748</t>
  </si>
  <si>
    <t>2026-08-15 14:47:36</t>
  </si>
  <si>
    <t>AF1012608281590679749</t>
  </si>
  <si>
    <t>2026-08-12 11:42:52</t>
  </si>
  <si>
    <t>AF1012608281590679750</t>
  </si>
  <si>
    <t>2026-08-11 13:11:58</t>
  </si>
  <si>
    <t>AF1012608281590679751</t>
  </si>
  <si>
    <t>2026-08-12 08:57:23</t>
  </si>
  <si>
    <t>AF1012608281590679752</t>
  </si>
  <si>
    <t>AF1012608281590679753</t>
  </si>
  <si>
    <t>AF1012608281590679754</t>
  </si>
  <si>
    <t>2026-08-15 10:45:36</t>
  </si>
  <si>
    <t>AF1012608281590679755</t>
  </si>
  <si>
    <t>AF1012608181587547710</t>
  </si>
  <si>
    <t>S2026081135137131254</t>
  </si>
  <si>
    <t>2026-08-01 08:14:05</t>
  </si>
  <si>
    <t>AF1012608181587547711</t>
  </si>
  <si>
    <t>2026-08-01 00:00:05</t>
  </si>
  <si>
    <t>AF1012608181587547712</t>
  </si>
  <si>
    <t>2026-08-03 19:30:40</t>
  </si>
  <si>
    <t>AF1012608181587547713</t>
  </si>
  <si>
    <t>2026-08-01 09:09:41</t>
  </si>
  <si>
    <t>AF1012608181587547714</t>
  </si>
  <si>
    <t>2026-08-03 19:56:01</t>
  </si>
  <si>
    <t>AF1012608181587547715</t>
  </si>
  <si>
    <t>2026-08-01 00:01:07</t>
  </si>
  <si>
    <t>AF1012608181587547716</t>
  </si>
  <si>
    <t>AF1012608181587547717</t>
  </si>
  <si>
    <t>2026-08-01 17:13:45</t>
  </si>
  <si>
    <t>AF1012608181587547718</t>
  </si>
  <si>
    <t>国宝 猫超平台费用明细（账单时间：2026.8.11-2026.9.1）
（浙江天猫供应链管理有限公司）</t>
  </si>
  <si>
    <t>序号</t>
  </si>
  <si>
    <t>备注</t>
  </si>
  <si>
    <t>推广服务费 汇总</t>
  </si>
  <si>
    <t>电商市场推广费</t>
  </si>
  <si>
    <t>客服服务费 汇总</t>
  </si>
  <si>
    <t>售后费用</t>
  </si>
  <si>
    <t>供应链管理服务费 汇总</t>
  </si>
  <si>
    <t>集货仓物流费 汇总</t>
  </si>
  <si>
    <t>电商物流费</t>
  </si>
  <si>
    <t>技术服务费 汇总</t>
  </si>
  <si>
    <t>电商运营费</t>
  </si>
  <si>
    <t>物流服务费 汇总</t>
  </si>
  <si>
    <t>总计</t>
  </si>
  <si>
    <t>账单生成时间</t>
  </si>
  <si>
    <t>单据日期</t>
  </si>
  <si>
    <t>合计</t>
  </si>
  <si>
    <t xml:space="preserve"> </t>
  </si>
  <si>
    <t>对账单编号</t>
  </si>
  <si>
    <t>公司主体</t>
  </si>
  <si>
    <t>账单周期</t>
  </si>
  <si>
    <t>账单确认时间</t>
  </si>
  <si>
    <t>商家编码</t>
  </si>
  <si>
    <t>商家名称</t>
  </si>
  <si>
    <t>经营类型</t>
  </si>
  <si>
    <t>合同类型</t>
  </si>
  <si>
    <t>结算含税总金额</t>
  </si>
  <si>
    <t>已收款金额</t>
  </si>
  <si>
    <t>收款状态</t>
  </si>
  <si>
    <t>收款完成时间</t>
  </si>
  <si>
    <t>对账状态</t>
  </si>
  <si>
    <t>收款渠道</t>
  </si>
  <si>
    <t>账单自动确认类型</t>
  </si>
  <si>
    <t>取消收款金额</t>
  </si>
  <si>
    <t>2026-08-01~2026-08-31</t>
  </si>
  <si>
    <t>2026-09-08 16:18:04</t>
  </si>
  <si>
    <t>111120592</t>
  </si>
  <si>
    <t>寄售</t>
  </si>
  <si>
    <t>已收款</t>
  </si>
  <si>
    <t>2026-09-16 16:04:18</t>
  </si>
  <si>
    <t>账单已确认</t>
  </si>
  <si>
    <t>支付宝</t>
  </si>
  <si>
    <t>超期自动确认</t>
  </si>
  <si>
    <t>2026-08-11~2026-08-20</t>
  </si>
  <si>
    <t>2026-08-28 14:48:03</t>
  </si>
  <si>
    <t>2026-08-28 17:47:39</t>
  </si>
  <si>
    <t>2026-08-01~2026-08-10</t>
  </si>
  <si>
    <t>2026-08-18 15:18:02</t>
  </si>
  <si>
    <t>2026-08-18 18:55:50</t>
  </si>
  <si>
    <t>S2026080135058523052</t>
  </si>
  <si>
    <t>2026-07-01~2026-07-31</t>
  </si>
  <si>
    <t>2026-08-01 16:30:21</t>
  </si>
  <si>
    <t>2026-08-08 16:33:04</t>
  </si>
  <si>
    <t>2026-08-08 17:13:17</t>
  </si>
  <si>
    <t>S2026072134976579207</t>
  </si>
  <si>
    <t>2026-07-11~2026-07-20</t>
  </si>
  <si>
    <t>2026-07-21 15:30:24</t>
  </si>
  <si>
    <t>2026-07-28 15:33:03</t>
  </si>
  <si>
    <t>2026-07-28 19:07:27</t>
  </si>
  <si>
    <t>S2026071134911664551</t>
  </si>
  <si>
    <t>2026-07-01~2026-07-10</t>
  </si>
  <si>
    <t>2026-07-11 15:00:18</t>
  </si>
  <si>
    <t>2026-07-18 15:03:03</t>
  </si>
  <si>
    <t>2026-07-18 16:28:26</t>
  </si>
  <si>
    <t>S2026070134805542905</t>
  </si>
  <si>
    <t>2026-06-21~2026-06-30</t>
  </si>
  <si>
    <t>2026-07-01 17:30:19</t>
  </si>
  <si>
    <t>2026-07-08 17:33:02</t>
  </si>
  <si>
    <t>2026-07-08 18:28:19</t>
  </si>
  <si>
    <t>S2026062134310922285</t>
  </si>
  <si>
    <t>2026-06-11~2026-06-20</t>
  </si>
  <si>
    <t>2026-06-21 15:30:23</t>
  </si>
  <si>
    <t>2026-06-28 15:33:02</t>
  </si>
  <si>
    <t>2026-06-28 17:57:42</t>
  </si>
  <si>
    <t>S2026061134061704175</t>
  </si>
  <si>
    <t>2026-06-01~2026-06-10</t>
  </si>
  <si>
    <t>2026-06-11 15:15:19</t>
  </si>
  <si>
    <t>2026-06-18 15:18:02</t>
  </si>
  <si>
    <t>2026-06-18 16:30:17</t>
  </si>
  <si>
    <t>S2026060133977803065</t>
  </si>
  <si>
    <t>2026-05-01~2026-05-31</t>
  </si>
  <si>
    <t>2026-06-01 17:00:25</t>
  </si>
  <si>
    <t>2026-06-08 17:03:02</t>
  </si>
  <si>
    <t>2026-06-08 18:37:25</t>
  </si>
  <si>
    <t>S2026052133869674415</t>
  </si>
  <si>
    <t>2026-05-11~2026-05-20</t>
  </si>
  <si>
    <t>2026-05-21 15:15:20</t>
  </si>
  <si>
    <t>2026-05-28 15:18:01</t>
  </si>
  <si>
    <t>2026-05-28 17:36:30</t>
  </si>
  <si>
    <t>S2026051133799650870</t>
  </si>
  <si>
    <t>2026-05-01~2026-05-10</t>
  </si>
  <si>
    <t>2026-05-11 14:45:25</t>
  </si>
  <si>
    <t>2026-05-18 14:48:02</t>
  </si>
  <si>
    <t>2026-05-18 15:29:35</t>
  </si>
  <si>
    <t>S2026050133740510538</t>
  </si>
  <si>
    <t>2026-04-01~2026-04-30</t>
  </si>
  <si>
    <t>2026-05-01 16:45:18</t>
  </si>
  <si>
    <t>2026-05-08 16:48:02</t>
  </si>
  <si>
    <t>2026-05-09 00:02:44</t>
  </si>
  <si>
    <t>S2026042133667258484</t>
  </si>
  <si>
    <t>2026-04-11~2026-04-20</t>
  </si>
  <si>
    <t>2026-04-21 15:00:23</t>
  </si>
  <si>
    <t>2026-04-28 15:03:02</t>
  </si>
  <si>
    <t>2026-04-28 17:30:36</t>
  </si>
  <si>
    <t>S2026041133600163939</t>
  </si>
  <si>
    <t>2026-04-01~2026-04-10</t>
  </si>
  <si>
    <t>2026-04-11 15:30:21</t>
  </si>
  <si>
    <t>2026-04-18 15:33:02</t>
  </si>
  <si>
    <t>2026-04-18 17:27:13</t>
  </si>
  <si>
    <t>S2026040133521814861</t>
  </si>
  <si>
    <t>2026-03-01~2026-03-31</t>
  </si>
  <si>
    <t>2026-04-01 16:45:22</t>
  </si>
  <si>
    <t>2026-04-08 16:48:02</t>
  </si>
  <si>
    <t>2026-04-08 20:49:01</t>
  </si>
  <si>
    <t>S2026032133450101958</t>
  </si>
  <si>
    <t>2026-03-11~2026-03-20</t>
  </si>
  <si>
    <t>2026-03-21 15:05:18</t>
  </si>
  <si>
    <t>2026-03-28 15:06:02</t>
  </si>
  <si>
    <t>2026-03-28 19:19:15</t>
  </si>
  <si>
    <t>S2026031133384837125</t>
  </si>
  <si>
    <t>2026-03-01~2026-03-10</t>
  </si>
  <si>
    <t>2026-03-11 15:00:22</t>
  </si>
  <si>
    <t>2026-03-18 15:03:02</t>
  </si>
  <si>
    <t>2026-03-18 16:56:50</t>
  </si>
  <si>
    <t>S2026030133325696062</t>
  </si>
  <si>
    <t>2026-02-01~2026-02-28</t>
  </si>
  <si>
    <t>2026-03-01 15:00:26</t>
  </si>
  <si>
    <t>2026-03-08 15:03:02</t>
  </si>
  <si>
    <t>2026-03-08 21:30:32</t>
  </si>
  <si>
    <t>S2026022133261587524</t>
  </si>
  <si>
    <t>2026-02-11~2026-02-20</t>
  </si>
  <si>
    <t>2026-02-21 14:45:22</t>
  </si>
  <si>
    <t>2026-02-28 14:48:02</t>
  </si>
  <si>
    <t>2026-02-28 17:41:21</t>
  </si>
  <si>
    <t>S2026021133205116400</t>
  </si>
  <si>
    <t>2026-02-01~2026-02-10</t>
  </si>
  <si>
    <t>2026-02-11 15:15:20</t>
  </si>
  <si>
    <t>2026-02-18 15:18:01</t>
  </si>
  <si>
    <t>2026-02-18 18:58:49</t>
  </si>
  <si>
    <t>S2026020133126108487</t>
  </si>
  <si>
    <t>2026-01-01~2026-01-31</t>
  </si>
  <si>
    <t>2026-02-01 18:40:20</t>
  </si>
  <si>
    <t>2026-02-08 18:42:02</t>
  </si>
  <si>
    <t>2026-02-09 09:30:47</t>
  </si>
  <si>
    <t>S2026012133039974464</t>
  </si>
  <si>
    <t>2026-01-11~2026-01-20</t>
  </si>
  <si>
    <t>2026-01-21 15:30:20</t>
  </si>
  <si>
    <t>2026-01-28 15:33:03</t>
  </si>
  <si>
    <t>2026-01-28 19:49:04</t>
  </si>
  <si>
    <t>S2026011132981332398</t>
  </si>
  <si>
    <t>2026-01-01~2026-01-10</t>
  </si>
  <si>
    <t>2026-01-11 15:15:20</t>
  </si>
  <si>
    <t>2026-01-18 15:18:02</t>
  </si>
  <si>
    <t>2026-01-21 12:12:48</t>
  </si>
  <si>
    <t>S2026010132931865193</t>
  </si>
  <si>
    <t>2025-12-01~2025-12-31</t>
  </si>
  <si>
    <t>2026-01-01 19:38:10</t>
  </si>
  <si>
    <t>2026-01-08 19:39:02</t>
  </si>
  <si>
    <t>2026-01-21 12:13:11</t>
  </si>
  <si>
    <t>国宝 猫超平台费用明细（账单时间：2026.7.11-2026.8.1）
（浙江天猫供应链管理有限公司）</t>
  </si>
  <si>
    <t>求和项:开票金额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</si>
</sst>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color rgb="FFFF0000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2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Font="1" applyFill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2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>
      <alignment vertical="center"/>
    </xf>
    <xf numFmtId="4" fontId="0" fillId="0" borderId="0" xfId="0" applyNumberFormat="1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6" fillId="3" borderId="0" xfId="0" applyNumberFormat="1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676275</xdr:colOff>
      <xdr:row>34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1450"/>
          <a:ext cx="7534275" cy="573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I1" sqref="I$1:I$1048576"/>
    </sheetView>
  </sheetViews>
  <sheetFormatPr defaultColWidth="9" defaultRowHeight="13.5"/>
  <cols>
    <col min="1" max="1" width="23.75" customWidth="1"/>
    <col min="2" max="2" width="22.625" customWidth="1"/>
    <col min="3" max="3" width="27.5" customWidth="1"/>
    <col min="4" max="4" width="25.375" customWidth="1"/>
    <col min="5" max="5" width="10.875" customWidth="1"/>
    <col min="6" max="6" width="24.5" customWidth="1"/>
    <col min="7" max="7" width="17.125" customWidth="1"/>
    <col min="8" max="9" width="21.5" customWidth="1"/>
    <col min="10" max="10" width="5.125" customWidth="1"/>
    <col min="11" max="11" width="13.375" customWidth="1"/>
    <col min="12" max="13" width="10.875" customWidth="1"/>
    <col min="14" max="16" width="8.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41">
        <v>557.84</v>
      </c>
      <c r="L2" s="41">
        <v>557.84</v>
      </c>
      <c r="M2" s="41">
        <v>0</v>
      </c>
      <c r="O2" t="s">
        <v>26</v>
      </c>
      <c r="P2" t="s">
        <v>27</v>
      </c>
    </row>
    <row r="3" spans="1:16">
      <c r="A3" t="s">
        <v>28</v>
      </c>
      <c r="B3" t="s">
        <v>17</v>
      </c>
      <c r="C3" t="s">
        <v>18</v>
      </c>
      <c r="D3" t="s">
        <v>19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25</v>
      </c>
      <c r="K3" s="41">
        <v>555</v>
      </c>
      <c r="L3" s="41">
        <v>555</v>
      </c>
      <c r="M3" s="41">
        <v>0</v>
      </c>
      <c r="O3" t="s">
        <v>26</v>
      </c>
      <c r="P3" t="s">
        <v>27</v>
      </c>
    </row>
    <row r="4" spans="1:16">
      <c r="A4" t="s">
        <v>34</v>
      </c>
      <c r="B4" t="s">
        <v>17</v>
      </c>
      <c r="C4" t="s">
        <v>18</v>
      </c>
      <c r="D4" t="s">
        <v>19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25</v>
      </c>
      <c r="K4" s="41">
        <v>1280</v>
      </c>
      <c r="L4" s="41">
        <v>1280</v>
      </c>
      <c r="M4" s="41">
        <v>0</v>
      </c>
      <c r="O4" t="s">
        <v>26</v>
      </c>
      <c r="P4" t="s">
        <v>27</v>
      </c>
    </row>
    <row r="5" spans="1:16">
      <c r="A5" t="s">
        <v>40</v>
      </c>
      <c r="B5" t="s">
        <v>17</v>
      </c>
      <c r="C5" t="s">
        <v>18</v>
      </c>
      <c r="D5" t="s">
        <v>19</v>
      </c>
      <c r="E5" t="s">
        <v>41</v>
      </c>
      <c r="F5" t="s">
        <v>42</v>
      </c>
      <c r="G5" t="s">
        <v>37</v>
      </c>
      <c r="H5" t="s">
        <v>38</v>
      </c>
      <c r="I5" t="s">
        <v>43</v>
      </c>
      <c r="J5" t="s">
        <v>25</v>
      </c>
      <c r="K5" s="41">
        <v>1132.74</v>
      </c>
      <c r="L5" s="41">
        <v>1132.74</v>
      </c>
      <c r="M5" s="41">
        <v>0</v>
      </c>
      <c r="O5" t="s">
        <v>26</v>
      </c>
      <c r="P5" t="s">
        <v>27</v>
      </c>
    </row>
    <row r="6" spans="1:16">
      <c r="A6" t="s">
        <v>44</v>
      </c>
      <c r="B6" t="s">
        <v>17</v>
      </c>
      <c r="C6" t="s">
        <v>18</v>
      </c>
      <c r="D6" t="s">
        <v>19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25</v>
      </c>
      <c r="K6" s="41">
        <v>29.4</v>
      </c>
      <c r="L6" s="41">
        <v>29.4</v>
      </c>
      <c r="M6" s="41">
        <v>0</v>
      </c>
      <c r="O6" t="s">
        <v>26</v>
      </c>
      <c r="P6" t="s">
        <v>27</v>
      </c>
    </row>
    <row r="7" spans="1:16">
      <c r="A7" t="s">
        <v>48</v>
      </c>
      <c r="B7" t="s">
        <v>17</v>
      </c>
      <c r="C7" t="s">
        <v>18</v>
      </c>
      <c r="D7" t="s">
        <v>19</v>
      </c>
      <c r="E7" t="s">
        <v>49</v>
      </c>
      <c r="F7" t="s">
        <v>50</v>
      </c>
      <c r="G7" t="s">
        <v>22</v>
      </c>
      <c r="H7" t="s">
        <v>23</v>
      </c>
      <c r="I7" t="s">
        <v>51</v>
      </c>
      <c r="J7" t="s">
        <v>25</v>
      </c>
      <c r="K7" s="41">
        <v>750.72</v>
      </c>
      <c r="L7" s="41">
        <v>750.72</v>
      </c>
      <c r="M7" s="41">
        <v>0</v>
      </c>
      <c r="O7" t="s">
        <v>26</v>
      </c>
      <c r="P7" t="s">
        <v>27</v>
      </c>
    </row>
    <row r="8" spans="1:16">
      <c r="A8" t="s">
        <v>52</v>
      </c>
      <c r="B8" t="s">
        <v>17</v>
      </c>
      <c r="C8" t="s">
        <v>18</v>
      </c>
      <c r="D8" t="s">
        <v>19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25</v>
      </c>
      <c r="K8" s="41">
        <v>4517.43</v>
      </c>
      <c r="L8" s="41">
        <v>4517.43</v>
      </c>
      <c r="M8" s="41">
        <v>0</v>
      </c>
      <c r="O8" t="s">
        <v>26</v>
      </c>
      <c r="P8" t="s">
        <v>27</v>
      </c>
    </row>
    <row r="9" spans="1:16">
      <c r="A9" t="s">
        <v>58</v>
      </c>
      <c r="B9" t="s">
        <v>17</v>
      </c>
      <c r="C9" t="s">
        <v>18</v>
      </c>
      <c r="D9" t="s">
        <v>19</v>
      </c>
      <c r="E9" t="s">
        <v>59</v>
      </c>
      <c r="F9" t="s">
        <v>60</v>
      </c>
      <c r="G9" t="s">
        <v>22</v>
      </c>
      <c r="H9" t="s">
        <v>23</v>
      </c>
      <c r="I9" t="s">
        <v>61</v>
      </c>
      <c r="J9" t="s">
        <v>25</v>
      </c>
      <c r="K9" s="41">
        <v>5593.02</v>
      </c>
      <c r="L9" s="41">
        <v>5593.02</v>
      </c>
      <c r="M9" s="41">
        <v>0</v>
      </c>
      <c r="O9" t="s">
        <v>26</v>
      </c>
      <c r="P9" t="s">
        <v>27</v>
      </c>
    </row>
    <row r="10" spans="1:16">
      <c r="A10" t="s">
        <v>62</v>
      </c>
      <c r="B10" t="s">
        <v>17</v>
      </c>
      <c r="C10" t="s">
        <v>18</v>
      </c>
      <c r="D10" t="s">
        <v>19</v>
      </c>
      <c r="E10" t="s">
        <v>63</v>
      </c>
      <c r="F10" t="s">
        <v>64</v>
      </c>
      <c r="G10" t="s">
        <v>37</v>
      </c>
      <c r="H10" t="s">
        <v>38</v>
      </c>
      <c r="I10" t="s">
        <v>65</v>
      </c>
      <c r="J10" t="s">
        <v>25</v>
      </c>
      <c r="K10" s="41">
        <v>350.4</v>
      </c>
      <c r="L10" s="41">
        <v>350.4</v>
      </c>
      <c r="M10" s="41">
        <v>0</v>
      </c>
      <c r="O10" t="s">
        <v>26</v>
      </c>
      <c r="P10" t="s">
        <v>27</v>
      </c>
    </row>
    <row r="11" spans="1:16">
      <c r="A11" t="s">
        <v>66</v>
      </c>
      <c r="B11" t="s">
        <v>17</v>
      </c>
      <c r="C11" t="s">
        <v>18</v>
      </c>
      <c r="D11" t="s">
        <v>19</v>
      </c>
      <c r="E11" t="s">
        <v>67</v>
      </c>
      <c r="F11" t="s">
        <v>68</v>
      </c>
      <c r="G11" t="s">
        <v>22</v>
      </c>
      <c r="H11" t="s">
        <v>23</v>
      </c>
      <c r="I11" t="s">
        <v>69</v>
      </c>
      <c r="J11" t="s">
        <v>25</v>
      </c>
      <c r="K11" s="41">
        <v>3000</v>
      </c>
      <c r="L11" s="41">
        <v>3000</v>
      </c>
      <c r="M11" s="41">
        <v>0</v>
      </c>
      <c r="O11" t="s">
        <v>26</v>
      </c>
      <c r="P11" t="s">
        <v>27</v>
      </c>
    </row>
    <row r="12" spans="1:16">
      <c r="A12" t="s">
        <v>70</v>
      </c>
      <c r="B12" t="s">
        <v>17</v>
      </c>
      <c r="C12" t="s">
        <v>18</v>
      </c>
      <c r="D12" t="s">
        <v>19</v>
      </c>
      <c r="E12" t="s">
        <v>71</v>
      </c>
      <c r="F12" t="s">
        <v>72</v>
      </c>
      <c r="G12" t="s">
        <v>22</v>
      </c>
      <c r="H12" t="s">
        <v>23</v>
      </c>
      <c r="I12" t="s">
        <v>73</v>
      </c>
      <c r="J12" t="s">
        <v>25</v>
      </c>
      <c r="K12" s="41">
        <v>2213.19</v>
      </c>
      <c r="L12" s="41">
        <v>2213.19</v>
      </c>
      <c r="M12" s="41">
        <v>0</v>
      </c>
      <c r="O12" t="s">
        <v>26</v>
      </c>
      <c r="P12" t="s">
        <v>27</v>
      </c>
    </row>
    <row r="13" spans="1:16">
      <c r="A13" t="s">
        <v>74</v>
      </c>
      <c r="B13" t="s">
        <v>17</v>
      </c>
      <c r="C13" t="s">
        <v>18</v>
      </c>
      <c r="D13" t="s">
        <v>19</v>
      </c>
      <c r="E13" t="s">
        <v>75</v>
      </c>
      <c r="F13" t="s">
        <v>76</v>
      </c>
      <c r="G13" t="s">
        <v>22</v>
      </c>
      <c r="H13" t="s">
        <v>23</v>
      </c>
      <c r="I13" t="s">
        <v>77</v>
      </c>
      <c r="J13" t="s">
        <v>25</v>
      </c>
      <c r="K13" s="41">
        <v>253.49</v>
      </c>
      <c r="L13" s="41">
        <v>253.49</v>
      </c>
      <c r="M13" s="41">
        <v>0</v>
      </c>
      <c r="O13" t="s">
        <v>26</v>
      </c>
      <c r="P13" t="s">
        <v>27</v>
      </c>
    </row>
    <row r="14" spans="1:16">
      <c r="A14" t="s">
        <v>78</v>
      </c>
      <c r="B14" t="s">
        <v>17</v>
      </c>
      <c r="C14" t="s">
        <v>18</v>
      </c>
      <c r="D14" t="s">
        <v>19</v>
      </c>
      <c r="E14" t="s">
        <v>79</v>
      </c>
      <c r="F14" t="s">
        <v>80</v>
      </c>
      <c r="G14" t="s">
        <v>22</v>
      </c>
      <c r="H14" t="s">
        <v>23</v>
      </c>
      <c r="I14" t="s">
        <v>81</v>
      </c>
      <c r="J14" t="s">
        <v>25</v>
      </c>
      <c r="K14" s="41">
        <v>40.81</v>
      </c>
      <c r="L14" s="41">
        <v>40.81</v>
      </c>
      <c r="M14" s="41">
        <v>0</v>
      </c>
      <c r="O14" t="s">
        <v>26</v>
      </c>
      <c r="P14" t="s">
        <v>27</v>
      </c>
    </row>
    <row r="15" spans="1:16">
      <c r="A15" t="s">
        <v>82</v>
      </c>
      <c r="B15" t="s">
        <v>17</v>
      </c>
      <c r="C15" t="s">
        <v>18</v>
      </c>
      <c r="D15" t="s">
        <v>19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25</v>
      </c>
      <c r="K15" s="41">
        <v>1107.11</v>
      </c>
      <c r="L15" s="41">
        <v>1107.11</v>
      </c>
      <c r="M15" s="41">
        <v>0</v>
      </c>
      <c r="O15" t="s">
        <v>26</v>
      </c>
      <c r="P15" t="s">
        <v>27</v>
      </c>
    </row>
    <row r="16" spans="1:16">
      <c r="A16" t="s">
        <v>88</v>
      </c>
      <c r="B16" t="s">
        <v>17</v>
      </c>
      <c r="C16" t="s">
        <v>18</v>
      </c>
      <c r="D16" t="s">
        <v>19</v>
      </c>
      <c r="E16" t="s">
        <v>89</v>
      </c>
      <c r="F16" t="s">
        <v>90</v>
      </c>
      <c r="G16" t="s">
        <v>22</v>
      </c>
      <c r="H16" t="s">
        <v>23</v>
      </c>
      <c r="I16" t="s">
        <v>91</v>
      </c>
      <c r="J16" t="s">
        <v>25</v>
      </c>
      <c r="K16" s="41">
        <v>1654.62</v>
      </c>
      <c r="L16" s="41">
        <v>1654.62</v>
      </c>
      <c r="M16" s="41">
        <v>0</v>
      </c>
      <c r="O16" t="s">
        <v>26</v>
      </c>
      <c r="P16" t="s">
        <v>27</v>
      </c>
    </row>
    <row r="17" spans="1:16">
      <c r="A17" t="s">
        <v>92</v>
      </c>
      <c r="B17" t="s">
        <v>17</v>
      </c>
      <c r="C17" t="s">
        <v>18</v>
      </c>
      <c r="D17" t="s">
        <v>19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 t="s">
        <v>25</v>
      </c>
      <c r="K17" s="41">
        <v>2183.04</v>
      </c>
      <c r="L17" s="41">
        <v>2183.04</v>
      </c>
      <c r="M17" s="41">
        <v>0</v>
      </c>
      <c r="O17" t="s">
        <v>26</v>
      </c>
      <c r="P17" t="s">
        <v>27</v>
      </c>
    </row>
    <row r="18" spans="1:16">
      <c r="A18" t="s">
        <v>98</v>
      </c>
      <c r="B18" t="s">
        <v>17</v>
      </c>
      <c r="C18" t="s">
        <v>18</v>
      </c>
      <c r="D18" t="s">
        <v>19</v>
      </c>
      <c r="E18" t="s">
        <v>99</v>
      </c>
      <c r="F18" t="s">
        <v>100</v>
      </c>
      <c r="G18" t="s">
        <v>22</v>
      </c>
      <c r="H18" t="s">
        <v>23</v>
      </c>
      <c r="I18" t="s">
        <v>101</v>
      </c>
      <c r="J18" t="s">
        <v>25</v>
      </c>
      <c r="K18" s="41">
        <v>1459.09</v>
      </c>
      <c r="L18" s="41">
        <v>1459.09</v>
      </c>
      <c r="M18" s="41">
        <v>0</v>
      </c>
      <c r="O18" t="s">
        <v>26</v>
      </c>
      <c r="P18" t="s">
        <v>27</v>
      </c>
    </row>
    <row r="19" spans="1:16">
      <c r="A19" t="s">
        <v>102</v>
      </c>
      <c r="B19" t="s">
        <v>17</v>
      </c>
      <c r="C19" t="s">
        <v>18</v>
      </c>
      <c r="D19" t="s">
        <v>19</v>
      </c>
      <c r="E19" t="s">
        <v>103</v>
      </c>
      <c r="F19" t="s">
        <v>104</v>
      </c>
      <c r="G19" t="s">
        <v>95</v>
      </c>
      <c r="H19" t="s">
        <v>96</v>
      </c>
      <c r="I19" t="s">
        <v>65</v>
      </c>
      <c r="J19" t="s">
        <v>25</v>
      </c>
      <c r="K19" s="41">
        <v>2927.66</v>
      </c>
      <c r="L19" s="41">
        <v>2927.66</v>
      </c>
      <c r="M19" s="41">
        <v>0</v>
      </c>
      <c r="O19" t="s">
        <v>26</v>
      </c>
      <c r="P19" t="s">
        <v>27</v>
      </c>
    </row>
    <row r="20" spans="1:16">
      <c r="A20" t="s">
        <v>105</v>
      </c>
      <c r="B20" t="s">
        <v>106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107</v>
      </c>
      <c r="J20" t="s">
        <v>25</v>
      </c>
      <c r="K20" s="41">
        <v>752.16</v>
      </c>
      <c r="L20" s="41">
        <v>752.16</v>
      </c>
      <c r="M20" s="41">
        <v>0</v>
      </c>
      <c r="O20" t="s">
        <v>26</v>
      </c>
      <c r="P20" t="s">
        <v>27</v>
      </c>
    </row>
    <row r="21" spans="1:16">
      <c r="A21" t="s">
        <v>108</v>
      </c>
      <c r="B21" t="s">
        <v>106</v>
      </c>
      <c r="C21" t="s">
        <v>18</v>
      </c>
      <c r="D21" t="s">
        <v>19</v>
      </c>
      <c r="E21" t="s">
        <v>53</v>
      </c>
      <c r="F21" t="s">
        <v>54</v>
      </c>
      <c r="G21" t="s">
        <v>55</v>
      </c>
      <c r="H21" t="s">
        <v>56</v>
      </c>
      <c r="I21" t="s">
        <v>109</v>
      </c>
      <c r="J21" t="s">
        <v>25</v>
      </c>
      <c r="K21" s="41">
        <v>4502.94</v>
      </c>
      <c r="L21" s="41">
        <v>4502.94</v>
      </c>
      <c r="M21" s="41">
        <v>0</v>
      </c>
      <c r="O21" t="s">
        <v>26</v>
      </c>
      <c r="P21" t="s">
        <v>27</v>
      </c>
    </row>
    <row r="22" spans="1:16">
      <c r="A22" t="s">
        <v>110</v>
      </c>
      <c r="B22" t="s">
        <v>106</v>
      </c>
      <c r="C22" t="s">
        <v>18</v>
      </c>
      <c r="D22" t="s">
        <v>19</v>
      </c>
      <c r="E22" t="s">
        <v>59</v>
      </c>
      <c r="F22" t="s">
        <v>60</v>
      </c>
      <c r="G22" t="s">
        <v>22</v>
      </c>
      <c r="H22" t="s">
        <v>23</v>
      </c>
      <c r="I22" t="s">
        <v>111</v>
      </c>
      <c r="J22" t="s">
        <v>25</v>
      </c>
      <c r="K22" s="41">
        <v>4987.57</v>
      </c>
      <c r="L22" s="41">
        <v>4987.57</v>
      </c>
      <c r="M22" s="41">
        <v>0</v>
      </c>
      <c r="O22" t="s">
        <v>26</v>
      </c>
      <c r="P22" t="s">
        <v>27</v>
      </c>
    </row>
    <row r="23" spans="1:16">
      <c r="A23" t="s">
        <v>112</v>
      </c>
      <c r="B23" t="s">
        <v>106</v>
      </c>
      <c r="C23" t="s">
        <v>18</v>
      </c>
      <c r="D23" t="s">
        <v>19</v>
      </c>
      <c r="E23" t="s">
        <v>67</v>
      </c>
      <c r="F23" t="s">
        <v>68</v>
      </c>
      <c r="G23" t="s">
        <v>22</v>
      </c>
      <c r="H23" t="s">
        <v>23</v>
      </c>
      <c r="I23" t="s">
        <v>113</v>
      </c>
      <c r="J23" t="s">
        <v>25</v>
      </c>
      <c r="K23" s="41">
        <v>1000</v>
      </c>
      <c r="L23" s="41">
        <v>1000</v>
      </c>
      <c r="M23" s="41">
        <v>0</v>
      </c>
      <c r="O23" t="s">
        <v>26</v>
      </c>
      <c r="P23" t="s">
        <v>27</v>
      </c>
    </row>
    <row r="24" spans="1:16">
      <c r="A24" t="s">
        <v>114</v>
      </c>
      <c r="B24" t="s">
        <v>106</v>
      </c>
      <c r="C24" t="s">
        <v>18</v>
      </c>
      <c r="D24" t="s">
        <v>19</v>
      </c>
      <c r="E24" t="s">
        <v>71</v>
      </c>
      <c r="F24" t="s">
        <v>72</v>
      </c>
      <c r="G24" t="s">
        <v>22</v>
      </c>
      <c r="H24" t="s">
        <v>23</v>
      </c>
      <c r="I24" t="s">
        <v>115</v>
      </c>
      <c r="J24" t="s">
        <v>25</v>
      </c>
      <c r="K24" s="41">
        <v>1780.21</v>
      </c>
      <c r="L24" s="41">
        <v>1780.21</v>
      </c>
      <c r="M24" s="41">
        <v>0</v>
      </c>
      <c r="O24" t="s">
        <v>26</v>
      </c>
      <c r="P24" t="s">
        <v>27</v>
      </c>
    </row>
    <row r="25" spans="1:16">
      <c r="A25" t="s">
        <v>116</v>
      </c>
      <c r="B25" t="s">
        <v>106</v>
      </c>
      <c r="C25" t="s">
        <v>18</v>
      </c>
      <c r="D25" t="s">
        <v>19</v>
      </c>
      <c r="E25" t="s">
        <v>75</v>
      </c>
      <c r="F25" t="s">
        <v>76</v>
      </c>
      <c r="G25" t="s">
        <v>22</v>
      </c>
      <c r="H25" t="s">
        <v>23</v>
      </c>
      <c r="I25" t="s">
        <v>117</v>
      </c>
      <c r="J25" t="s">
        <v>25</v>
      </c>
      <c r="K25" s="41">
        <v>967.47</v>
      </c>
      <c r="L25" s="41">
        <v>967.47</v>
      </c>
      <c r="M25" s="41">
        <v>0</v>
      </c>
      <c r="O25" t="s">
        <v>26</v>
      </c>
      <c r="P25" t="s">
        <v>27</v>
      </c>
    </row>
    <row r="26" spans="1:16">
      <c r="A26" t="s">
        <v>118</v>
      </c>
      <c r="B26" t="s">
        <v>106</v>
      </c>
      <c r="C26" t="s">
        <v>18</v>
      </c>
      <c r="D26" t="s">
        <v>19</v>
      </c>
      <c r="E26" t="s">
        <v>79</v>
      </c>
      <c r="F26" t="s">
        <v>80</v>
      </c>
      <c r="G26" t="s">
        <v>22</v>
      </c>
      <c r="H26" t="s">
        <v>23</v>
      </c>
      <c r="I26" t="s">
        <v>119</v>
      </c>
      <c r="J26" t="s">
        <v>25</v>
      </c>
      <c r="K26" s="41">
        <v>36.82</v>
      </c>
      <c r="L26" s="41">
        <v>36.82</v>
      </c>
      <c r="M26" s="41">
        <v>0</v>
      </c>
      <c r="O26" t="s">
        <v>26</v>
      </c>
      <c r="P26" t="s">
        <v>27</v>
      </c>
    </row>
    <row r="27" spans="1:16">
      <c r="A27" t="s">
        <v>120</v>
      </c>
      <c r="B27" t="s">
        <v>106</v>
      </c>
      <c r="C27" t="s">
        <v>18</v>
      </c>
      <c r="D27" t="s">
        <v>19</v>
      </c>
      <c r="E27" t="s">
        <v>83</v>
      </c>
      <c r="F27" t="s">
        <v>84</v>
      </c>
      <c r="G27" t="s">
        <v>85</v>
      </c>
      <c r="H27" t="s">
        <v>86</v>
      </c>
      <c r="I27" t="s">
        <v>111</v>
      </c>
      <c r="J27" t="s">
        <v>25</v>
      </c>
      <c r="K27" s="41">
        <v>989.54</v>
      </c>
      <c r="L27" s="41">
        <v>989.54</v>
      </c>
      <c r="M27" s="41">
        <v>0</v>
      </c>
      <c r="O27" t="s">
        <v>26</v>
      </c>
      <c r="P27" t="s">
        <v>27</v>
      </c>
    </row>
    <row r="28" spans="1:16">
      <c r="A28" t="s">
        <v>121</v>
      </c>
      <c r="B28" t="s">
        <v>106</v>
      </c>
      <c r="C28" t="s">
        <v>18</v>
      </c>
      <c r="D28" t="s">
        <v>19</v>
      </c>
      <c r="E28" t="s">
        <v>89</v>
      </c>
      <c r="F28" t="s">
        <v>90</v>
      </c>
      <c r="G28" t="s">
        <v>22</v>
      </c>
      <c r="H28" t="s">
        <v>23</v>
      </c>
      <c r="I28" t="s">
        <v>111</v>
      </c>
      <c r="J28" t="s">
        <v>25</v>
      </c>
      <c r="K28" s="41">
        <v>1477.27</v>
      </c>
      <c r="L28" s="41">
        <v>1477.27</v>
      </c>
      <c r="M28" s="41">
        <v>0</v>
      </c>
      <c r="O28" t="s">
        <v>26</v>
      </c>
      <c r="P28" t="s">
        <v>27</v>
      </c>
    </row>
    <row r="29" spans="1:16">
      <c r="A29" t="s">
        <v>122</v>
      </c>
      <c r="B29" t="s">
        <v>106</v>
      </c>
      <c r="C29" t="s">
        <v>18</v>
      </c>
      <c r="D29" t="s">
        <v>19</v>
      </c>
      <c r="E29" t="s">
        <v>93</v>
      </c>
      <c r="F29" t="s">
        <v>94</v>
      </c>
      <c r="G29" t="s">
        <v>95</v>
      </c>
      <c r="H29" t="s">
        <v>96</v>
      </c>
      <c r="I29" t="s">
        <v>123</v>
      </c>
      <c r="J29" t="s">
        <v>25</v>
      </c>
      <c r="K29" s="41">
        <v>589.9</v>
      </c>
      <c r="L29" s="41">
        <v>589.9</v>
      </c>
      <c r="M29" s="41">
        <v>0</v>
      </c>
      <c r="O29" t="s">
        <v>26</v>
      </c>
      <c r="P29" t="s">
        <v>27</v>
      </c>
    </row>
    <row r="30" spans="1:16">
      <c r="A30" t="s">
        <v>124</v>
      </c>
      <c r="B30" t="s">
        <v>106</v>
      </c>
      <c r="C30" t="s">
        <v>18</v>
      </c>
      <c r="D30" t="s">
        <v>19</v>
      </c>
      <c r="E30" t="s">
        <v>99</v>
      </c>
      <c r="F30" t="s">
        <v>100</v>
      </c>
      <c r="G30" t="s">
        <v>22</v>
      </c>
      <c r="H30" t="s">
        <v>23</v>
      </c>
      <c r="I30" t="s">
        <v>115</v>
      </c>
      <c r="J30" t="s">
        <v>25</v>
      </c>
      <c r="K30" s="41">
        <v>1891.98</v>
      </c>
      <c r="L30" s="41">
        <v>1891.98</v>
      </c>
      <c r="M30" s="41">
        <v>0</v>
      </c>
      <c r="O30" t="s">
        <v>26</v>
      </c>
      <c r="P30" t="s">
        <v>27</v>
      </c>
    </row>
    <row r="31" spans="1:16">
      <c r="A31" t="s">
        <v>125</v>
      </c>
      <c r="B31" t="s">
        <v>126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127</v>
      </c>
      <c r="J31" t="s">
        <v>25</v>
      </c>
      <c r="K31" s="41">
        <v>578.25</v>
      </c>
      <c r="L31" s="41">
        <v>578.25</v>
      </c>
      <c r="M31" s="41">
        <v>0</v>
      </c>
      <c r="O31" t="s">
        <v>26</v>
      </c>
      <c r="P31" t="s">
        <v>27</v>
      </c>
    </row>
    <row r="32" spans="1:16">
      <c r="A32" t="s">
        <v>128</v>
      </c>
      <c r="B32" t="s">
        <v>126</v>
      </c>
      <c r="C32" t="s">
        <v>18</v>
      </c>
      <c r="D32" t="s">
        <v>19</v>
      </c>
      <c r="E32" t="s">
        <v>59</v>
      </c>
      <c r="F32" t="s">
        <v>60</v>
      </c>
      <c r="G32" t="s">
        <v>22</v>
      </c>
      <c r="H32" t="s">
        <v>23</v>
      </c>
      <c r="I32" t="s">
        <v>129</v>
      </c>
      <c r="J32" t="s">
        <v>25</v>
      </c>
      <c r="K32" s="41">
        <v>3974.61</v>
      </c>
      <c r="L32" s="41">
        <v>3974.61</v>
      </c>
      <c r="M32" s="41">
        <v>0</v>
      </c>
      <c r="O32" t="s">
        <v>26</v>
      </c>
      <c r="P32" t="s">
        <v>27</v>
      </c>
    </row>
    <row r="33" spans="1:16">
      <c r="A33" t="s">
        <v>130</v>
      </c>
      <c r="B33" t="s">
        <v>126</v>
      </c>
      <c r="C33" t="s">
        <v>18</v>
      </c>
      <c r="D33" t="s">
        <v>19</v>
      </c>
      <c r="E33" t="s">
        <v>71</v>
      </c>
      <c r="F33" t="s">
        <v>72</v>
      </c>
      <c r="G33" t="s">
        <v>22</v>
      </c>
      <c r="H33" t="s">
        <v>23</v>
      </c>
      <c r="I33" t="s">
        <v>131</v>
      </c>
      <c r="J33" t="s">
        <v>25</v>
      </c>
      <c r="K33" s="41">
        <v>1295.23</v>
      </c>
      <c r="L33" s="41">
        <v>1295.23</v>
      </c>
      <c r="M33" s="41">
        <v>0</v>
      </c>
      <c r="O33" t="s">
        <v>26</v>
      </c>
      <c r="P33" t="s">
        <v>27</v>
      </c>
    </row>
    <row r="34" spans="1:16">
      <c r="A34" t="s">
        <v>132</v>
      </c>
      <c r="B34" t="s">
        <v>126</v>
      </c>
      <c r="C34" t="s">
        <v>18</v>
      </c>
      <c r="D34" t="s">
        <v>19</v>
      </c>
      <c r="E34" t="s">
        <v>75</v>
      </c>
      <c r="F34" t="s">
        <v>76</v>
      </c>
      <c r="G34" t="s">
        <v>22</v>
      </c>
      <c r="H34" t="s">
        <v>23</v>
      </c>
      <c r="I34" t="s">
        <v>133</v>
      </c>
      <c r="J34" t="s">
        <v>25</v>
      </c>
      <c r="K34" s="41">
        <v>457.34</v>
      </c>
      <c r="L34" s="41">
        <v>457.34</v>
      </c>
      <c r="M34" s="41">
        <v>0</v>
      </c>
      <c r="O34" t="s">
        <v>26</v>
      </c>
      <c r="P34" t="s">
        <v>27</v>
      </c>
    </row>
    <row r="35" spans="1:16">
      <c r="A35" t="s">
        <v>134</v>
      </c>
      <c r="B35" t="s">
        <v>126</v>
      </c>
      <c r="C35" t="s">
        <v>18</v>
      </c>
      <c r="D35" t="s">
        <v>19</v>
      </c>
      <c r="E35" t="s">
        <v>79</v>
      </c>
      <c r="F35" t="s">
        <v>80</v>
      </c>
      <c r="G35" t="s">
        <v>22</v>
      </c>
      <c r="H35" t="s">
        <v>23</v>
      </c>
      <c r="I35" t="s">
        <v>135</v>
      </c>
      <c r="J35" t="s">
        <v>25</v>
      </c>
      <c r="K35" s="41">
        <v>29.38</v>
      </c>
      <c r="L35" s="41">
        <v>29.38</v>
      </c>
      <c r="M35" s="41">
        <v>0</v>
      </c>
      <c r="O35" t="s">
        <v>26</v>
      </c>
      <c r="P35" t="s">
        <v>27</v>
      </c>
    </row>
    <row r="36" spans="1:16">
      <c r="A36" t="s">
        <v>136</v>
      </c>
      <c r="B36" t="s">
        <v>126</v>
      </c>
      <c r="C36" t="s">
        <v>18</v>
      </c>
      <c r="D36" t="s">
        <v>19</v>
      </c>
      <c r="E36" t="s">
        <v>83</v>
      </c>
      <c r="F36" t="s">
        <v>84</v>
      </c>
      <c r="G36" t="s">
        <v>85</v>
      </c>
      <c r="H36" t="s">
        <v>86</v>
      </c>
      <c r="I36" t="s">
        <v>137</v>
      </c>
      <c r="J36" t="s">
        <v>25</v>
      </c>
      <c r="K36" s="41">
        <v>790.85</v>
      </c>
      <c r="L36" s="41">
        <v>790.85</v>
      </c>
      <c r="M36" s="41">
        <v>0</v>
      </c>
      <c r="O36" t="s">
        <v>26</v>
      </c>
      <c r="P36" t="s">
        <v>27</v>
      </c>
    </row>
    <row r="37" spans="1:16">
      <c r="A37" t="s">
        <v>138</v>
      </c>
      <c r="B37" t="s">
        <v>126</v>
      </c>
      <c r="C37" t="s">
        <v>18</v>
      </c>
      <c r="D37" t="s">
        <v>19</v>
      </c>
      <c r="E37" t="s">
        <v>89</v>
      </c>
      <c r="F37" t="s">
        <v>90</v>
      </c>
      <c r="G37" t="s">
        <v>22</v>
      </c>
      <c r="H37" t="s">
        <v>23</v>
      </c>
      <c r="I37" t="s">
        <v>137</v>
      </c>
      <c r="J37" t="s">
        <v>25</v>
      </c>
      <c r="K37" s="41">
        <v>1180.6</v>
      </c>
      <c r="L37" s="41">
        <v>1180.6</v>
      </c>
      <c r="M37" s="41">
        <v>0</v>
      </c>
      <c r="O37" t="s">
        <v>26</v>
      </c>
      <c r="P37" t="s">
        <v>27</v>
      </c>
    </row>
    <row r="38" spans="1:16">
      <c r="A38" t="s">
        <v>139</v>
      </c>
      <c r="B38" t="s">
        <v>126</v>
      </c>
      <c r="C38" t="s">
        <v>18</v>
      </c>
      <c r="D38" t="s">
        <v>19</v>
      </c>
      <c r="E38" t="s">
        <v>93</v>
      </c>
      <c r="F38" t="s">
        <v>94</v>
      </c>
      <c r="G38" t="s">
        <v>95</v>
      </c>
      <c r="H38" t="s">
        <v>96</v>
      </c>
      <c r="I38" t="s">
        <v>140</v>
      </c>
      <c r="J38" t="s">
        <v>25</v>
      </c>
      <c r="K38" s="41">
        <v>1745.59</v>
      </c>
      <c r="L38" s="41">
        <v>1745.59</v>
      </c>
      <c r="M38" s="41">
        <v>0</v>
      </c>
      <c r="O38" t="s">
        <v>26</v>
      </c>
      <c r="P38" t="s">
        <v>27</v>
      </c>
    </row>
    <row r="39" spans="1:16">
      <c r="A39" t="s">
        <v>141</v>
      </c>
      <c r="B39" t="s">
        <v>126</v>
      </c>
      <c r="C39" t="s">
        <v>18</v>
      </c>
      <c r="D39" t="s">
        <v>19</v>
      </c>
      <c r="E39" t="s">
        <v>99</v>
      </c>
      <c r="F39" t="s">
        <v>100</v>
      </c>
      <c r="G39" t="s">
        <v>22</v>
      </c>
      <c r="H39" t="s">
        <v>23</v>
      </c>
      <c r="I39" t="s">
        <v>131</v>
      </c>
      <c r="J39" t="s">
        <v>25</v>
      </c>
      <c r="K39" s="41">
        <v>2424.78</v>
      </c>
      <c r="L39" s="41">
        <v>2424.78</v>
      </c>
      <c r="M39" s="41">
        <v>0</v>
      </c>
      <c r="O39" t="s">
        <v>26</v>
      </c>
      <c r="P39" t="s">
        <v>27</v>
      </c>
    </row>
  </sheetData>
  <autoFilter xmlns:etc="http://www.wps.cn/officeDocument/2017/etCustomData" ref="A1:P3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9"/>
  <sheetViews>
    <sheetView tabSelected="1" workbookViewId="0">
      <selection activeCell="H26" sqref="H26"/>
    </sheetView>
  </sheetViews>
  <sheetFormatPr defaultColWidth="9" defaultRowHeight="13.5" outlineLevelCol="4"/>
  <cols>
    <col min="1" max="1" width="6.625" style="19" customWidth="1"/>
    <col min="2" max="2" width="28.75" style="19" customWidth="1"/>
    <col min="3" max="3" width="28.625" customWidth="1"/>
    <col min="4" max="4" width="21.625" style="19" customWidth="1"/>
    <col min="5" max="5" width="16.375" customWidth="1"/>
  </cols>
  <sheetData>
    <row r="1" ht="43" customHeight="1" spans="1:5">
      <c r="A1" s="30" t="s">
        <v>142</v>
      </c>
      <c r="B1" s="31"/>
      <c r="C1" s="31"/>
      <c r="D1" s="31"/>
      <c r="E1" s="31"/>
    </row>
    <row r="2" ht="30" customHeight="1" spans="1:5">
      <c r="A2" s="28" t="s">
        <v>143</v>
      </c>
      <c r="B2" s="32" t="s">
        <v>6</v>
      </c>
      <c r="C2" s="32" t="s">
        <v>5</v>
      </c>
      <c r="D2" s="32" t="s">
        <v>10</v>
      </c>
      <c r="E2" s="32" t="s">
        <v>144</v>
      </c>
    </row>
    <row r="3" ht="20" customHeight="1" spans="1:5">
      <c r="A3" s="33">
        <v>1</v>
      </c>
      <c r="B3" s="23" t="s">
        <v>22</v>
      </c>
      <c r="C3" s="20" t="s">
        <v>76</v>
      </c>
      <c r="D3" s="23">
        <v>1678.3</v>
      </c>
      <c r="E3" s="20"/>
    </row>
    <row r="4" ht="20" customHeight="1" spans="1:5">
      <c r="A4" s="34"/>
      <c r="B4" s="23"/>
      <c r="C4" s="20" t="s">
        <v>80</v>
      </c>
      <c r="D4" s="23">
        <v>107.01</v>
      </c>
      <c r="E4" s="20"/>
    </row>
    <row r="5" ht="20" customHeight="1" spans="1:5">
      <c r="A5" s="34"/>
      <c r="B5" s="23"/>
      <c r="C5" s="20" t="s">
        <v>46</v>
      </c>
      <c r="D5" s="23">
        <v>29.4</v>
      </c>
      <c r="E5" s="20"/>
    </row>
    <row r="6" ht="20" customHeight="1" spans="1:5">
      <c r="A6" s="34"/>
      <c r="B6" s="23"/>
      <c r="C6" s="20" t="s">
        <v>60</v>
      </c>
      <c r="D6" s="23">
        <v>14555.2</v>
      </c>
      <c r="E6" s="20"/>
    </row>
    <row r="7" ht="20" customHeight="1" spans="1:5">
      <c r="A7" s="34"/>
      <c r="B7" s="23"/>
      <c r="C7" s="20" t="s">
        <v>90</v>
      </c>
      <c r="D7" s="23">
        <v>4312.49</v>
      </c>
      <c r="E7" s="20"/>
    </row>
    <row r="8" ht="20" customHeight="1" spans="1:5">
      <c r="A8" s="34"/>
      <c r="B8" s="23"/>
      <c r="C8" s="20" t="s">
        <v>68</v>
      </c>
      <c r="D8" s="23">
        <v>4000</v>
      </c>
      <c r="E8" s="20"/>
    </row>
    <row r="9" ht="20" customHeight="1" spans="1:5">
      <c r="A9" s="34"/>
      <c r="B9" s="23"/>
      <c r="C9" s="20" t="s">
        <v>72</v>
      </c>
      <c r="D9" s="23">
        <v>5288.63</v>
      </c>
      <c r="E9" s="20"/>
    </row>
    <row r="10" ht="20" customHeight="1" spans="1:5">
      <c r="A10" s="34"/>
      <c r="B10" s="23"/>
      <c r="C10" s="20" t="s">
        <v>100</v>
      </c>
      <c r="D10" s="23">
        <v>5775.85</v>
      </c>
      <c r="E10" s="20"/>
    </row>
    <row r="11" ht="20" customHeight="1" spans="1:5">
      <c r="A11" s="34"/>
      <c r="B11" s="23"/>
      <c r="C11" s="20" t="s">
        <v>21</v>
      </c>
      <c r="D11" s="23">
        <v>1888.25</v>
      </c>
      <c r="E11" s="20"/>
    </row>
    <row r="12" ht="20" customHeight="1" spans="1:5">
      <c r="A12" s="34"/>
      <c r="B12" s="23"/>
      <c r="C12" s="20" t="s">
        <v>50</v>
      </c>
      <c r="D12" s="23">
        <v>750.72</v>
      </c>
      <c r="E12" s="20"/>
    </row>
    <row r="13" ht="20" customHeight="1" spans="1:5">
      <c r="A13" s="35"/>
      <c r="B13" s="36" t="s">
        <v>145</v>
      </c>
      <c r="C13" s="37"/>
      <c r="D13" s="36">
        <v>38385.85</v>
      </c>
      <c r="E13" s="38" t="s">
        <v>146</v>
      </c>
    </row>
    <row r="14" ht="20" customHeight="1" spans="1:5">
      <c r="A14" s="33">
        <v>2</v>
      </c>
      <c r="B14" s="23" t="s">
        <v>37</v>
      </c>
      <c r="C14" s="20" t="s">
        <v>36</v>
      </c>
      <c r="D14" s="23">
        <v>1280</v>
      </c>
      <c r="E14" s="20"/>
    </row>
    <row r="15" ht="20" customHeight="1" spans="1:5">
      <c r="A15" s="34"/>
      <c r="B15" s="23"/>
      <c r="C15" s="20" t="s">
        <v>64</v>
      </c>
      <c r="D15" s="23">
        <v>350.4</v>
      </c>
      <c r="E15" s="20"/>
    </row>
    <row r="16" ht="20" customHeight="1" spans="1:5">
      <c r="A16" s="34"/>
      <c r="B16" s="23"/>
      <c r="C16" s="20" t="s">
        <v>42</v>
      </c>
      <c r="D16" s="23">
        <v>1132.74</v>
      </c>
      <c r="E16" s="20"/>
    </row>
    <row r="17" s="29" customFormat="1" ht="20" customHeight="1" spans="1:5">
      <c r="A17" s="35"/>
      <c r="B17" s="36" t="s">
        <v>147</v>
      </c>
      <c r="C17" s="37"/>
      <c r="D17" s="36">
        <v>2763.14</v>
      </c>
      <c r="E17" s="38" t="s">
        <v>148</v>
      </c>
    </row>
    <row r="18" ht="20" customHeight="1" spans="1:5">
      <c r="A18" s="33">
        <v>3</v>
      </c>
      <c r="B18" s="23" t="s">
        <v>95</v>
      </c>
      <c r="C18" s="20" t="s">
        <v>104</v>
      </c>
      <c r="D18" s="23">
        <v>2927.66</v>
      </c>
      <c r="E18" s="20"/>
    </row>
    <row r="19" ht="20" customHeight="1" spans="1:5">
      <c r="A19" s="34"/>
      <c r="B19" s="23"/>
      <c r="C19" s="20" t="s">
        <v>94</v>
      </c>
      <c r="D19" s="23">
        <v>4518.53</v>
      </c>
      <c r="E19" s="20"/>
    </row>
    <row r="20" s="29" customFormat="1" ht="20" customHeight="1" spans="1:5">
      <c r="A20" s="35"/>
      <c r="B20" s="36" t="s">
        <v>149</v>
      </c>
      <c r="C20" s="37"/>
      <c r="D20" s="36">
        <v>7446.19</v>
      </c>
      <c r="E20" s="38" t="s">
        <v>148</v>
      </c>
    </row>
    <row r="21" ht="20" customHeight="1" spans="1:5">
      <c r="A21" s="33">
        <v>4</v>
      </c>
      <c r="B21" s="23" t="s">
        <v>55</v>
      </c>
      <c r="C21" s="20" t="s">
        <v>54</v>
      </c>
      <c r="D21" s="23">
        <v>9020.37</v>
      </c>
      <c r="E21" s="20"/>
    </row>
    <row r="22" s="29" customFormat="1" ht="20" customHeight="1" spans="1:5">
      <c r="A22" s="35"/>
      <c r="B22" s="36" t="s">
        <v>150</v>
      </c>
      <c r="C22" s="37"/>
      <c r="D22" s="36">
        <v>9020.37</v>
      </c>
      <c r="E22" s="38" t="s">
        <v>151</v>
      </c>
    </row>
    <row r="23" ht="20" customHeight="1" spans="1:5">
      <c r="A23" s="33">
        <v>5</v>
      </c>
      <c r="B23" s="23" t="s">
        <v>31</v>
      </c>
      <c r="C23" s="20" t="s">
        <v>30</v>
      </c>
      <c r="D23" s="23">
        <v>555</v>
      </c>
      <c r="E23" s="20"/>
    </row>
    <row r="24" s="29" customFormat="1" ht="20" customHeight="1" spans="1:5">
      <c r="A24" s="35"/>
      <c r="B24" s="36" t="s">
        <v>152</v>
      </c>
      <c r="C24" s="37"/>
      <c r="D24" s="36">
        <v>555</v>
      </c>
      <c r="E24" s="38" t="s">
        <v>153</v>
      </c>
    </row>
    <row r="25" ht="20" customHeight="1" spans="1:5">
      <c r="A25" s="33">
        <v>6</v>
      </c>
      <c r="B25" s="23" t="s">
        <v>85</v>
      </c>
      <c r="C25" s="20" t="s">
        <v>84</v>
      </c>
      <c r="D25" s="23">
        <v>2887.5</v>
      </c>
      <c r="E25" s="20"/>
    </row>
    <row r="26" ht="20" customHeight="1" spans="1:5">
      <c r="A26" s="35"/>
      <c r="B26" s="36" t="s">
        <v>154</v>
      </c>
      <c r="C26" s="37"/>
      <c r="D26" s="36">
        <v>2887.5</v>
      </c>
      <c r="E26" s="38" t="s">
        <v>151</v>
      </c>
    </row>
    <row r="27" ht="26" customHeight="1" spans="1:5">
      <c r="A27" s="39"/>
      <c r="B27" s="39" t="s">
        <v>155</v>
      </c>
      <c r="C27" s="40"/>
      <c r="D27" s="39">
        <v>61058.05</v>
      </c>
      <c r="E27" s="40"/>
    </row>
    <row r="28" ht="20" customHeight="1"/>
    <row r="29" ht="20" customHeight="1"/>
  </sheetData>
  <mergeCells count="10">
    <mergeCell ref="A1:E1"/>
    <mergeCell ref="A3:A13"/>
    <mergeCell ref="A14:A17"/>
    <mergeCell ref="A18:A20"/>
    <mergeCell ref="A21:A22"/>
    <mergeCell ref="A23:A24"/>
    <mergeCell ref="A25:A26"/>
    <mergeCell ref="B3:B12"/>
    <mergeCell ref="B14:B16"/>
    <mergeCell ref="B18:B19"/>
  </mergeCells>
  <printOptions horizontalCentered="1"/>
  <pageMargins left="0.393055555555556" right="0.393055555555556" top="1" bottom="1" header="0.5" footer="0.5"/>
  <pageSetup paperSize="9" scale="95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2"/>
  <sheetViews>
    <sheetView topLeftCell="B18" workbookViewId="0">
      <selection activeCell="J8" sqref="J8"/>
    </sheetView>
  </sheetViews>
  <sheetFormatPr defaultColWidth="9" defaultRowHeight="13.5" outlineLevelCol="6"/>
  <cols>
    <col min="1" max="1" width="23.75" hidden="1" customWidth="1"/>
    <col min="2" max="2" width="22.625" style="19" customWidth="1"/>
    <col min="3" max="3" width="16.375" style="19" customWidth="1"/>
    <col min="4" max="4" width="27.125" customWidth="1"/>
    <col min="5" max="5" width="17.125" style="19" customWidth="1"/>
    <col min="6" max="6" width="16.625" style="19" customWidth="1"/>
    <col min="7" max="7" width="15.5" style="19" customWidth="1"/>
  </cols>
  <sheetData>
    <row r="1" ht="38" customHeight="1" spans="1:7">
      <c r="A1" s="20"/>
      <c r="B1" s="21" t="s">
        <v>142</v>
      </c>
      <c r="C1" s="22"/>
      <c r="D1" s="22"/>
      <c r="E1" s="22"/>
      <c r="F1" s="22"/>
      <c r="G1" s="22"/>
    </row>
    <row r="2" s="19" customFormat="1" ht="28" customHeight="1" spans="1:7">
      <c r="A2" s="23" t="s">
        <v>0</v>
      </c>
      <c r="B2" s="23" t="s">
        <v>1</v>
      </c>
      <c r="C2" s="24" t="s">
        <v>156</v>
      </c>
      <c r="D2" s="23" t="s">
        <v>5</v>
      </c>
      <c r="E2" s="23" t="s">
        <v>6</v>
      </c>
      <c r="F2" s="24" t="s">
        <v>157</v>
      </c>
      <c r="G2" s="23" t="s">
        <v>10</v>
      </c>
    </row>
    <row r="3" ht="20" customHeight="1" spans="1:7">
      <c r="A3" s="20" t="s">
        <v>16</v>
      </c>
      <c r="B3" s="23" t="s">
        <v>17</v>
      </c>
      <c r="C3" s="25">
        <v>46266</v>
      </c>
      <c r="D3" s="20" t="s">
        <v>21</v>
      </c>
      <c r="E3" s="23" t="s">
        <v>22</v>
      </c>
      <c r="F3" s="26">
        <v>46256</v>
      </c>
      <c r="G3" s="27">
        <v>557.84</v>
      </c>
    </row>
    <row r="4" ht="20" customHeight="1" spans="1:7">
      <c r="A4" s="20" t="s">
        <v>28</v>
      </c>
      <c r="B4" s="23" t="s">
        <v>17</v>
      </c>
      <c r="C4" s="25">
        <v>46266</v>
      </c>
      <c r="D4" s="20" t="s">
        <v>30</v>
      </c>
      <c r="E4" s="23" t="s">
        <v>31</v>
      </c>
      <c r="F4" s="26">
        <v>46235</v>
      </c>
      <c r="G4" s="27">
        <v>555</v>
      </c>
    </row>
    <row r="5" ht="20" customHeight="1" spans="1:7">
      <c r="A5" s="20" t="s">
        <v>34</v>
      </c>
      <c r="B5" s="23" t="s">
        <v>17</v>
      </c>
      <c r="C5" s="25">
        <v>46266</v>
      </c>
      <c r="D5" s="20" t="s">
        <v>36</v>
      </c>
      <c r="E5" s="23" t="s">
        <v>37</v>
      </c>
      <c r="F5" s="26">
        <v>46235</v>
      </c>
      <c r="G5" s="27">
        <v>1280</v>
      </c>
    </row>
    <row r="6" ht="20" customHeight="1" spans="1:7">
      <c r="A6" s="20" t="s">
        <v>40</v>
      </c>
      <c r="B6" s="23" t="s">
        <v>17</v>
      </c>
      <c r="C6" s="25">
        <v>46266</v>
      </c>
      <c r="D6" s="20" t="s">
        <v>42</v>
      </c>
      <c r="E6" s="23" t="s">
        <v>37</v>
      </c>
      <c r="F6" s="26">
        <v>46234</v>
      </c>
      <c r="G6" s="27">
        <v>1132.74</v>
      </c>
    </row>
    <row r="7" ht="20" customHeight="1" spans="1:7">
      <c r="A7" s="20" t="s">
        <v>44</v>
      </c>
      <c r="B7" s="23" t="s">
        <v>17</v>
      </c>
      <c r="C7" s="25">
        <v>46266</v>
      </c>
      <c r="D7" s="20" t="s">
        <v>46</v>
      </c>
      <c r="E7" s="23" t="s">
        <v>22</v>
      </c>
      <c r="F7" s="26">
        <v>46249</v>
      </c>
      <c r="G7" s="27">
        <v>29.4</v>
      </c>
    </row>
    <row r="8" ht="20" customHeight="1" spans="1:7">
      <c r="A8" s="20" t="s">
        <v>48</v>
      </c>
      <c r="B8" s="23" t="s">
        <v>17</v>
      </c>
      <c r="C8" s="25">
        <v>46266</v>
      </c>
      <c r="D8" s="20" t="s">
        <v>50</v>
      </c>
      <c r="E8" s="23" t="s">
        <v>22</v>
      </c>
      <c r="F8" s="26">
        <v>46259</v>
      </c>
      <c r="G8" s="27">
        <v>750.72</v>
      </c>
    </row>
    <row r="9" ht="20" customHeight="1" spans="1:7">
      <c r="A9" s="20" t="s">
        <v>52</v>
      </c>
      <c r="B9" s="23" t="s">
        <v>17</v>
      </c>
      <c r="C9" s="25">
        <v>46266</v>
      </c>
      <c r="D9" s="20" t="s">
        <v>54</v>
      </c>
      <c r="E9" s="23" t="s">
        <v>55</v>
      </c>
      <c r="F9" s="26">
        <v>46261</v>
      </c>
      <c r="G9" s="27">
        <v>4517.43</v>
      </c>
    </row>
    <row r="10" ht="20" customHeight="1" spans="1:7">
      <c r="A10" s="20" t="s">
        <v>58</v>
      </c>
      <c r="B10" s="23" t="s">
        <v>17</v>
      </c>
      <c r="C10" s="25">
        <v>46266</v>
      </c>
      <c r="D10" s="20" t="s">
        <v>60</v>
      </c>
      <c r="E10" s="23" t="s">
        <v>22</v>
      </c>
      <c r="F10" s="26">
        <v>46255</v>
      </c>
      <c r="G10" s="27">
        <v>5593.02</v>
      </c>
    </row>
    <row r="11" ht="20" customHeight="1" spans="1:7">
      <c r="A11" s="20" t="s">
        <v>62</v>
      </c>
      <c r="B11" s="23" t="s">
        <v>17</v>
      </c>
      <c r="C11" s="25">
        <v>46266</v>
      </c>
      <c r="D11" s="20" t="s">
        <v>64</v>
      </c>
      <c r="E11" s="23" t="s">
        <v>37</v>
      </c>
      <c r="F11" s="26">
        <v>46235</v>
      </c>
      <c r="G11" s="27">
        <v>350.4</v>
      </c>
    </row>
    <row r="12" ht="20" customHeight="1" spans="1:7">
      <c r="A12" s="20" t="s">
        <v>66</v>
      </c>
      <c r="B12" s="23" t="s">
        <v>17</v>
      </c>
      <c r="C12" s="25">
        <v>46266</v>
      </c>
      <c r="D12" s="20" t="s">
        <v>68</v>
      </c>
      <c r="E12" s="23" t="s">
        <v>22</v>
      </c>
      <c r="F12" s="26">
        <v>46259</v>
      </c>
      <c r="G12" s="27">
        <v>3000</v>
      </c>
    </row>
    <row r="13" ht="20" customHeight="1" spans="1:7">
      <c r="A13" s="20" t="s">
        <v>70</v>
      </c>
      <c r="B13" s="23" t="s">
        <v>17</v>
      </c>
      <c r="C13" s="25">
        <v>46266</v>
      </c>
      <c r="D13" s="20" t="s">
        <v>72</v>
      </c>
      <c r="E13" s="23" t="s">
        <v>22</v>
      </c>
      <c r="F13" s="26">
        <v>46255</v>
      </c>
      <c r="G13" s="27">
        <v>2213.19</v>
      </c>
    </row>
    <row r="14" ht="20" customHeight="1" spans="1:7">
      <c r="A14" s="20" t="s">
        <v>74</v>
      </c>
      <c r="B14" s="23" t="s">
        <v>17</v>
      </c>
      <c r="C14" s="25">
        <v>46266</v>
      </c>
      <c r="D14" s="20" t="s">
        <v>76</v>
      </c>
      <c r="E14" s="23" t="s">
        <v>22</v>
      </c>
      <c r="F14" s="26">
        <v>46256</v>
      </c>
      <c r="G14" s="27">
        <v>253.49</v>
      </c>
    </row>
    <row r="15" ht="20" customHeight="1" spans="1:7">
      <c r="A15" s="20" t="s">
        <v>78</v>
      </c>
      <c r="B15" s="23" t="s">
        <v>17</v>
      </c>
      <c r="C15" s="25">
        <v>46266</v>
      </c>
      <c r="D15" s="20" t="s">
        <v>80</v>
      </c>
      <c r="E15" s="23" t="s">
        <v>22</v>
      </c>
      <c r="F15" s="26">
        <v>46255</v>
      </c>
      <c r="G15" s="27">
        <v>40.81</v>
      </c>
    </row>
    <row r="16" ht="20" customHeight="1" spans="1:7">
      <c r="A16" s="20" t="s">
        <v>82</v>
      </c>
      <c r="B16" s="23" t="s">
        <v>17</v>
      </c>
      <c r="C16" s="25">
        <v>46266</v>
      </c>
      <c r="D16" s="20" t="s">
        <v>84</v>
      </c>
      <c r="E16" s="23" t="s">
        <v>85</v>
      </c>
      <c r="F16" s="26">
        <v>46256</v>
      </c>
      <c r="G16" s="27">
        <v>1107.11</v>
      </c>
    </row>
    <row r="17" ht="20" customHeight="1" spans="1:7">
      <c r="A17" s="20" t="s">
        <v>88</v>
      </c>
      <c r="B17" s="23" t="s">
        <v>17</v>
      </c>
      <c r="C17" s="25">
        <v>46266</v>
      </c>
      <c r="D17" s="20" t="s">
        <v>90</v>
      </c>
      <c r="E17" s="23" t="s">
        <v>22</v>
      </c>
      <c r="F17" s="26">
        <v>46255</v>
      </c>
      <c r="G17" s="27">
        <v>1654.62</v>
      </c>
    </row>
    <row r="18" ht="20" customHeight="1" spans="1:7">
      <c r="A18" s="20" t="s">
        <v>92</v>
      </c>
      <c r="B18" s="23" t="s">
        <v>17</v>
      </c>
      <c r="C18" s="25">
        <v>46266</v>
      </c>
      <c r="D18" s="20" t="s">
        <v>94</v>
      </c>
      <c r="E18" s="23" t="s">
        <v>95</v>
      </c>
      <c r="F18" s="26">
        <v>46256</v>
      </c>
      <c r="G18" s="27">
        <v>2183.04</v>
      </c>
    </row>
    <row r="19" ht="20" customHeight="1" spans="1:7">
      <c r="A19" s="20" t="s">
        <v>98</v>
      </c>
      <c r="B19" s="23" t="s">
        <v>17</v>
      </c>
      <c r="C19" s="25">
        <v>46266</v>
      </c>
      <c r="D19" s="20" t="s">
        <v>100</v>
      </c>
      <c r="E19" s="23" t="s">
        <v>22</v>
      </c>
      <c r="F19" s="26">
        <v>46255</v>
      </c>
      <c r="G19" s="27">
        <v>1459.09</v>
      </c>
    </row>
    <row r="20" ht="20" customHeight="1" spans="1:7">
      <c r="A20" s="20" t="s">
        <v>102</v>
      </c>
      <c r="B20" s="23" t="s">
        <v>17</v>
      </c>
      <c r="C20" s="25">
        <v>46266</v>
      </c>
      <c r="D20" s="20" t="s">
        <v>104</v>
      </c>
      <c r="E20" s="23" t="s">
        <v>95</v>
      </c>
      <c r="F20" s="26">
        <v>46235</v>
      </c>
      <c r="G20" s="27">
        <v>2927.66</v>
      </c>
    </row>
    <row r="21" ht="20" customHeight="1" spans="1:7">
      <c r="A21" s="20" t="s">
        <v>105</v>
      </c>
      <c r="B21" s="23" t="s">
        <v>106</v>
      </c>
      <c r="C21" s="25">
        <v>46255</v>
      </c>
      <c r="D21" s="20" t="s">
        <v>21</v>
      </c>
      <c r="E21" s="23" t="s">
        <v>22</v>
      </c>
      <c r="F21" s="26">
        <v>46245</v>
      </c>
      <c r="G21" s="27">
        <v>752.16</v>
      </c>
    </row>
    <row r="22" ht="20" customHeight="1" spans="1:7">
      <c r="A22" s="20" t="s">
        <v>108</v>
      </c>
      <c r="B22" s="23" t="s">
        <v>106</v>
      </c>
      <c r="C22" s="25">
        <v>46255</v>
      </c>
      <c r="D22" s="20" t="s">
        <v>54</v>
      </c>
      <c r="E22" s="23" t="s">
        <v>55</v>
      </c>
      <c r="F22" s="26">
        <v>46249</v>
      </c>
      <c r="G22" s="27">
        <v>4502.94</v>
      </c>
    </row>
    <row r="23" ht="20" customHeight="1" spans="1:7">
      <c r="A23" s="20" t="s">
        <v>110</v>
      </c>
      <c r="B23" s="23" t="s">
        <v>106</v>
      </c>
      <c r="C23" s="25">
        <v>46255</v>
      </c>
      <c r="D23" s="20" t="s">
        <v>60</v>
      </c>
      <c r="E23" s="23" t="s">
        <v>22</v>
      </c>
      <c r="F23" s="26">
        <v>46245</v>
      </c>
      <c r="G23" s="27">
        <v>4987.57</v>
      </c>
    </row>
    <row r="24" ht="20" customHeight="1" spans="1:7">
      <c r="A24" s="20" t="s">
        <v>112</v>
      </c>
      <c r="B24" s="23" t="s">
        <v>106</v>
      </c>
      <c r="C24" s="25">
        <v>46255</v>
      </c>
      <c r="D24" s="20" t="s">
        <v>68</v>
      </c>
      <c r="E24" s="23" t="s">
        <v>22</v>
      </c>
      <c r="F24" s="26">
        <v>46249</v>
      </c>
      <c r="G24" s="27">
        <v>1000</v>
      </c>
    </row>
    <row r="25" ht="20" customHeight="1" spans="1:7">
      <c r="A25" s="20" t="s">
        <v>114</v>
      </c>
      <c r="B25" s="23" t="s">
        <v>106</v>
      </c>
      <c r="C25" s="25">
        <v>46255</v>
      </c>
      <c r="D25" s="20" t="s">
        <v>72</v>
      </c>
      <c r="E25" s="23" t="s">
        <v>22</v>
      </c>
      <c r="F25" s="26">
        <v>46246</v>
      </c>
      <c r="G25" s="27">
        <v>1780.21</v>
      </c>
    </row>
    <row r="26" ht="20" customHeight="1" spans="1:7">
      <c r="A26" s="20" t="s">
        <v>116</v>
      </c>
      <c r="B26" s="23" t="s">
        <v>106</v>
      </c>
      <c r="C26" s="25">
        <v>46255</v>
      </c>
      <c r="D26" s="20" t="s">
        <v>76</v>
      </c>
      <c r="E26" s="23" t="s">
        <v>22</v>
      </c>
      <c r="F26" s="26">
        <v>46245</v>
      </c>
      <c r="G26" s="27">
        <v>967.47</v>
      </c>
    </row>
    <row r="27" ht="20" customHeight="1" spans="1:7">
      <c r="A27" s="20" t="s">
        <v>118</v>
      </c>
      <c r="B27" s="23" t="s">
        <v>106</v>
      </c>
      <c r="C27" s="25">
        <v>46255</v>
      </c>
      <c r="D27" s="20" t="s">
        <v>80</v>
      </c>
      <c r="E27" s="23" t="s">
        <v>22</v>
      </c>
      <c r="F27" s="26">
        <v>46246</v>
      </c>
      <c r="G27" s="27">
        <v>36.82</v>
      </c>
    </row>
    <row r="28" ht="20" customHeight="1" spans="1:7">
      <c r="A28" s="20" t="s">
        <v>120</v>
      </c>
      <c r="B28" s="23" t="s">
        <v>106</v>
      </c>
      <c r="C28" s="25">
        <v>46255</v>
      </c>
      <c r="D28" s="20" t="s">
        <v>84</v>
      </c>
      <c r="E28" s="23" t="s">
        <v>85</v>
      </c>
      <c r="F28" s="26">
        <v>46245</v>
      </c>
      <c r="G28" s="27">
        <v>989.54</v>
      </c>
    </row>
    <row r="29" ht="20" customHeight="1" spans="1:7">
      <c r="A29" s="20" t="s">
        <v>121</v>
      </c>
      <c r="B29" s="23" t="s">
        <v>106</v>
      </c>
      <c r="C29" s="25">
        <v>46255</v>
      </c>
      <c r="D29" s="20" t="s">
        <v>90</v>
      </c>
      <c r="E29" s="23" t="s">
        <v>22</v>
      </c>
      <c r="F29" s="26">
        <v>46245</v>
      </c>
      <c r="G29" s="27">
        <v>1477.27</v>
      </c>
    </row>
    <row r="30" ht="20" customHeight="1" spans="1:7">
      <c r="A30" s="20" t="s">
        <v>122</v>
      </c>
      <c r="B30" s="23" t="s">
        <v>106</v>
      </c>
      <c r="C30" s="25">
        <v>46255</v>
      </c>
      <c r="D30" s="20" t="s">
        <v>94</v>
      </c>
      <c r="E30" s="23" t="s">
        <v>95</v>
      </c>
      <c r="F30" s="26">
        <v>46249</v>
      </c>
      <c r="G30" s="27">
        <v>589.9</v>
      </c>
    </row>
    <row r="31" ht="20" customHeight="1" spans="1:7">
      <c r="A31" s="20" t="s">
        <v>124</v>
      </c>
      <c r="B31" s="23" t="s">
        <v>106</v>
      </c>
      <c r="C31" s="25">
        <v>46255</v>
      </c>
      <c r="D31" s="20" t="s">
        <v>100</v>
      </c>
      <c r="E31" s="23" t="s">
        <v>22</v>
      </c>
      <c r="F31" s="26">
        <v>46246</v>
      </c>
      <c r="G31" s="27">
        <v>1891.98</v>
      </c>
    </row>
    <row r="32" ht="20" customHeight="1" spans="1:7">
      <c r="A32" s="20" t="s">
        <v>125</v>
      </c>
      <c r="B32" s="23" t="s">
        <v>126</v>
      </c>
      <c r="C32" s="25">
        <v>46245</v>
      </c>
      <c r="D32" s="20" t="s">
        <v>21</v>
      </c>
      <c r="E32" s="23" t="s">
        <v>22</v>
      </c>
      <c r="F32" s="26">
        <v>46235</v>
      </c>
      <c r="G32" s="27">
        <v>578.25</v>
      </c>
    </row>
    <row r="33" ht="20" customHeight="1" spans="1:7">
      <c r="A33" s="20" t="s">
        <v>128</v>
      </c>
      <c r="B33" s="23" t="s">
        <v>126</v>
      </c>
      <c r="C33" s="25">
        <v>46245</v>
      </c>
      <c r="D33" s="20" t="s">
        <v>60</v>
      </c>
      <c r="E33" s="23" t="s">
        <v>22</v>
      </c>
      <c r="F33" s="26">
        <v>46235</v>
      </c>
      <c r="G33" s="27">
        <v>3974.61</v>
      </c>
    </row>
    <row r="34" ht="20" customHeight="1" spans="1:7">
      <c r="A34" s="20" t="s">
        <v>130</v>
      </c>
      <c r="B34" s="23" t="s">
        <v>126</v>
      </c>
      <c r="C34" s="25">
        <v>46245</v>
      </c>
      <c r="D34" s="20" t="s">
        <v>72</v>
      </c>
      <c r="E34" s="23" t="s">
        <v>22</v>
      </c>
      <c r="F34" s="26">
        <v>46237</v>
      </c>
      <c r="G34" s="27">
        <v>1295.23</v>
      </c>
    </row>
    <row r="35" ht="20" customHeight="1" spans="1:7">
      <c r="A35" s="20" t="s">
        <v>132</v>
      </c>
      <c r="B35" s="23" t="s">
        <v>126</v>
      </c>
      <c r="C35" s="25">
        <v>46245</v>
      </c>
      <c r="D35" s="20" t="s">
        <v>76</v>
      </c>
      <c r="E35" s="23" t="s">
        <v>22</v>
      </c>
      <c r="F35" s="26">
        <v>46235</v>
      </c>
      <c r="G35" s="27">
        <v>457.34</v>
      </c>
    </row>
    <row r="36" ht="20" customHeight="1" spans="1:7">
      <c r="A36" s="20" t="s">
        <v>134</v>
      </c>
      <c r="B36" s="23" t="s">
        <v>126</v>
      </c>
      <c r="C36" s="25">
        <v>46245</v>
      </c>
      <c r="D36" s="20" t="s">
        <v>80</v>
      </c>
      <c r="E36" s="23" t="s">
        <v>22</v>
      </c>
      <c r="F36" s="26">
        <v>46237</v>
      </c>
      <c r="G36" s="27">
        <v>29.38</v>
      </c>
    </row>
    <row r="37" ht="20" customHeight="1" spans="1:7">
      <c r="A37" s="20" t="s">
        <v>136</v>
      </c>
      <c r="B37" s="23" t="s">
        <v>126</v>
      </c>
      <c r="C37" s="25">
        <v>46245</v>
      </c>
      <c r="D37" s="20" t="s">
        <v>84</v>
      </c>
      <c r="E37" s="23" t="s">
        <v>85</v>
      </c>
      <c r="F37" s="26">
        <v>46235</v>
      </c>
      <c r="G37" s="27">
        <v>790.85</v>
      </c>
    </row>
    <row r="38" ht="20" customHeight="1" spans="1:7">
      <c r="A38" s="20" t="s">
        <v>138</v>
      </c>
      <c r="B38" s="23" t="s">
        <v>126</v>
      </c>
      <c r="C38" s="25">
        <v>46245</v>
      </c>
      <c r="D38" s="20" t="s">
        <v>90</v>
      </c>
      <c r="E38" s="23" t="s">
        <v>22</v>
      </c>
      <c r="F38" s="26">
        <v>46235</v>
      </c>
      <c r="G38" s="27">
        <v>1180.6</v>
      </c>
    </row>
    <row r="39" ht="20" customHeight="1" spans="1:7">
      <c r="A39" s="20" t="s">
        <v>139</v>
      </c>
      <c r="B39" s="23" t="s">
        <v>126</v>
      </c>
      <c r="C39" s="25">
        <v>46245</v>
      </c>
      <c r="D39" s="20" t="s">
        <v>94</v>
      </c>
      <c r="E39" s="23" t="s">
        <v>95</v>
      </c>
      <c r="F39" s="26">
        <v>46235</v>
      </c>
      <c r="G39" s="27">
        <v>1745.59</v>
      </c>
    </row>
    <row r="40" ht="20" customHeight="1" spans="1:7">
      <c r="A40" s="20" t="s">
        <v>141</v>
      </c>
      <c r="B40" s="23" t="s">
        <v>126</v>
      </c>
      <c r="C40" s="25">
        <v>46245</v>
      </c>
      <c r="D40" s="20" t="s">
        <v>100</v>
      </c>
      <c r="E40" s="23" t="s">
        <v>22</v>
      </c>
      <c r="F40" s="26">
        <v>46237</v>
      </c>
      <c r="G40" s="27">
        <v>2424.78</v>
      </c>
    </row>
    <row r="41" ht="20" customHeight="1" spans="1:7">
      <c r="A41" s="20"/>
      <c r="B41" s="23"/>
      <c r="C41" s="23"/>
      <c r="D41" s="28" t="s">
        <v>158</v>
      </c>
      <c r="E41" s="28"/>
      <c r="F41" s="28"/>
      <c r="G41" s="28">
        <f>SUM(G3:G40)</f>
        <v>61058.05</v>
      </c>
    </row>
    <row r="42" ht="20" customHeight="1"/>
  </sheetData>
  <autoFilter xmlns:etc="http://www.wps.cn/officeDocument/2017/etCustomData" ref="A2:G41" etc:filterBottomFollowUsedRange="0">
    <extLst/>
  </autoFilter>
  <mergeCells count="1">
    <mergeCell ref="B1:G1"/>
  </mergeCells>
  <printOptions horizontalCentered="1"/>
  <pageMargins left="0.393055555555556" right="0.393055555555556" top="0.751388888888889" bottom="0.393055555555556" header="0.298611111111111" footer="0.298611111111111"/>
  <pageSetup paperSize="9" scale="84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36"/>
  <sheetViews>
    <sheetView workbookViewId="0">
      <selection activeCell="M36" sqref="M36"/>
    </sheetView>
  </sheetViews>
  <sheetFormatPr defaultColWidth="9" defaultRowHeight="13.5"/>
  <sheetData>
    <row r="36" spans="13:13">
      <c r="M36" t="s">
        <v>159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C9" sqref="C9"/>
    </sheetView>
  </sheetViews>
  <sheetFormatPr defaultColWidth="9" defaultRowHeight="13.5"/>
  <cols>
    <col min="1" max="3" width="25" style="10" customWidth="1"/>
    <col min="4" max="5" width="25" style="12" customWidth="1"/>
    <col min="6" max="10" width="25" style="10" hidden="1" customWidth="1"/>
    <col min="11" max="18" width="25" style="10" customWidth="1"/>
    <col min="19" max="16384" width="9" style="10"/>
  </cols>
  <sheetData>
    <row r="1" s="10" customFormat="1" ht="18.75" spans="1:18">
      <c r="A1" s="13" t="s">
        <v>160</v>
      </c>
      <c r="B1" s="13" t="s">
        <v>161</v>
      </c>
      <c r="C1" s="13" t="s">
        <v>162</v>
      </c>
      <c r="D1" s="13" t="s">
        <v>156</v>
      </c>
      <c r="E1" s="13" t="s">
        <v>163</v>
      </c>
      <c r="F1" s="13" t="s">
        <v>164</v>
      </c>
      <c r="G1" s="13" t="s">
        <v>165</v>
      </c>
      <c r="H1" s="13" t="s">
        <v>166</v>
      </c>
      <c r="I1" s="13" t="s">
        <v>167</v>
      </c>
      <c r="J1" s="13" t="s">
        <v>9</v>
      </c>
      <c r="K1" s="13" t="s">
        <v>168</v>
      </c>
      <c r="L1" s="13" t="s">
        <v>169</v>
      </c>
      <c r="M1" s="13" t="s">
        <v>170</v>
      </c>
      <c r="N1" s="13" t="s">
        <v>171</v>
      </c>
      <c r="O1" s="13" t="s">
        <v>172</v>
      </c>
      <c r="P1" s="13" t="s">
        <v>173</v>
      </c>
      <c r="Q1" s="13" t="s">
        <v>174</v>
      </c>
      <c r="R1" s="13" t="s">
        <v>175</v>
      </c>
    </row>
    <row r="2" s="10" customFormat="1" spans="1:18">
      <c r="A2" s="10" t="s">
        <v>17</v>
      </c>
      <c r="B2" s="10" t="s">
        <v>18</v>
      </c>
      <c r="C2" s="10" t="s">
        <v>176</v>
      </c>
      <c r="D2" s="14">
        <v>46266.677349537</v>
      </c>
      <c r="E2" s="12" t="s">
        <v>177</v>
      </c>
      <c r="F2" s="10" t="s">
        <v>178</v>
      </c>
      <c r="G2" s="10" t="s">
        <v>19</v>
      </c>
      <c r="H2" s="10" t="s">
        <v>179</v>
      </c>
      <c r="I2" s="10" t="s">
        <v>179</v>
      </c>
      <c r="J2" s="10" t="s">
        <v>25</v>
      </c>
      <c r="K2" s="15">
        <v>-29605.56</v>
      </c>
      <c r="L2" s="16">
        <v>-29605.56</v>
      </c>
      <c r="M2" s="10" t="s">
        <v>180</v>
      </c>
      <c r="N2" s="10" t="s">
        <v>181</v>
      </c>
      <c r="O2" s="10" t="s">
        <v>182</v>
      </c>
      <c r="P2" s="10" t="s">
        <v>183</v>
      </c>
      <c r="Q2" s="10" t="s">
        <v>184</v>
      </c>
    </row>
    <row r="3" s="10" customFormat="1" spans="1:18">
      <c r="A3" s="10" t="s">
        <v>106</v>
      </c>
      <c r="B3" s="10" t="s">
        <v>18</v>
      </c>
      <c r="C3" s="10" t="s">
        <v>185</v>
      </c>
      <c r="D3" s="14">
        <v>46255.6148032407</v>
      </c>
      <c r="E3" s="12" t="s">
        <v>186</v>
      </c>
      <c r="F3" s="10" t="s">
        <v>178</v>
      </c>
      <c r="G3" s="10" t="s">
        <v>19</v>
      </c>
      <c r="H3" s="10" t="s">
        <v>179</v>
      </c>
      <c r="I3" s="10" t="s">
        <v>179</v>
      </c>
      <c r="J3" s="10" t="s">
        <v>25</v>
      </c>
      <c r="K3" s="15">
        <v>-18975.86</v>
      </c>
      <c r="L3" s="16">
        <v>-18975.86</v>
      </c>
      <c r="M3" s="10" t="s">
        <v>180</v>
      </c>
      <c r="N3" s="10" t="s">
        <v>187</v>
      </c>
      <c r="O3" s="10" t="s">
        <v>182</v>
      </c>
      <c r="P3" s="10" t="s">
        <v>183</v>
      </c>
      <c r="Q3" s="10" t="s">
        <v>184</v>
      </c>
    </row>
    <row r="4" s="10" customFormat="1" spans="1:18">
      <c r="A4" s="10" t="s">
        <v>126</v>
      </c>
      <c r="B4" s="10" t="s">
        <v>18</v>
      </c>
      <c r="C4" s="10" t="s">
        <v>188</v>
      </c>
      <c r="D4" s="14">
        <v>46245.6356597222</v>
      </c>
      <c r="E4" s="12" t="s">
        <v>189</v>
      </c>
      <c r="F4" s="10" t="s">
        <v>178</v>
      </c>
      <c r="G4" s="10" t="s">
        <v>19</v>
      </c>
      <c r="H4" s="10" t="s">
        <v>179</v>
      </c>
      <c r="I4" s="10" t="s">
        <v>179</v>
      </c>
      <c r="J4" s="10" t="s">
        <v>25</v>
      </c>
      <c r="K4" s="15">
        <v>-12476.63</v>
      </c>
      <c r="L4" s="16">
        <v>-12476.63</v>
      </c>
      <c r="M4" s="10" t="s">
        <v>180</v>
      </c>
      <c r="N4" s="10" t="s">
        <v>190</v>
      </c>
      <c r="O4" s="10" t="s">
        <v>182</v>
      </c>
      <c r="P4" s="10" t="s">
        <v>183</v>
      </c>
      <c r="Q4" s="10" t="s">
        <v>184</v>
      </c>
    </row>
    <row r="5" s="11" customFormat="1" spans="1:18">
      <c r="D5" s="17"/>
      <c r="E5" s="17"/>
      <c r="K5" s="18">
        <f>SUM(K2:K4)</f>
        <v>-61058.05</v>
      </c>
      <c r="L5" s="18">
        <f>SUM(L2:L4)</f>
        <v>-61058.05</v>
      </c>
    </row>
    <row r="6" s="10" customFormat="1" spans="1:18">
      <c r="D6" s="12"/>
      <c r="E6" s="12"/>
      <c r="K6" s="15"/>
      <c r="L6" s="16"/>
    </row>
    <row r="7" s="10" customFormat="1" spans="1:18">
      <c r="D7" s="12"/>
      <c r="E7" s="12"/>
      <c r="K7" s="15"/>
      <c r="L7" s="16"/>
    </row>
    <row r="8" s="10" customFormat="1" spans="1:18">
      <c r="D8" s="12"/>
      <c r="E8" s="12"/>
      <c r="K8" s="15"/>
      <c r="L8" s="16"/>
    </row>
    <row r="9" s="10" customFormat="1" spans="1:18">
      <c r="D9" s="12"/>
      <c r="E9" s="12"/>
      <c r="K9" s="15"/>
      <c r="L9" s="16"/>
    </row>
    <row r="10" s="10" customFormat="1" spans="1:18">
      <c r="D10" s="12"/>
      <c r="E10" s="12"/>
      <c r="K10" s="15"/>
      <c r="L10" s="16"/>
    </row>
    <row r="11" s="10" customFormat="1" spans="1:18">
      <c r="D11" s="12"/>
      <c r="E11" s="12"/>
      <c r="K11" s="15"/>
      <c r="L11" s="16"/>
    </row>
    <row r="12" s="10" customFormat="1" spans="1:18">
      <c r="D12" s="12"/>
      <c r="E12" s="12"/>
      <c r="K12" s="15"/>
      <c r="L12" s="16"/>
    </row>
    <row r="13" s="10" customFormat="1" spans="1:18">
      <c r="D13" s="12"/>
      <c r="E13" s="12"/>
      <c r="K13" s="15"/>
      <c r="L13" s="16"/>
    </row>
    <row r="14" s="10" customFormat="1" spans="1:18">
      <c r="D14" s="12"/>
      <c r="E14" s="12"/>
      <c r="K14" s="15"/>
      <c r="L14" s="16"/>
    </row>
    <row r="15" s="10" customFormat="1" spans="1:18">
      <c r="A15" s="10" t="s">
        <v>191</v>
      </c>
      <c r="B15" s="10" t="s">
        <v>18</v>
      </c>
      <c r="C15" s="10" t="s">
        <v>192</v>
      </c>
      <c r="D15" s="12" t="s">
        <v>193</v>
      </c>
      <c r="E15" s="12" t="s">
        <v>194</v>
      </c>
      <c r="F15" s="10" t="s">
        <v>178</v>
      </c>
      <c r="G15" s="10" t="s">
        <v>19</v>
      </c>
      <c r="H15" s="10" t="s">
        <v>179</v>
      </c>
      <c r="I15" s="10" t="s">
        <v>179</v>
      </c>
      <c r="J15" s="10" t="s">
        <v>25</v>
      </c>
      <c r="K15" s="15">
        <v>-18243.93</v>
      </c>
      <c r="L15" s="16">
        <v>-18243.93</v>
      </c>
      <c r="M15" s="10" t="s">
        <v>180</v>
      </c>
      <c r="N15" s="10" t="s">
        <v>195</v>
      </c>
      <c r="O15" s="10" t="s">
        <v>182</v>
      </c>
      <c r="P15" s="10" t="s">
        <v>183</v>
      </c>
      <c r="Q15" s="10" t="s">
        <v>184</v>
      </c>
    </row>
    <row r="16" s="10" customFormat="1" spans="1:18">
      <c r="A16" s="10" t="s">
        <v>196</v>
      </c>
      <c r="B16" s="10" t="s">
        <v>18</v>
      </c>
      <c r="C16" s="10" t="s">
        <v>197</v>
      </c>
      <c r="D16" s="12" t="s">
        <v>198</v>
      </c>
      <c r="E16" s="12" t="s">
        <v>199</v>
      </c>
      <c r="F16" s="10" t="s">
        <v>178</v>
      </c>
      <c r="G16" s="10" t="s">
        <v>19</v>
      </c>
      <c r="H16" s="10" t="s">
        <v>179</v>
      </c>
      <c r="I16" s="10" t="s">
        <v>179</v>
      </c>
      <c r="J16" s="10" t="s">
        <v>25</v>
      </c>
      <c r="K16" s="15">
        <v>-15770.9</v>
      </c>
      <c r="L16" s="16">
        <v>-15770.9</v>
      </c>
      <c r="M16" s="10" t="s">
        <v>180</v>
      </c>
      <c r="N16" s="10" t="s">
        <v>200</v>
      </c>
      <c r="O16" s="10" t="s">
        <v>182</v>
      </c>
      <c r="P16" s="10" t="s">
        <v>183</v>
      </c>
      <c r="Q16" s="10" t="s">
        <v>184</v>
      </c>
    </row>
    <row r="17" s="10" customFormat="1" spans="1:17">
      <c r="A17" s="10" t="s">
        <v>201</v>
      </c>
      <c r="B17" s="10" t="s">
        <v>18</v>
      </c>
      <c r="C17" s="10" t="s">
        <v>202</v>
      </c>
      <c r="D17" s="12" t="s">
        <v>203</v>
      </c>
      <c r="E17" s="12" t="s">
        <v>204</v>
      </c>
      <c r="F17" s="10" t="s">
        <v>178</v>
      </c>
      <c r="G17" s="10" t="s">
        <v>19</v>
      </c>
      <c r="H17" s="10" t="s">
        <v>179</v>
      </c>
      <c r="I17" s="10" t="s">
        <v>179</v>
      </c>
      <c r="J17" s="10" t="s">
        <v>25</v>
      </c>
      <c r="K17" s="15">
        <v>-6735.44</v>
      </c>
      <c r="L17" s="16">
        <v>-6735.44</v>
      </c>
      <c r="M17" s="10" t="s">
        <v>180</v>
      </c>
      <c r="N17" s="10" t="s">
        <v>205</v>
      </c>
      <c r="O17" s="10" t="s">
        <v>182</v>
      </c>
      <c r="P17" s="10" t="s">
        <v>183</v>
      </c>
      <c r="Q17" s="10" t="s">
        <v>184</v>
      </c>
    </row>
    <row r="18" s="10" customFormat="1" spans="1:17">
      <c r="A18" s="10" t="s">
        <v>206</v>
      </c>
      <c r="B18" s="10" t="s">
        <v>18</v>
      </c>
      <c r="C18" s="10" t="s">
        <v>207</v>
      </c>
      <c r="D18" s="12" t="s">
        <v>208</v>
      </c>
      <c r="E18" s="12" t="s">
        <v>209</v>
      </c>
      <c r="F18" s="10" t="s">
        <v>178</v>
      </c>
      <c r="G18" s="10" t="s">
        <v>19</v>
      </c>
      <c r="H18" s="10" t="s">
        <v>179</v>
      </c>
      <c r="I18" s="10" t="s">
        <v>179</v>
      </c>
      <c r="J18" s="10" t="s">
        <v>25</v>
      </c>
      <c r="K18" s="15">
        <v>-16627.67</v>
      </c>
      <c r="L18" s="16">
        <v>-16627.67</v>
      </c>
      <c r="M18" s="10" t="s">
        <v>180</v>
      </c>
      <c r="N18" s="10" t="s">
        <v>210</v>
      </c>
      <c r="O18" s="10" t="s">
        <v>182</v>
      </c>
      <c r="P18" s="10" t="s">
        <v>183</v>
      </c>
      <c r="Q18" s="10" t="s">
        <v>184</v>
      </c>
    </row>
    <row r="19" s="10" customFormat="1" spans="1:17">
      <c r="A19" s="10" t="s">
        <v>211</v>
      </c>
      <c r="B19" s="10" t="s">
        <v>18</v>
      </c>
      <c r="C19" s="10" t="s">
        <v>212</v>
      </c>
      <c r="D19" s="12" t="s">
        <v>213</v>
      </c>
      <c r="E19" s="12" t="s">
        <v>214</v>
      </c>
      <c r="F19" s="10" t="s">
        <v>178</v>
      </c>
      <c r="G19" s="10" t="s">
        <v>19</v>
      </c>
      <c r="H19" s="10" t="s">
        <v>179</v>
      </c>
      <c r="I19" s="10" t="s">
        <v>179</v>
      </c>
      <c r="J19" s="10" t="s">
        <v>25</v>
      </c>
      <c r="K19" s="15">
        <v>-19638.13</v>
      </c>
      <c r="L19" s="16">
        <v>-19638.13</v>
      </c>
      <c r="M19" s="10" t="s">
        <v>180</v>
      </c>
      <c r="N19" s="10" t="s">
        <v>215</v>
      </c>
      <c r="O19" s="10" t="s">
        <v>182</v>
      </c>
      <c r="P19" s="10" t="s">
        <v>183</v>
      </c>
      <c r="Q19" s="10" t="s">
        <v>184</v>
      </c>
    </row>
    <row r="20" s="10" customFormat="1" spans="1:17">
      <c r="A20" s="10" t="s">
        <v>216</v>
      </c>
      <c r="B20" s="10" t="s">
        <v>18</v>
      </c>
      <c r="C20" s="10" t="s">
        <v>217</v>
      </c>
      <c r="D20" s="12" t="s">
        <v>218</v>
      </c>
      <c r="E20" s="12" t="s">
        <v>219</v>
      </c>
      <c r="F20" s="10" t="s">
        <v>178</v>
      </c>
      <c r="G20" s="10" t="s">
        <v>19</v>
      </c>
      <c r="H20" s="10" t="s">
        <v>179</v>
      </c>
      <c r="I20" s="10" t="s">
        <v>179</v>
      </c>
      <c r="J20" s="10" t="s">
        <v>25</v>
      </c>
      <c r="K20" s="15">
        <v>-8423.09</v>
      </c>
      <c r="L20" s="16">
        <v>-8423.09</v>
      </c>
      <c r="M20" s="10" t="s">
        <v>180</v>
      </c>
      <c r="N20" s="10" t="s">
        <v>220</v>
      </c>
      <c r="O20" s="10" t="s">
        <v>182</v>
      </c>
      <c r="P20" s="10" t="s">
        <v>183</v>
      </c>
      <c r="Q20" s="10" t="s">
        <v>184</v>
      </c>
    </row>
    <row r="21" s="10" customFormat="1" spans="1:17">
      <c r="A21" s="10" t="s">
        <v>221</v>
      </c>
      <c r="B21" s="10" t="s">
        <v>18</v>
      </c>
      <c r="C21" s="10" t="s">
        <v>222</v>
      </c>
      <c r="D21" s="12" t="s">
        <v>223</v>
      </c>
      <c r="E21" s="12" t="s">
        <v>224</v>
      </c>
      <c r="F21" s="10" t="s">
        <v>178</v>
      </c>
      <c r="G21" s="10" t="s">
        <v>19</v>
      </c>
      <c r="H21" s="10" t="s">
        <v>179</v>
      </c>
      <c r="I21" s="10" t="s">
        <v>179</v>
      </c>
      <c r="J21" s="10" t="s">
        <v>25</v>
      </c>
      <c r="K21" s="15">
        <v>-16873.5</v>
      </c>
      <c r="L21" s="16">
        <v>-16873.5</v>
      </c>
      <c r="M21" s="10" t="s">
        <v>180</v>
      </c>
      <c r="N21" s="10" t="s">
        <v>225</v>
      </c>
      <c r="O21" s="10" t="s">
        <v>182</v>
      </c>
      <c r="P21" s="10" t="s">
        <v>183</v>
      </c>
      <c r="Q21" s="10" t="s">
        <v>184</v>
      </c>
    </row>
    <row r="22" s="10" customFormat="1" spans="1:17">
      <c r="A22" s="10" t="s">
        <v>226</v>
      </c>
      <c r="B22" s="10" t="s">
        <v>18</v>
      </c>
      <c r="C22" s="10" t="s">
        <v>227</v>
      </c>
      <c r="D22" s="12" t="s">
        <v>228</v>
      </c>
      <c r="E22" s="12" t="s">
        <v>229</v>
      </c>
      <c r="F22" s="10" t="s">
        <v>178</v>
      </c>
      <c r="G22" s="10" t="s">
        <v>19</v>
      </c>
      <c r="H22" s="10" t="s">
        <v>179</v>
      </c>
      <c r="I22" s="10" t="s">
        <v>179</v>
      </c>
      <c r="J22" s="10" t="s">
        <v>25</v>
      </c>
      <c r="K22" s="15">
        <v>-19245.17</v>
      </c>
      <c r="L22" s="16">
        <v>-19245.17</v>
      </c>
      <c r="M22" s="10" t="s">
        <v>180</v>
      </c>
      <c r="N22" s="10" t="s">
        <v>230</v>
      </c>
      <c r="O22" s="10" t="s">
        <v>182</v>
      </c>
      <c r="P22" s="10" t="s">
        <v>183</v>
      </c>
      <c r="Q22" s="10" t="s">
        <v>184</v>
      </c>
    </row>
    <row r="23" s="10" customFormat="1" spans="1:17">
      <c r="A23" s="10" t="s">
        <v>231</v>
      </c>
      <c r="B23" s="10" t="s">
        <v>18</v>
      </c>
      <c r="C23" s="10" t="s">
        <v>232</v>
      </c>
      <c r="D23" s="12" t="s">
        <v>233</v>
      </c>
      <c r="E23" s="12" t="s">
        <v>234</v>
      </c>
      <c r="F23" s="10" t="s">
        <v>178</v>
      </c>
      <c r="G23" s="10" t="s">
        <v>19</v>
      </c>
      <c r="H23" s="10" t="s">
        <v>179</v>
      </c>
      <c r="I23" s="10" t="s">
        <v>179</v>
      </c>
      <c r="J23" s="10" t="s">
        <v>25</v>
      </c>
      <c r="K23" s="15">
        <v>-9308.86</v>
      </c>
      <c r="L23" s="16">
        <v>-9308.86</v>
      </c>
      <c r="M23" s="10" t="s">
        <v>180</v>
      </c>
      <c r="N23" s="10" t="s">
        <v>235</v>
      </c>
      <c r="O23" s="10" t="s">
        <v>182</v>
      </c>
      <c r="P23" s="10" t="s">
        <v>183</v>
      </c>
      <c r="Q23" s="10" t="s">
        <v>184</v>
      </c>
    </row>
    <row r="24" s="10" customFormat="1" spans="1:17">
      <c r="A24" s="10" t="s">
        <v>236</v>
      </c>
      <c r="B24" s="10" t="s">
        <v>18</v>
      </c>
      <c r="C24" s="10" t="s">
        <v>237</v>
      </c>
      <c r="D24" s="12" t="s">
        <v>238</v>
      </c>
      <c r="E24" s="12" t="s">
        <v>239</v>
      </c>
      <c r="F24" s="10" t="s">
        <v>178</v>
      </c>
      <c r="G24" s="10" t="s">
        <v>19</v>
      </c>
      <c r="H24" s="10" t="s">
        <v>179</v>
      </c>
      <c r="I24" s="10" t="s">
        <v>179</v>
      </c>
      <c r="J24" s="10" t="s">
        <v>25</v>
      </c>
      <c r="K24" s="15">
        <v>-18022.24</v>
      </c>
      <c r="L24" s="16">
        <v>-18022.24</v>
      </c>
      <c r="M24" s="10" t="s">
        <v>180</v>
      </c>
      <c r="N24" s="10" t="s">
        <v>240</v>
      </c>
      <c r="O24" s="10" t="s">
        <v>182</v>
      </c>
      <c r="P24" s="10" t="s">
        <v>183</v>
      </c>
      <c r="Q24" s="10" t="s">
        <v>184</v>
      </c>
    </row>
    <row r="25" s="10" customFormat="1" spans="1:17">
      <c r="A25" s="10" t="s">
        <v>241</v>
      </c>
      <c r="B25" s="10" t="s">
        <v>18</v>
      </c>
      <c r="C25" s="10" t="s">
        <v>242</v>
      </c>
      <c r="D25" s="12" t="s">
        <v>243</v>
      </c>
      <c r="E25" s="12" t="s">
        <v>244</v>
      </c>
      <c r="F25" s="10" t="s">
        <v>178</v>
      </c>
      <c r="G25" s="10" t="s">
        <v>19</v>
      </c>
      <c r="H25" s="10" t="s">
        <v>179</v>
      </c>
      <c r="I25" s="10" t="s">
        <v>179</v>
      </c>
      <c r="J25" s="10" t="s">
        <v>25</v>
      </c>
      <c r="K25" s="15">
        <v>-10745.6</v>
      </c>
      <c r="L25" s="16">
        <v>-10745.6</v>
      </c>
      <c r="M25" s="10" t="s">
        <v>180</v>
      </c>
      <c r="N25" s="10" t="s">
        <v>245</v>
      </c>
      <c r="O25" s="10" t="s">
        <v>182</v>
      </c>
      <c r="P25" s="10" t="s">
        <v>183</v>
      </c>
      <c r="Q25" s="10" t="s">
        <v>184</v>
      </c>
    </row>
    <row r="26" s="10" customFormat="1" spans="1:17">
      <c r="A26" s="10" t="s">
        <v>246</v>
      </c>
      <c r="B26" s="10" t="s">
        <v>18</v>
      </c>
      <c r="C26" s="10" t="s">
        <v>247</v>
      </c>
      <c r="D26" s="12" t="s">
        <v>248</v>
      </c>
      <c r="E26" s="12" t="s">
        <v>249</v>
      </c>
      <c r="F26" s="10" t="s">
        <v>178</v>
      </c>
      <c r="G26" s="10" t="s">
        <v>19</v>
      </c>
      <c r="H26" s="10" t="s">
        <v>179</v>
      </c>
      <c r="I26" s="10" t="s">
        <v>179</v>
      </c>
      <c r="J26" s="10" t="s">
        <v>25</v>
      </c>
      <c r="K26" s="15">
        <v>-13083.12</v>
      </c>
      <c r="L26" s="16">
        <v>-13083.12</v>
      </c>
      <c r="M26" s="10" t="s">
        <v>180</v>
      </c>
      <c r="N26" s="10" t="s">
        <v>250</v>
      </c>
      <c r="O26" s="10" t="s">
        <v>182</v>
      </c>
      <c r="P26" s="10" t="s">
        <v>183</v>
      </c>
      <c r="Q26" s="10" t="s">
        <v>184</v>
      </c>
    </row>
    <row r="27" s="10" customFormat="1" spans="1:17">
      <c r="A27" s="10" t="s">
        <v>251</v>
      </c>
      <c r="B27" s="10" t="s">
        <v>18</v>
      </c>
      <c r="C27" s="10" t="s">
        <v>252</v>
      </c>
      <c r="D27" s="12" t="s">
        <v>253</v>
      </c>
      <c r="E27" s="12" t="s">
        <v>254</v>
      </c>
      <c r="F27" s="10" t="s">
        <v>178</v>
      </c>
      <c r="G27" s="10" t="s">
        <v>19</v>
      </c>
      <c r="H27" s="10" t="s">
        <v>179</v>
      </c>
      <c r="I27" s="10" t="s">
        <v>179</v>
      </c>
      <c r="J27" s="10" t="s">
        <v>25</v>
      </c>
      <c r="K27" s="15">
        <v>-9542.29</v>
      </c>
      <c r="L27" s="16">
        <v>-9542.29</v>
      </c>
      <c r="M27" s="10" t="s">
        <v>180</v>
      </c>
      <c r="N27" s="10" t="s">
        <v>255</v>
      </c>
      <c r="O27" s="10" t="s">
        <v>182</v>
      </c>
      <c r="P27" s="10" t="s">
        <v>183</v>
      </c>
      <c r="Q27" s="10" t="s">
        <v>184</v>
      </c>
    </row>
    <row r="28" s="10" customFormat="1" spans="1:17">
      <c r="A28" s="10" t="s">
        <v>256</v>
      </c>
      <c r="B28" s="10" t="s">
        <v>18</v>
      </c>
      <c r="C28" s="10" t="s">
        <v>257</v>
      </c>
      <c r="D28" s="12" t="s">
        <v>258</v>
      </c>
      <c r="E28" s="12" t="s">
        <v>259</v>
      </c>
      <c r="F28" s="10" t="s">
        <v>178</v>
      </c>
      <c r="G28" s="10" t="s">
        <v>19</v>
      </c>
      <c r="H28" s="10" t="s">
        <v>179</v>
      </c>
      <c r="I28" s="10" t="s">
        <v>179</v>
      </c>
      <c r="J28" s="10" t="s">
        <v>25</v>
      </c>
      <c r="K28" s="15">
        <v>-8544.15</v>
      </c>
      <c r="L28" s="16">
        <v>-8544.15</v>
      </c>
      <c r="M28" s="10" t="s">
        <v>180</v>
      </c>
      <c r="N28" s="10" t="s">
        <v>260</v>
      </c>
      <c r="O28" s="10" t="s">
        <v>182</v>
      </c>
      <c r="P28" s="10" t="s">
        <v>183</v>
      </c>
      <c r="Q28" s="10" t="s">
        <v>184</v>
      </c>
    </row>
    <row r="29" s="10" customFormat="1" spans="1:17">
      <c r="A29" s="10" t="s">
        <v>261</v>
      </c>
      <c r="B29" s="10" t="s">
        <v>18</v>
      </c>
      <c r="C29" s="10" t="s">
        <v>262</v>
      </c>
      <c r="D29" s="12" t="s">
        <v>263</v>
      </c>
      <c r="E29" s="12" t="s">
        <v>264</v>
      </c>
      <c r="F29" s="10" t="s">
        <v>178</v>
      </c>
      <c r="G29" s="10" t="s">
        <v>19</v>
      </c>
      <c r="H29" s="10" t="s">
        <v>179</v>
      </c>
      <c r="I29" s="10" t="s">
        <v>179</v>
      </c>
      <c r="J29" s="10" t="s">
        <v>25</v>
      </c>
      <c r="K29" s="15">
        <v>-6816.26</v>
      </c>
      <c r="L29" s="16">
        <v>-6816.26</v>
      </c>
      <c r="M29" s="10" t="s">
        <v>180</v>
      </c>
      <c r="N29" s="10" t="s">
        <v>265</v>
      </c>
      <c r="O29" s="10" t="s">
        <v>182</v>
      </c>
      <c r="P29" s="10" t="s">
        <v>183</v>
      </c>
      <c r="Q29" s="10" t="s">
        <v>184</v>
      </c>
    </row>
    <row r="30" s="10" customFormat="1" spans="1:17">
      <c r="A30" s="10" t="s">
        <v>266</v>
      </c>
      <c r="B30" s="10" t="s">
        <v>18</v>
      </c>
      <c r="C30" s="10" t="s">
        <v>267</v>
      </c>
      <c r="D30" s="12" t="s">
        <v>268</v>
      </c>
      <c r="E30" s="12" t="s">
        <v>269</v>
      </c>
      <c r="F30" s="10" t="s">
        <v>178</v>
      </c>
      <c r="G30" s="10" t="s">
        <v>19</v>
      </c>
      <c r="H30" s="10" t="s">
        <v>179</v>
      </c>
      <c r="I30" s="10" t="s">
        <v>179</v>
      </c>
      <c r="J30" s="10" t="s">
        <v>25</v>
      </c>
      <c r="K30" s="15">
        <v>-4583.84</v>
      </c>
      <c r="L30" s="16">
        <v>-4583.84</v>
      </c>
      <c r="M30" s="10" t="s">
        <v>180</v>
      </c>
      <c r="N30" s="10" t="s">
        <v>270</v>
      </c>
      <c r="O30" s="10" t="s">
        <v>182</v>
      </c>
      <c r="P30" s="10" t="s">
        <v>183</v>
      </c>
      <c r="Q30" s="10" t="s">
        <v>184</v>
      </c>
    </row>
    <row r="31" s="10" customFormat="1" spans="1:17">
      <c r="A31" s="10" t="s">
        <v>271</v>
      </c>
      <c r="B31" s="10" t="s">
        <v>18</v>
      </c>
      <c r="C31" s="10" t="s">
        <v>272</v>
      </c>
      <c r="D31" s="12" t="s">
        <v>273</v>
      </c>
      <c r="E31" s="12" t="s">
        <v>274</v>
      </c>
      <c r="F31" s="10" t="s">
        <v>178</v>
      </c>
      <c r="G31" s="10" t="s">
        <v>19</v>
      </c>
      <c r="H31" s="10" t="s">
        <v>179</v>
      </c>
      <c r="I31" s="10" t="s">
        <v>179</v>
      </c>
      <c r="J31" s="10" t="s">
        <v>25</v>
      </c>
      <c r="K31" s="15">
        <v>-6339.41</v>
      </c>
      <c r="L31" s="16">
        <v>-6339.41</v>
      </c>
      <c r="M31" s="10" t="s">
        <v>180</v>
      </c>
      <c r="N31" s="10" t="s">
        <v>275</v>
      </c>
      <c r="O31" s="10" t="s">
        <v>182</v>
      </c>
      <c r="P31" s="10" t="s">
        <v>183</v>
      </c>
      <c r="Q31" s="10" t="s">
        <v>184</v>
      </c>
    </row>
    <row r="32" s="10" customFormat="1" spans="1:17">
      <c r="A32" s="10" t="s">
        <v>276</v>
      </c>
      <c r="B32" s="10" t="s">
        <v>18</v>
      </c>
      <c r="C32" s="10" t="s">
        <v>277</v>
      </c>
      <c r="D32" s="12" t="s">
        <v>278</v>
      </c>
      <c r="E32" s="12" t="s">
        <v>279</v>
      </c>
      <c r="F32" s="10" t="s">
        <v>178</v>
      </c>
      <c r="G32" s="10" t="s">
        <v>19</v>
      </c>
      <c r="H32" s="10" t="s">
        <v>179</v>
      </c>
      <c r="I32" s="10" t="s">
        <v>179</v>
      </c>
      <c r="J32" s="10" t="s">
        <v>25</v>
      </c>
      <c r="K32" s="15">
        <v>-26577.26</v>
      </c>
      <c r="L32" s="16">
        <v>-26577.26</v>
      </c>
      <c r="M32" s="10" t="s">
        <v>180</v>
      </c>
      <c r="N32" s="10" t="s">
        <v>280</v>
      </c>
      <c r="O32" s="10" t="s">
        <v>182</v>
      </c>
      <c r="P32" s="10" t="s">
        <v>183</v>
      </c>
      <c r="Q32" s="10" t="s">
        <v>184</v>
      </c>
    </row>
    <row r="33" s="10" customFormat="1" spans="1:17">
      <c r="A33" s="10" t="s">
        <v>281</v>
      </c>
      <c r="B33" s="10" t="s">
        <v>18</v>
      </c>
      <c r="C33" s="10" t="s">
        <v>282</v>
      </c>
      <c r="D33" s="12" t="s">
        <v>283</v>
      </c>
      <c r="E33" s="12" t="s">
        <v>284</v>
      </c>
      <c r="F33" s="10" t="s">
        <v>178</v>
      </c>
      <c r="G33" s="10" t="s">
        <v>19</v>
      </c>
      <c r="H33" s="10" t="s">
        <v>179</v>
      </c>
      <c r="I33" s="10" t="s">
        <v>179</v>
      </c>
      <c r="J33" s="10" t="s">
        <v>25</v>
      </c>
      <c r="K33" s="15">
        <v>-10958.02</v>
      </c>
      <c r="L33" s="16">
        <v>-10958.02</v>
      </c>
      <c r="M33" s="10" t="s">
        <v>180</v>
      </c>
      <c r="N33" s="10" t="s">
        <v>285</v>
      </c>
      <c r="O33" s="10" t="s">
        <v>182</v>
      </c>
      <c r="P33" s="10" t="s">
        <v>183</v>
      </c>
      <c r="Q33" s="10" t="s">
        <v>184</v>
      </c>
    </row>
    <row r="34" s="10" customFormat="1" spans="1:17">
      <c r="A34" s="10" t="s">
        <v>286</v>
      </c>
      <c r="B34" s="10" t="s">
        <v>18</v>
      </c>
      <c r="C34" s="10" t="s">
        <v>287</v>
      </c>
      <c r="D34" s="12" t="s">
        <v>288</v>
      </c>
      <c r="E34" s="12" t="s">
        <v>289</v>
      </c>
      <c r="F34" s="10" t="s">
        <v>178</v>
      </c>
      <c r="G34" s="10" t="s">
        <v>19</v>
      </c>
      <c r="H34" s="10" t="s">
        <v>179</v>
      </c>
      <c r="I34" s="10" t="s">
        <v>179</v>
      </c>
      <c r="J34" s="10" t="s">
        <v>25</v>
      </c>
      <c r="K34" s="15">
        <v>-20891.84</v>
      </c>
      <c r="L34" s="16">
        <v>-20891.84</v>
      </c>
      <c r="M34" s="10" t="s">
        <v>180</v>
      </c>
      <c r="N34" s="10" t="s">
        <v>290</v>
      </c>
      <c r="O34" s="10" t="s">
        <v>182</v>
      </c>
      <c r="P34" s="10" t="s">
        <v>183</v>
      </c>
      <c r="Q34" s="10" t="s">
        <v>184</v>
      </c>
    </row>
    <row r="35" s="10" customFormat="1" spans="1:17">
      <c r="A35" s="10" t="s">
        <v>291</v>
      </c>
      <c r="B35" s="10" t="s">
        <v>18</v>
      </c>
      <c r="C35" s="10" t="s">
        <v>292</v>
      </c>
      <c r="D35" s="12" t="s">
        <v>293</v>
      </c>
      <c r="E35" s="12" t="s">
        <v>294</v>
      </c>
      <c r="F35" s="10" t="s">
        <v>178</v>
      </c>
      <c r="G35" s="10" t="s">
        <v>19</v>
      </c>
      <c r="H35" s="10" t="s">
        <v>179</v>
      </c>
      <c r="I35" s="10" t="s">
        <v>179</v>
      </c>
      <c r="J35" s="10" t="s">
        <v>25</v>
      </c>
      <c r="K35" s="15">
        <v>-12531.05</v>
      </c>
      <c r="L35" s="16">
        <v>-12531.05</v>
      </c>
      <c r="M35" s="10" t="s">
        <v>180</v>
      </c>
      <c r="N35" s="10" t="s">
        <v>295</v>
      </c>
      <c r="O35" s="10" t="s">
        <v>182</v>
      </c>
      <c r="P35" s="10" t="s">
        <v>183</v>
      </c>
      <c r="Q35" s="10" t="s">
        <v>184</v>
      </c>
    </row>
    <row r="36" s="10" customFormat="1" spans="1:17">
      <c r="A36" s="10" t="s">
        <v>296</v>
      </c>
      <c r="B36" s="10" t="s">
        <v>18</v>
      </c>
      <c r="C36" s="10" t="s">
        <v>297</v>
      </c>
      <c r="D36" s="12" t="s">
        <v>298</v>
      </c>
      <c r="E36" s="12" t="s">
        <v>299</v>
      </c>
      <c r="F36" s="10" t="s">
        <v>178</v>
      </c>
      <c r="G36" s="10" t="s">
        <v>19</v>
      </c>
      <c r="H36" s="10" t="s">
        <v>179</v>
      </c>
      <c r="I36" s="10" t="s">
        <v>179</v>
      </c>
      <c r="J36" s="10" t="s">
        <v>25</v>
      </c>
      <c r="K36" s="15">
        <v>-28889.98</v>
      </c>
      <c r="L36" s="16">
        <v>-28889.98</v>
      </c>
      <c r="M36" s="10" t="s">
        <v>180</v>
      </c>
      <c r="N36" s="10" t="s">
        <v>300</v>
      </c>
      <c r="O36" s="10" t="s">
        <v>182</v>
      </c>
      <c r="P36" s="10" t="s">
        <v>183</v>
      </c>
      <c r="Q36" s="10" t="s">
        <v>184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H7" sqref="H7"/>
    </sheetView>
  </sheetViews>
  <sheetFormatPr defaultColWidth="9" defaultRowHeight="13.5" outlineLevelCol="4"/>
  <cols>
    <col min="1" max="1" width="6.875" style="1" customWidth="1"/>
    <col min="2" max="2" width="32.375" style="1" customWidth="1"/>
    <col min="3" max="3" width="24.5" style="1"/>
    <col min="4" max="4" width="22.125" style="1" customWidth="1"/>
    <col min="5" max="5" width="17.5" style="1" customWidth="1"/>
    <col min="6" max="16384" width="9" style="1"/>
  </cols>
  <sheetData>
    <row r="1" s="1" customFormat="1" ht="42" customHeight="1" spans="1:5">
      <c r="A1" s="2" t="s">
        <v>301</v>
      </c>
      <c r="B1" s="2"/>
      <c r="C1" s="2"/>
      <c r="D1" s="2"/>
      <c r="E1" s="2"/>
    </row>
    <row r="2" s="1" customFormat="1" ht="23" customHeight="1" spans="1:5">
      <c r="A2" s="3" t="s">
        <v>143</v>
      </c>
      <c r="B2" s="4" t="s">
        <v>6</v>
      </c>
      <c r="C2" s="4" t="s">
        <v>5</v>
      </c>
      <c r="D2" s="4" t="s">
        <v>302</v>
      </c>
      <c r="E2" s="4" t="s">
        <v>144</v>
      </c>
    </row>
    <row r="3" s="1" customFormat="1" ht="20" customHeight="1" outlineLevel="2" spans="1:5">
      <c r="A3" s="5">
        <v>1</v>
      </c>
      <c r="B3" s="5" t="s">
        <v>22</v>
      </c>
      <c r="C3" s="5" t="s">
        <v>76</v>
      </c>
      <c r="D3" s="5">
        <v>551.06</v>
      </c>
      <c r="E3" s="5"/>
    </row>
    <row r="4" s="1" customFormat="1" ht="20" customHeight="1" outlineLevel="2" spans="1:5">
      <c r="A4" s="5"/>
      <c r="B4" s="5"/>
      <c r="C4" s="5" t="s">
        <v>80</v>
      </c>
      <c r="D4" s="5">
        <v>66.87</v>
      </c>
      <c r="E4" s="5"/>
    </row>
    <row r="5" s="1" customFormat="1" ht="20" customHeight="1" outlineLevel="2" spans="1:5">
      <c r="A5" s="5"/>
      <c r="B5" s="5"/>
      <c r="C5" s="5" t="s">
        <v>46</v>
      </c>
      <c r="D5" s="5">
        <v>66.5</v>
      </c>
      <c r="E5" s="5"/>
    </row>
    <row r="6" s="1" customFormat="1" ht="20" customHeight="1" outlineLevel="2" spans="1:5">
      <c r="A6" s="5"/>
      <c r="B6" s="5"/>
      <c r="C6" s="5" t="s">
        <v>60</v>
      </c>
      <c r="D6" s="5">
        <v>9921.78</v>
      </c>
      <c r="E6" s="5"/>
    </row>
    <row r="7" s="1" customFormat="1" ht="20" customHeight="1" outlineLevel="2" spans="1:5">
      <c r="A7" s="5"/>
      <c r="B7" s="5"/>
      <c r="C7" s="5" t="s">
        <v>90</v>
      </c>
      <c r="D7" s="5">
        <v>2940.07</v>
      </c>
      <c r="E7" s="5"/>
    </row>
    <row r="8" s="1" customFormat="1" ht="20" customHeight="1" outlineLevel="2" spans="1:5">
      <c r="A8" s="5"/>
      <c r="B8" s="5"/>
      <c r="C8" s="5" t="s">
        <v>72</v>
      </c>
      <c r="D8" s="5">
        <v>3215.4</v>
      </c>
      <c r="E8" s="5"/>
    </row>
    <row r="9" s="1" customFormat="1" ht="20" customHeight="1" outlineLevel="2" spans="1:5">
      <c r="A9" s="5"/>
      <c r="B9" s="5"/>
      <c r="C9" s="5" t="s">
        <v>100</v>
      </c>
      <c r="D9" s="5">
        <v>3024.97</v>
      </c>
      <c r="E9" s="5"/>
    </row>
    <row r="10" s="1" customFormat="1" ht="20" customHeight="1" outlineLevel="2" spans="1:5">
      <c r="A10" s="5"/>
      <c r="B10" s="5"/>
      <c r="C10" s="5" t="s">
        <v>21</v>
      </c>
      <c r="D10" s="5">
        <v>2407.72</v>
      </c>
      <c r="E10" s="5"/>
    </row>
    <row r="11" s="1" customFormat="1" ht="20" customHeight="1" outlineLevel="1" spans="1:5">
      <c r="A11" s="5"/>
      <c r="B11" s="6" t="s">
        <v>145</v>
      </c>
      <c r="C11" s="7"/>
      <c r="D11" s="6">
        <f>SUBTOTAL(9,D3:D10)</f>
        <v>22194.37</v>
      </c>
      <c r="E11" s="6" t="s">
        <v>146</v>
      </c>
    </row>
    <row r="12" s="1" customFormat="1" ht="20" customHeight="1" outlineLevel="2" spans="1:5">
      <c r="A12" s="5">
        <v>2</v>
      </c>
      <c r="B12" s="5" t="s">
        <v>37</v>
      </c>
      <c r="C12" s="5" t="s">
        <v>36</v>
      </c>
      <c r="D12" s="5">
        <v>848</v>
      </c>
      <c r="E12" s="5"/>
    </row>
    <row r="13" s="1" customFormat="1" ht="20" customHeight="1" outlineLevel="2" spans="1:5">
      <c r="A13" s="5"/>
      <c r="B13" s="5"/>
      <c r="C13" s="5" t="s">
        <v>64</v>
      </c>
      <c r="D13" s="5">
        <v>192.6</v>
      </c>
      <c r="E13" s="5"/>
    </row>
    <row r="14" s="1" customFormat="1" ht="20" customHeight="1" outlineLevel="2" spans="1:5">
      <c r="A14" s="5"/>
      <c r="B14" s="5"/>
      <c r="C14" s="5" t="s">
        <v>42</v>
      </c>
      <c r="D14" s="5">
        <v>848</v>
      </c>
      <c r="E14" s="5"/>
    </row>
    <row r="15" s="1" customFormat="1" ht="20" customHeight="1" outlineLevel="1" spans="1:5">
      <c r="A15" s="5"/>
      <c r="B15" s="6" t="s">
        <v>147</v>
      </c>
      <c r="C15" s="7"/>
      <c r="D15" s="6">
        <f>SUBTOTAL(9,D12:D14)</f>
        <v>1888.6</v>
      </c>
      <c r="E15" s="6" t="s">
        <v>148</v>
      </c>
    </row>
    <row r="16" s="1" customFormat="1" ht="20" customHeight="1" outlineLevel="2" spans="1:5">
      <c r="A16" s="5">
        <v>3</v>
      </c>
      <c r="B16" s="5" t="s">
        <v>95</v>
      </c>
      <c r="C16" s="5" t="s">
        <v>104</v>
      </c>
      <c r="D16" s="5">
        <v>1062.43</v>
      </c>
      <c r="E16" s="5"/>
    </row>
    <row r="17" s="1" customFormat="1" ht="20" customHeight="1" outlineLevel="2" spans="1:5">
      <c r="A17" s="5"/>
      <c r="B17" s="5"/>
      <c r="C17" s="5" t="s">
        <v>94</v>
      </c>
      <c r="D17" s="5">
        <v>1820.32</v>
      </c>
      <c r="E17" s="5"/>
    </row>
    <row r="18" s="1" customFormat="1" ht="20" customHeight="1" outlineLevel="1" spans="1:5">
      <c r="A18" s="5"/>
      <c r="B18" s="6" t="s">
        <v>149</v>
      </c>
      <c r="C18" s="7"/>
      <c r="D18" s="6">
        <f>SUBTOTAL(9,D16:D17)</f>
        <v>2882.75</v>
      </c>
      <c r="E18" s="6" t="s">
        <v>148</v>
      </c>
    </row>
    <row r="19" s="1" customFormat="1" ht="20" customHeight="1" outlineLevel="2" spans="1:5">
      <c r="A19" s="5">
        <v>4</v>
      </c>
      <c r="B19" s="5" t="s">
        <v>55</v>
      </c>
      <c r="C19" s="5" t="s">
        <v>54</v>
      </c>
      <c r="D19" s="5">
        <v>11394.8</v>
      </c>
      <c r="E19" s="5"/>
    </row>
    <row r="20" s="1" customFormat="1" ht="20" customHeight="1" outlineLevel="1" spans="1:5">
      <c r="A20" s="5"/>
      <c r="B20" s="6" t="s">
        <v>150</v>
      </c>
      <c r="C20" s="7"/>
      <c r="D20" s="6">
        <f t="shared" ref="D20:D24" si="0">SUBTOTAL(9,D19)</f>
        <v>11394.8</v>
      </c>
      <c r="E20" s="6" t="s">
        <v>151</v>
      </c>
    </row>
    <row r="21" s="1" customFormat="1" ht="20" customHeight="1" outlineLevel="2" spans="1:5">
      <c r="A21" s="5">
        <v>5</v>
      </c>
      <c r="B21" s="5" t="s">
        <v>31</v>
      </c>
      <c r="C21" s="5" t="s">
        <v>30</v>
      </c>
      <c r="D21" s="5">
        <v>406.95</v>
      </c>
      <c r="E21" s="5"/>
    </row>
    <row r="22" s="1" customFormat="1" ht="20" customHeight="1" outlineLevel="1" spans="1:5">
      <c r="A22" s="5"/>
      <c r="B22" s="6" t="s">
        <v>152</v>
      </c>
      <c r="C22" s="7"/>
      <c r="D22" s="6">
        <f t="shared" si="0"/>
        <v>406.95</v>
      </c>
      <c r="E22" s="6" t="s">
        <v>153</v>
      </c>
    </row>
    <row r="23" s="1" customFormat="1" ht="20" customHeight="1" outlineLevel="2" spans="1:5">
      <c r="A23" s="5">
        <v>6</v>
      </c>
      <c r="B23" s="5" t="s">
        <v>85</v>
      </c>
      <c r="C23" s="5" t="s">
        <v>84</v>
      </c>
      <c r="D23" s="5">
        <v>1982.8</v>
      </c>
      <c r="E23" s="5"/>
    </row>
    <row r="24" s="1" customFormat="1" ht="20" customHeight="1" outlineLevel="1" spans="1:5">
      <c r="A24" s="5"/>
      <c r="B24" s="6" t="s">
        <v>154</v>
      </c>
      <c r="C24" s="7"/>
      <c r="D24" s="6">
        <f t="shared" si="0"/>
        <v>1982.8</v>
      </c>
      <c r="E24" s="6" t="s">
        <v>151</v>
      </c>
    </row>
    <row r="25" s="1" customFormat="1" ht="31" customHeight="1" spans="1:5">
      <c r="A25" s="5"/>
      <c r="B25" s="8" t="s">
        <v>155</v>
      </c>
      <c r="C25" s="8"/>
      <c r="D25" s="8">
        <f>SUBTOTAL(9,D3:D23)</f>
        <v>40750.27</v>
      </c>
      <c r="E25" s="9"/>
    </row>
    <row r="26" ht="20" customHeight="1"/>
    <row r="27" ht="20" customHeight="1"/>
    <row r="28" ht="20" customHeight="1"/>
    <row r="29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开票流水单据列表</vt:lpstr>
      <vt:lpstr>1. 费用汇总表     </vt:lpstr>
      <vt:lpstr>2. 费用明细打印    </vt:lpstr>
      <vt:lpstr>3. 发票1张  </vt:lpstr>
      <vt:lpstr>应收对账单列表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刘雯</cp:lastModifiedBy>
  <dcterms:created xsi:type="dcterms:W3CDTF">2026-09-22T01:48:00Z</dcterms:created>
  <dcterms:modified xsi:type="dcterms:W3CDTF">2026-09-23T05:27:26Z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2C74C801629C4DFCBBDCBDA5D60BDF1B_12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