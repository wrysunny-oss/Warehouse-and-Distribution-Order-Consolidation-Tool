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ifen\2024.6.17刘雯的工作资料\2.订单安排（国宝）\2026.9.24 国宝（稻花翁8个仓）\"/>
    </mc:Choice>
  </mc:AlternateContent>
  <bookViews>
    <workbookView windowWidth="28800" windowHeight="12375" tabRatio="880"/>
  </bookViews>
  <sheets>
    <sheet name="稻花翁订单明细9.24" sheetId="79" r:id="rId1"/>
  </sheets>
  <definedNames>
    <definedName name="_xlnm._FilterDatabase" localSheetId="0" hidden="1">稻花翁订单明细9.24!$A$2:$J$66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<sst xmlns="http://schemas.openxmlformats.org/spreadsheetml/2006/main" count="355" uniqueCount="58">
  <si>
    <t>国宝 采购需求一览表2026年</t>
  </si>
  <si>
    <t>*需求平台/仓*</t>
  </si>
  <si>
    <t>条形码</t>
  </si>
  <si>
    <t>*商品名称*</t>
  </si>
  <si>
    <r>
      <t xml:space="preserve">*规格*
</t>
    </r>
    <r>
      <rPr>
        <b/>
        <sz val="10"/>
        <rFont val="宋体"/>
        <charset val="134"/>
      </rPr>
      <t>（kg）</t>
    </r>
  </si>
  <si>
    <t>*需求数量*</t>
  </si>
  <si>
    <t>*总重量*</t>
  </si>
  <si>
    <t>备注</t>
  </si>
  <si>
    <r>
      <t xml:space="preserve">*发货地址*
</t>
    </r>
    <r>
      <rPr>
        <b/>
        <sz val="10"/>
        <rFont val="宋体"/>
        <charset val="134"/>
      </rPr>
      <t>(京山/外采）</t>
    </r>
  </si>
  <si>
    <t>提货时间</t>
  </si>
  <si>
    <t>入仓时间</t>
  </si>
  <si>
    <t>华东嘉定直营商超仓</t>
  </si>
  <si>
    <t>6911006000090</t>
  </si>
  <si>
    <t>稻花翁丝苗米10kg</t>
  </si>
  <si>
    <t>稻花翁</t>
  </si>
  <si>
    <t>宏禾米厂</t>
  </si>
  <si>
    <t>2026-09-27</t>
  </si>
  <si>
    <t>6911006000236</t>
  </si>
  <si>
    <t>稻花翁大米油粘米5kg</t>
  </si>
  <si>
    <t>6911006000441#691100600427</t>
  </si>
  <si>
    <t>稻花翁金泰南白兰香米10kg</t>
  </si>
  <si>
    <t>6911006001394</t>
  </si>
  <si>
    <t>稻花翁精选丝苗米5kg</t>
  </si>
  <si>
    <t>6911006001417</t>
  </si>
  <si>
    <t>稻花翁精选丝苗米10kg</t>
  </si>
  <si>
    <t>6911006001530</t>
  </si>
  <si>
    <t>国宝桥米稻花翁珍珠香米2.5kg</t>
  </si>
  <si>
    <t>6911006001547</t>
  </si>
  <si>
    <t>稻花翁臻选丝苗米2.5kg</t>
  </si>
  <si>
    <t>6911006001554</t>
  </si>
  <si>
    <t>稻花翁软香贡米25kg</t>
  </si>
  <si>
    <t>华东嘉定直营商超仓 汇总</t>
  </si>
  <si>
    <t>华东南京直营商超仓</t>
  </si>
  <si>
    <t>6911006001400</t>
  </si>
  <si>
    <t>稻花翁珍珠香米5kg</t>
  </si>
  <si>
    <t>华东南京直营商超仓 汇总</t>
  </si>
  <si>
    <t>华南东莞直营商超仓</t>
  </si>
  <si>
    <t>腾三龙米厂</t>
  </si>
  <si>
    <t>2026-09-28</t>
  </si>
  <si>
    <t>6911006001424</t>
  </si>
  <si>
    <t>稻花翁珍珠香米10kg</t>
  </si>
  <si>
    <t>华南东莞直营商超仓 汇总</t>
  </si>
  <si>
    <t>华南惠阳直营商超仓</t>
  </si>
  <si>
    <t>华南惠阳直营商超仓 汇总</t>
  </si>
  <si>
    <t>华西猫超重庆RDC仓</t>
  </si>
  <si>
    <t>6911006000076</t>
  </si>
  <si>
    <t>稻花翁泰玉京香大米5kg</t>
  </si>
  <si>
    <t>正点米厂</t>
  </si>
  <si>
    <t>华西猫超重庆RDC仓 汇总</t>
  </si>
  <si>
    <t>华中南昌直营商超仓</t>
  </si>
  <si>
    <t>青龙米厂</t>
  </si>
  <si>
    <t>2026-09-29</t>
  </si>
  <si>
    <t>华中南昌直营商超仓 汇总</t>
  </si>
  <si>
    <t>华中武汉直营商超仓</t>
  </si>
  <si>
    <t>华中武汉直营商超仓 汇总</t>
  </si>
  <si>
    <t>华中长沙直营商超仓</t>
  </si>
  <si>
    <t>2026-09-30</t>
  </si>
  <si>
    <t>华中长沙直营商超仓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</si>
</sst>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workbookViewId="0">
      <selection activeCell="L2" sqref="L2"/>
    </sheetView>
  </sheetViews>
  <sheetFormatPr defaultColWidth="9" defaultRowHeight="13.5"/>
  <cols>
    <col min="1" max="1" width="28.875" style="2" customWidth="1"/>
    <col min="2" max="2" width="17.75" style="3" customWidth="1"/>
    <col min="3" max="3" width="33.75" style="3" customWidth="1"/>
    <col min="4" max="4" width="9.375" style="2" customWidth="1"/>
    <col min="5" max="5" width="13.875" style="2" customWidth="1"/>
    <col min="6" max="6" width="15" style="2"/>
    <col min="7" max="7" width="10.625" style="2" customWidth="1"/>
    <col min="8" max="8" width="15" style="2"/>
    <col min="9" max="9" width="16.75" style="4" customWidth="1"/>
    <col min="10" max="10" width="16.375" style="4" customWidth="1"/>
    <col min="11" max="16376" width="9" style="1"/>
    <col min="16377" max="16384" width="9" style="5"/>
  </cols>
  <sheetData>
    <row r="1" s="1" customFormat="1" ht="33" customHeight="1" spans="1:10">
      <c r="A1" s="6" t="s">
        <v>0</v>
      </c>
      <c r="B1" s="6"/>
      <c r="C1" s="6"/>
      <c r="D1" s="6"/>
      <c r="E1" s="6"/>
      <c r="F1" s="6"/>
      <c r="G1" s="6"/>
      <c r="H1" s="6"/>
      <c r="I1" s="7"/>
      <c r="J1" s="7"/>
    </row>
    <row r="2" s="1" customFormat="1" ht="36" customHeight="1" spans="1:10">
      <c r="A2" s="8" t="s">
        <v>1</v>
      </c>
      <c r="B2" s="9" t="s">
        <v>2</v>
      </c>
      <c r="C2" s="9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1" t="s">
        <v>9</v>
      </c>
      <c r="J2" s="11" t="s">
        <v>10</v>
      </c>
    </row>
    <row r="3" ht="20" customHeight="1" outlineLevel="2" spans="1:10">
      <c r="A3" s="12" t="s">
        <v>11</v>
      </c>
      <c r="B3" s="13" t="s">
        <v>12</v>
      </c>
      <c r="C3" s="13" t="s">
        <v>13</v>
      </c>
      <c r="D3" s="14">
        <v>10</v>
      </c>
      <c r="E3" s="14">
        <v>20</v>
      </c>
      <c r="F3" s="14">
        <f>D3*E3/1000</f>
        <v>0.2</v>
      </c>
      <c r="G3" s="15" t="s">
        <v>14</v>
      </c>
      <c r="H3" s="15" t="s">
        <v>15</v>
      </c>
      <c r="I3" s="16">
        <v>46291</v>
      </c>
      <c r="J3" s="17" t="s">
        <v>16</v>
      </c>
    </row>
    <row r="4" ht="20" customHeight="1" outlineLevel="2" spans="1:10">
      <c r="A4" s="12" t="s">
        <v>11</v>
      </c>
      <c r="B4" s="13" t="s">
        <v>17</v>
      </c>
      <c r="C4" s="13" t="s">
        <v>18</v>
      </c>
      <c r="D4" s="14">
        <v>5</v>
      </c>
      <c r="E4" s="14">
        <v>76</v>
      </c>
      <c r="F4" s="14">
        <f>D4*E4/1000</f>
        <v>0.38</v>
      </c>
      <c r="G4" s="15" t="s">
        <v>14</v>
      </c>
      <c r="H4" s="15" t="s">
        <v>15</v>
      </c>
      <c r="I4" s="16">
        <v>46291</v>
      </c>
      <c r="J4" s="17" t="s">
        <v>16</v>
      </c>
    </row>
    <row r="5" ht="20" customHeight="1" outlineLevel="2" spans="1:10">
      <c r="A5" s="12" t="s">
        <v>11</v>
      </c>
      <c r="B5" s="13" t="s">
        <v>19</v>
      </c>
      <c r="C5" s="13" t="s">
        <v>20</v>
      </c>
      <c r="D5" s="14">
        <v>10</v>
      </c>
      <c r="E5" s="14">
        <v>47</v>
      </c>
      <c r="F5" s="14">
        <f>D5*E5/1000</f>
        <v>0.47</v>
      </c>
      <c r="G5" s="15" t="s">
        <v>14</v>
      </c>
      <c r="H5" s="15" t="s">
        <v>15</v>
      </c>
      <c r="I5" s="16">
        <v>46291</v>
      </c>
      <c r="J5" s="17" t="s">
        <v>16</v>
      </c>
    </row>
    <row r="6" ht="20" customHeight="1" outlineLevel="2" spans="1:10">
      <c r="A6" s="12" t="s">
        <v>11</v>
      </c>
      <c r="B6" s="13" t="s">
        <v>21</v>
      </c>
      <c r="C6" s="13" t="s">
        <v>22</v>
      </c>
      <c r="D6" s="14">
        <v>5</v>
      </c>
      <c r="E6" s="14">
        <v>564</v>
      </c>
      <c r="F6" s="14">
        <f>D6*E6/1000</f>
        <v>2.82</v>
      </c>
      <c r="G6" s="15" t="s">
        <v>14</v>
      </c>
      <c r="H6" s="15" t="s">
        <v>15</v>
      </c>
      <c r="I6" s="16">
        <v>46291</v>
      </c>
      <c r="J6" s="17" t="s">
        <v>16</v>
      </c>
    </row>
    <row r="7" ht="20" customHeight="1" outlineLevel="2" spans="1:10">
      <c r="A7" s="12" t="s">
        <v>11</v>
      </c>
      <c r="B7" s="13" t="s">
        <v>23</v>
      </c>
      <c r="C7" s="13" t="s">
        <v>24</v>
      </c>
      <c r="D7" s="14">
        <v>10</v>
      </c>
      <c r="E7" s="14">
        <v>29</v>
      </c>
      <c r="F7" s="14">
        <f>D7*E7/1000</f>
        <v>0.29</v>
      </c>
      <c r="G7" s="15" t="s">
        <v>14</v>
      </c>
      <c r="H7" s="15" t="s">
        <v>15</v>
      </c>
      <c r="I7" s="16">
        <v>46291</v>
      </c>
      <c r="J7" s="17" t="s">
        <v>16</v>
      </c>
    </row>
    <row r="8" ht="20" customHeight="1" outlineLevel="2" spans="1:10">
      <c r="A8" s="12" t="s">
        <v>11</v>
      </c>
      <c r="B8" s="13" t="s">
        <v>25</v>
      </c>
      <c r="C8" s="13" t="s">
        <v>26</v>
      </c>
      <c r="D8" s="14">
        <v>2.5</v>
      </c>
      <c r="E8" s="14">
        <v>15</v>
      </c>
      <c r="F8" s="14">
        <f>D8*E8/1000</f>
        <v>0.0375</v>
      </c>
      <c r="G8" s="15" t="s">
        <v>14</v>
      </c>
      <c r="H8" s="15" t="s">
        <v>15</v>
      </c>
      <c r="I8" s="16">
        <v>46291</v>
      </c>
      <c r="J8" s="17" t="s">
        <v>16</v>
      </c>
    </row>
    <row r="9" ht="20" customHeight="1" outlineLevel="2" spans="1:10">
      <c r="A9" s="12" t="s">
        <v>11</v>
      </c>
      <c r="B9" s="13" t="s">
        <v>27</v>
      </c>
      <c r="C9" s="13" t="s">
        <v>28</v>
      </c>
      <c r="D9" s="14">
        <v>2.5</v>
      </c>
      <c r="E9" s="14">
        <v>100</v>
      </c>
      <c r="F9" s="14">
        <f>D9*E9/1000</f>
        <v>0.25</v>
      </c>
      <c r="G9" s="15" t="s">
        <v>14</v>
      </c>
      <c r="H9" s="15" t="s">
        <v>15</v>
      </c>
      <c r="I9" s="16">
        <v>46291</v>
      </c>
      <c r="J9" s="17" t="s">
        <v>16</v>
      </c>
    </row>
    <row r="10" ht="20" customHeight="1" outlineLevel="2" spans="1:10">
      <c r="A10" s="12" t="s">
        <v>11</v>
      </c>
      <c r="B10" s="13" t="s">
        <v>29</v>
      </c>
      <c r="C10" s="13" t="s">
        <v>30</v>
      </c>
      <c r="D10" s="14">
        <v>25</v>
      </c>
      <c r="E10" s="14">
        <v>40</v>
      </c>
      <c r="F10" s="14">
        <f>D10*E10/1000</f>
        <v>1</v>
      </c>
      <c r="G10" s="15" t="s">
        <v>14</v>
      </c>
      <c r="H10" s="15" t="s">
        <v>15</v>
      </c>
      <c r="I10" s="16">
        <v>46291</v>
      </c>
      <c r="J10" s="17" t="s">
        <v>16</v>
      </c>
    </row>
    <row r="11" ht="20" customHeight="1" outlineLevel="1" spans="1:10">
      <c r="A11" s="18" t="s">
        <v>31</v>
      </c>
      <c r="B11" s="19"/>
      <c r="C11" s="19"/>
      <c r="D11" s="20"/>
      <c r="E11" s="20">
        <f>SUBTOTAL(9,E3:E10)</f>
        <v>891</v>
      </c>
      <c r="F11" s="20">
        <f>SUBTOTAL(9,F3:F10)</f>
        <v>5.4475</v>
      </c>
      <c r="G11" s="21"/>
      <c r="H11" s="21"/>
      <c r="I11" s="22"/>
      <c r="J11" s="23"/>
    </row>
    <row r="12" ht="20" customHeight="1" outlineLevel="2" spans="1:10">
      <c r="A12" s="12" t="s">
        <v>32</v>
      </c>
      <c r="B12" s="13" t="s">
        <v>12</v>
      </c>
      <c r="C12" s="13" t="s">
        <v>13</v>
      </c>
      <c r="D12" s="14">
        <v>10</v>
      </c>
      <c r="E12" s="14">
        <v>80</v>
      </c>
      <c r="F12" s="14">
        <f>D12*E12/1000</f>
        <v>0.8</v>
      </c>
      <c r="G12" s="15" t="s">
        <v>14</v>
      </c>
      <c r="H12" s="15" t="s">
        <v>15</v>
      </c>
      <c r="I12" s="16">
        <v>46291</v>
      </c>
      <c r="J12" s="17" t="s">
        <v>16</v>
      </c>
    </row>
    <row r="13" ht="20" customHeight="1" outlineLevel="2" spans="1:10">
      <c r="A13" s="12" t="s">
        <v>32</v>
      </c>
      <c r="B13" s="13" t="s">
        <v>17</v>
      </c>
      <c r="C13" s="13" t="s">
        <v>18</v>
      </c>
      <c r="D13" s="14">
        <v>5</v>
      </c>
      <c r="E13" s="14">
        <v>97</v>
      </c>
      <c r="F13" s="14">
        <f>D13*E13/1000</f>
        <v>0.485</v>
      </c>
      <c r="G13" s="15" t="s">
        <v>14</v>
      </c>
      <c r="H13" s="15" t="s">
        <v>15</v>
      </c>
      <c r="I13" s="16">
        <v>46291</v>
      </c>
      <c r="J13" s="17" t="s">
        <v>16</v>
      </c>
    </row>
    <row r="14" ht="20" customHeight="1" outlineLevel="2" spans="1:10">
      <c r="A14" s="12" t="s">
        <v>32</v>
      </c>
      <c r="B14" s="13" t="s">
        <v>19</v>
      </c>
      <c r="C14" s="13" t="s">
        <v>20</v>
      </c>
      <c r="D14" s="14">
        <v>10</v>
      </c>
      <c r="E14" s="14">
        <v>28</v>
      </c>
      <c r="F14" s="14">
        <f>D14*E14/1000</f>
        <v>0.28</v>
      </c>
      <c r="G14" s="15" t="s">
        <v>14</v>
      </c>
      <c r="H14" s="15" t="s">
        <v>15</v>
      </c>
      <c r="I14" s="16">
        <v>46291</v>
      </c>
      <c r="J14" s="17" t="s">
        <v>16</v>
      </c>
    </row>
    <row r="15" ht="20" customHeight="1" outlineLevel="2" spans="1:10">
      <c r="A15" s="12" t="s">
        <v>32</v>
      </c>
      <c r="B15" s="13" t="s">
        <v>21</v>
      </c>
      <c r="C15" s="13" t="s">
        <v>22</v>
      </c>
      <c r="D15" s="14">
        <v>5</v>
      </c>
      <c r="E15" s="14">
        <v>730</v>
      </c>
      <c r="F15" s="14">
        <f>D15*E15/1000</f>
        <v>3.65</v>
      </c>
      <c r="G15" s="15" t="s">
        <v>14</v>
      </c>
      <c r="H15" s="15" t="s">
        <v>15</v>
      </c>
      <c r="I15" s="16">
        <v>46291</v>
      </c>
      <c r="J15" s="17" t="s">
        <v>16</v>
      </c>
    </row>
    <row r="16" ht="20" customHeight="1" outlineLevel="2" spans="1:10">
      <c r="A16" s="12" t="s">
        <v>32</v>
      </c>
      <c r="B16" s="13" t="s">
        <v>33</v>
      </c>
      <c r="C16" s="13" t="s">
        <v>34</v>
      </c>
      <c r="D16" s="14">
        <v>5</v>
      </c>
      <c r="E16" s="14">
        <v>15</v>
      </c>
      <c r="F16" s="14">
        <f>D16*E16/1000</f>
        <v>0.075</v>
      </c>
      <c r="G16" s="15" t="s">
        <v>14</v>
      </c>
      <c r="H16" s="15" t="s">
        <v>15</v>
      </c>
      <c r="I16" s="16">
        <v>46291</v>
      </c>
      <c r="J16" s="17" t="s">
        <v>16</v>
      </c>
    </row>
    <row r="17" ht="20" customHeight="1" outlineLevel="2" spans="1:10">
      <c r="A17" s="12" t="s">
        <v>32</v>
      </c>
      <c r="B17" s="13" t="s">
        <v>23</v>
      </c>
      <c r="C17" s="13" t="s">
        <v>24</v>
      </c>
      <c r="D17" s="14">
        <v>10</v>
      </c>
      <c r="E17" s="14">
        <v>12</v>
      </c>
      <c r="F17" s="14">
        <f>D17*E17/1000</f>
        <v>0.12</v>
      </c>
      <c r="G17" s="15" t="s">
        <v>14</v>
      </c>
      <c r="H17" s="15" t="s">
        <v>15</v>
      </c>
      <c r="I17" s="16">
        <v>46291</v>
      </c>
      <c r="J17" s="17" t="s">
        <v>16</v>
      </c>
    </row>
    <row r="18" ht="20" customHeight="1" outlineLevel="1" spans="1:10">
      <c r="A18" s="18" t="s">
        <v>35</v>
      </c>
      <c r="B18" s="19"/>
      <c r="C18" s="19"/>
      <c r="D18" s="20"/>
      <c r="E18" s="20">
        <f>SUBTOTAL(9,E12:E17)</f>
        <v>962</v>
      </c>
      <c r="F18" s="20">
        <f>SUBTOTAL(9,F12:F17)</f>
        <v>5.41</v>
      </c>
      <c r="G18" s="21"/>
      <c r="H18" s="21"/>
      <c r="I18" s="22"/>
      <c r="J18" s="23"/>
    </row>
    <row r="19" ht="20" customHeight="1" outlineLevel="2" spans="1:10">
      <c r="A19" s="12" t="s">
        <v>36</v>
      </c>
      <c r="B19" s="13" t="s">
        <v>17</v>
      </c>
      <c r="C19" s="13" t="s">
        <v>18</v>
      </c>
      <c r="D19" s="14">
        <v>5</v>
      </c>
      <c r="E19" s="14">
        <v>80</v>
      </c>
      <c r="F19" s="14">
        <f>D19*E19/1000</f>
        <v>0.4</v>
      </c>
      <c r="G19" s="15" t="s">
        <v>14</v>
      </c>
      <c r="H19" s="15" t="s">
        <v>37</v>
      </c>
      <c r="I19" s="16">
        <v>46292</v>
      </c>
      <c r="J19" s="17" t="s">
        <v>38</v>
      </c>
    </row>
    <row r="20" ht="20" customHeight="1" outlineLevel="2" spans="1:10">
      <c r="A20" s="12" t="s">
        <v>36</v>
      </c>
      <c r="B20" s="13" t="s">
        <v>19</v>
      </c>
      <c r="C20" s="13" t="s">
        <v>20</v>
      </c>
      <c r="D20" s="14">
        <v>10</v>
      </c>
      <c r="E20" s="14">
        <v>85</v>
      </c>
      <c r="F20" s="14">
        <f>D20*E20/1000</f>
        <v>0.85</v>
      </c>
      <c r="G20" s="15" t="s">
        <v>14</v>
      </c>
      <c r="H20" s="15" t="s">
        <v>37</v>
      </c>
      <c r="I20" s="16">
        <v>46292</v>
      </c>
      <c r="J20" s="17" t="s">
        <v>38</v>
      </c>
    </row>
    <row r="21" ht="20" customHeight="1" outlineLevel="2" spans="1:10">
      <c r="A21" s="12" t="s">
        <v>36</v>
      </c>
      <c r="B21" s="13" t="s">
        <v>21</v>
      </c>
      <c r="C21" s="13" t="s">
        <v>22</v>
      </c>
      <c r="D21" s="14">
        <v>5</v>
      </c>
      <c r="E21" s="14">
        <v>723</v>
      </c>
      <c r="F21" s="14">
        <f>D21*E21/1000</f>
        <v>3.615</v>
      </c>
      <c r="G21" s="15" t="s">
        <v>14</v>
      </c>
      <c r="H21" s="15" t="s">
        <v>37</v>
      </c>
      <c r="I21" s="16">
        <v>46292</v>
      </c>
      <c r="J21" s="17" t="s">
        <v>38</v>
      </c>
    </row>
    <row r="22" ht="20" customHeight="1" outlineLevel="2" spans="1:10">
      <c r="A22" s="12" t="s">
        <v>36</v>
      </c>
      <c r="B22" s="13" t="s">
        <v>33</v>
      </c>
      <c r="C22" s="13" t="s">
        <v>34</v>
      </c>
      <c r="D22" s="14">
        <v>5</v>
      </c>
      <c r="E22" s="14">
        <v>31</v>
      </c>
      <c r="F22" s="14">
        <f>D22*E22/1000</f>
        <v>0.155</v>
      </c>
      <c r="G22" s="15" t="s">
        <v>14</v>
      </c>
      <c r="H22" s="15" t="s">
        <v>37</v>
      </c>
      <c r="I22" s="16">
        <v>46292</v>
      </c>
      <c r="J22" s="17" t="s">
        <v>38</v>
      </c>
    </row>
    <row r="23" ht="20" customHeight="1" outlineLevel="2" spans="1:10">
      <c r="A23" s="12" t="s">
        <v>36</v>
      </c>
      <c r="B23" s="13" t="s">
        <v>23</v>
      </c>
      <c r="C23" s="13" t="s">
        <v>24</v>
      </c>
      <c r="D23" s="14">
        <v>10</v>
      </c>
      <c r="E23" s="14">
        <v>64</v>
      </c>
      <c r="F23" s="14">
        <f>D23*E23/1000</f>
        <v>0.64</v>
      </c>
      <c r="G23" s="15" t="s">
        <v>14</v>
      </c>
      <c r="H23" s="15" t="s">
        <v>37</v>
      </c>
      <c r="I23" s="16">
        <v>46292</v>
      </c>
      <c r="J23" s="17" t="s">
        <v>38</v>
      </c>
    </row>
    <row r="24" ht="20" customHeight="1" outlineLevel="2" spans="1:10">
      <c r="A24" s="12" t="s">
        <v>36</v>
      </c>
      <c r="B24" s="13" t="s">
        <v>39</v>
      </c>
      <c r="C24" s="13" t="s">
        <v>40</v>
      </c>
      <c r="D24" s="14">
        <v>10</v>
      </c>
      <c r="E24" s="14">
        <v>40</v>
      </c>
      <c r="F24" s="14">
        <f>D24*E24/1000</f>
        <v>0.4</v>
      </c>
      <c r="G24" s="15" t="s">
        <v>14</v>
      </c>
      <c r="H24" s="15" t="s">
        <v>37</v>
      </c>
      <c r="I24" s="16">
        <v>46292</v>
      </c>
      <c r="J24" s="17" t="s">
        <v>38</v>
      </c>
    </row>
    <row r="25" ht="20" customHeight="1" outlineLevel="2" spans="1:10">
      <c r="A25" s="12" t="s">
        <v>36</v>
      </c>
      <c r="B25" s="13" t="s">
        <v>25</v>
      </c>
      <c r="C25" s="13" t="s">
        <v>26</v>
      </c>
      <c r="D25" s="14">
        <v>2.5</v>
      </c>
      <c r="E25" s="14">
        <v>136</v>
      </c>
      <c r="F25" s="14">
        <f>D25*E25/1000</f>
        <v>0.34</v>
      </c>
      <c r="G25" s="15" t="s">
        <v>14</v>
      </c>
      <c r="H25" s="15" t="s">
        <v>37</v>
      </c>
      <c r="I25" s="16">
        <v>46292</v>
      </c>
      <c r="J25" s="17" t="s">
        <v>38</v>
      </c>
    </row>
    <row r="26" ht="20" customHeight="1" outlineLevel="2" spans="1:10">
      <c r="A26" s="12" t="s">
        <v>36</v>
      </c>
      <c r="B26" s="13" t="s">
        <v>27</v>
      </c>
      <c r="C26" s="13" t="s">
        <v>28</v>
      </c>
      <c r="D26" s="14">
        <v>2.5</v>
      </c>
      <c r="E26" s="14">
        <v>150</v>
      </c>
      <c r="F26" s="14">
        <f>D26*E26/1000</f>
        <v>0.375</v>
      </c>
      <c r="G26" s="15" t="s">
        <v>14</v>
      </c>
      <c r="H26" s="15" t="s">
        <v>37</v>
      </c>
      <c r="I26" s="16">
        <v>46292</v>
      </c>
      <c r="J26" s="17" t="s">
        <v>38</v>
      </c>
    </row>
    <row r="27" ht="20" customHeight="1" outlineLevel="2" spans="1:10">
      <c r="A27" s="12" t="s">
        <v>36</v>
      </c>
      <c r="B27" s="13" t="s">
        <v>29</v>
      </c>
      <c r="C27" s="13" t="s">
        <v>30</v>
      </c>
      <c r="D27" s="14">
        <v>25</v>
      </c>
      <c r="E27" s="14">
        <v>100</v>
      </c>
      <c r="F27" s="14">
        <f>D27*E27/1000</f>
        <v>2.5</v>
      </c>
      <c r="G27" s="15" t="s">
        <v>14</v>
      </c>
      <c r="H27" s="15" t="s">
        <v>37</v>
      </c>
      <c r="I27" s="16">
        <v>46292</v>
      </c>
      <c r="J27" s="17" t="s">
        <v>38</v>
      </c>
    </row>
    <row r="28" ht="20" customHeight="1" outlineLevel="1" spans="1:10">
      <c r="A28" s="18" t="s">
        <v>41</v>
      </c>
      <c r="B28" s="19"/>
      <c r="C28" s="19"/>
      <c r="D28" s="20"/>
      <c r="E28" s="20">
        <f>SUBTOTAL(9,E19:E27)</f>
        <v>1409</v>
      </c>
      <c r="F28" s="20">
        <f>SUBTOTAL(9,F19:F27)</f>
        <v>9.275</v>
      </c>
      <c r="G28" s="21"/>
      <c r="H28" s="21"/>
      <c r="I28" s="22"/>
      <c r="J28" s="23"/>
    </row>
    <row r="29" ht="20" customHeight="1" outlineLevel="2" spans="1:10">
      <c r="A29" s="12" t="s">
        <v>42</v>
      </c>
      <c r="B29" s="13" t="s">
        <v>17</v>
      </c>
      <c r="C29" s="13" t="s">
        <v>18</v>
      </c>
      <c r="D29" s="14">
        <v>5</v>
      </c>
      <c r="E29" s="14">
        <v>100</v>
      </c>
      <c r="F29" s="14">
        <f t="shared" ref="F29:F38" si="0">D29*E29/1000</f>
        <v>0.5</v>
      </c>
      <c r="G29" s="15" t="s">
        <v>14</v>
      </c>
      <c r="H29" s="15" t="s">
        <v>37</v>
      </c>
      <c r="I29" s="16">
        <v>46292</v>
      </c>
      <c r="J29" s="17" t="s">
        <v>38</v>
      </c>
    </row>
    <row r="30" ht="20" customHeight="1" outlineLevel="2" spans="1:10">
      <c r="A30" s="12" t="s">
        <v>42</v>
      </c>
      <c r="B30" s="13" t="s">
        <v>19</v>
      </c>
      <c r="C30" s="13" t="s">
        <v>20</v>
      </c>
      <c r="D30" s="14">
        <v>10</v>
      </c>
      <c r="E30" s="14">
        <v>74</v>
      </c>
      <c r="F30" s="14">
        <f t="shared" si="0"/>
        <v>0.74</v>
      </c>
      <c r="G30" s="15" t="s">
        <v>14</v>
      </c>
      <c r="H30" s="15" t="s">
        <v>37</v>
      </c>
      <c r="I30" s="16">
        <v>46292</v>
      </c>
      <c r="J30" s="17" t="s">
        <v>38</v>
      </c>
    </row>
    <row r="31" ht="20" customHeight="1" outlineLevel="2" spans="1:10">
      <c r="A31" s="12" t="s">
        <v>42</v>
      </c>
      <c r="B31" s="13" t="s">
        <v>21</v>
      </c>
      <c r="C31" s="13" t="s">
        <v>22</v>
      </c>
      <c r="D31" s="14">
        <v>5</v>
      </c>
      <c r="E31" s="14">
        <v>1200</v>
      </c>
      <c r="F31" s="14">
        <f t="shared" si="0"/>
        <v>6</v>
      </c>
      <c r="G31" s="15" t="s">
        <v>14</v>
      </c>
      <c r="H31" s="15" t="s">
        <v>37</v>
      </c>
      <c r="I31" s="16">
        <v>46292</v>
      </c>
      <c r="J31" s="17" t="s">
        <v>38</v>
      </c>
    </row>
    <row r="32" ht="20" customHeight="1" outlineLevel="2" spans="1:10">
      <c r="A32" s="12" t="s">
        <v>42</v>
      </c>
      <c r="B32" s="13" t="s">
        <v>33</v>
      </c>
      <c r="C32" s="13" t="s">
        <v>34</v>
      </c>
      <c r="D32" s="14">
        <v>5</v>
      </c>
      <c r="E32" s="14">
        <v>60</v>
      </c>
      <c r="F32" s="14">
        <f t="shared" si="0"/>
        <v>0.3</v>
      </c>
      <c r="G32" s="15" t="s">
        <v>14</v>
      </c>
      <c r="H32" s="15" t="s">
        <v>37</v>
      </c>
      <c r="I32" s="16">
        <v>46292</v>
      </c>
      <c r="J32" s="17" t="s">
        <v>38</v>
      </c>
    </row>
    <row r="33" ht="20" customHeight="1" outlineLevel="2" spans="1:10">
      <c r="A33" s="12" t="s">
        <v>42</v>
      </c>
      <c r="B33" s="13" t="s">
        <v>23</v>
      </c>
      <c r="C33" s="13" t="s">
        <v>24</v>
      </c>
      <c r="D33" s="14">
        <v>10</v>
      </c>
      <c r="E33" s="14">
        <v>81</v>
      </c>
      <c r="F33" s="14">
        <f t="shared" si="0"/>
        <v>0.81</v>
      </c>
      <c r="G33" s="15" t="s">
        <v>14</v>
      </c>
      <c r="H33" s="15" t="s">
        <v>37</v>
      </c>
      <c r="I33" s="16">
        <v>46292</v>
      </c>
      <c r="J33" s="17" t="s">
        <v>38</v>
      </c>
    </row>
    <row r="34" ht="20" customHeight="1" outlineLevel="2" spans="1:10">
      <c r="A34" s="12" t="s">
        <v>42</v>
      </c>
      <c r="B34" s="13" t="s">
        <v>39</v>
      </c>
      <c r="C34" s="13" t="s">
        <v>40</v>
      </c>
      <c r="D34" s="14">
        <v>10</v>
      </c>
      <c r="E34" s="14">
        <v>100</v>
      </c>
      <c r="F34" s="14">
        <f t="shared" si="0"/>
        <v>1</v>
      </c>
      <c r="G34" s="15" t="s">
        <v>14</v>
      </c>
      <c r="H34" s="15" t="s">
        <v>37</v>
      </c>
      <c r="I34" s="16">
        <v>46292</v>
      </c>
      <c r="J34" s="17" t="s">
        <v>38</v>
      </c>
    </row>
    <row r="35" ht="20" customHeight="1" outlineLevel="2" spans="1:10">
      <c r="A35" s="12" t="s">
        <v>42</v>
      </c>
      <c r="B35" s="13" t="s">
        <v>29</v>
      </c>
      <c r="C35" s="13" t="s">
        <v>30</v>
      </c>
      <c r="D35" s="14">
        <v>25</v>
      </c>
      <c r="E35" s="14">
        <v>26</v>
      </c>
      <c r="F35" s="14">
        <f t="shared" si="0"/>
        <v>0.65</v>
      </c>
      <c r="G35" s="15" t="s">
        <v>14</v>
      </c>
      <c r="H35" s="15" t="s">
        <v>37</v>
      </c>
      <c r="I35" s="16">
        <v>46292</v>
      </c>
      <c r="J35" s="17" t="s">
        <v>38</v>
      </c>
    </row>
    <row r="36" ht="20" customHeight="1" outlineLevel="1" spans="1:10">
      <c r="A36" s="18" t="s">
        <v>43</v>
      </c>
      <c r="B36" s="19"/>
      <c r="C36" s="19"/>
      <c r="D36" s="20"/>
      <c r="E36" s="20">
        <f>SUBTOTAL(9,E29:E35)</f>
        <v>1641</v>
      </c>
      <c r="F36" s="20">
        <f>SUBTOTAL(9,F29:F35)</f>
        <v>10</v>
      </c>
      <c r="G36" s="21"/>
      <c r="H36" s="21"/>
      <c r="I36" s="22"/>
      <c r="J36" s="23"/>
    </row>
    <row r="37" ht="20" customHeight="1" outlineLevel="2" spans="1:10">
      <c r="A37" s="12" t="s">
        <v>44</v>
      </c>
      <c r="B37" s="13" t="s">
        <v>45</v>
      </c>
      <c r="C37" s="13" t="s">
        <v>46</v>
      </c>
      <c r="D37" s="14">
        <v>5</v>
      </c>
      <c r="E37" s="14">
        <v>25</v>
      </c>
      <c r="F37" s="14">
        <f>D37*E37/1000</f>
        <v>0.125</v>
      </c>
      <c r="G37" s="15" t="s">
        <v>14</v>
      </c>
      <c r="H37" s="15" t="s">
        <v>47</v>
      </c>
      <c r="I37" s="16">
        <v>46291</v>
      </c>
      <c r="J37" s="17" t="s">
        <v>16</v>
      </c>
    </row>
    <row r="38" ht="20" customHeight="1" outlineLevel="2" spans="1:10">
      <c r="A38" s="12" t="s">
        <v>44</v>
      </c>
      <c r="B38" s="13" t="s">
        <v>17</v>
      </c>
      <c r="C38" s="13" t="s">
        <v>18</v>
      </c>
      <c r="D38" s="14">
        <v>5</v>
      </c>
      <c r="E38" s="14">
        <v>20</v>
      </c>
      <c r="F38" s="14">
        <f>D38*E38/1000</f>
        <v>0.1</v>
      </c>
      <c r="G38" s="15" t="s">
        <v>14</v>
      </c>
      <c r="H38" s="15" t="s">
        <v>47</v>
      </c>
      <c r="I38" s="16">
        <v>46291</v>
      </c>
      <c r="J38" s="17" t="s">
        <v>16</v>
      </c>
    </row>
    <row r="39" ht="20" customHeight="1" outlineLevel="2" spans="1:10">
      <c r="A39" s="12" t="s">
        <v>44</v>
      </c>
      <c r="B39" s="13" t="s">
        <v>19</v>
      </c>
      <c r="C39" s="13" t="s">
        <v>20</v>
      </c>
      <c r="D39" s="14">
        <v>10</v>
      </c>
      <c r="E39" s="14">
        <v>45</v>
      </c>
      <c r="F39" s="14">
        <f>D39*E39/1000</f>
        <v>0.45</v>
      </c>
      <c r="G39" s="15" t="s">
        <v>14</v>
      </c>
      <c r="H39" s="15" t="s">
        <v>47</v>
      </c>
      <c r="I39" s="16">
        <v>46291</v>
      </c>
      <c r="J39" s="17" t="s">
        <v>16</v>
      </c>
    </row>
    <row r="40" ht="20" customHeight="1" outlineLevel="2" spans="1:10">
      <c r="A40" s="12" t="s">
        <v>44</v>
      </c>
      <c r="B40" s="13" t="s">
        <v>21</v>
      </c>
      <c r="C40" s="13" t="s">
        <v>22</v>
      </c>
      <c r="D40" s="14">
        <v>5</v>
      </c>
      <c r="E40" s="14">
        <v>516</v>
      </c>
      <c r="F40" s="14">
        <f>D40*E40/1000</f>
        <v>2.58</v>
      </c>
      <c r="G40" s="15" t="s">
        <v>14</v>
      </c>
      <c r="H40" s="15" t="s">
        <v>47</v>
      </c>
      <c r="I40" s="16">
        <v>46291</v>
      </c>
      <c r="J40" s="17" t="s">
        <v>16</v>
      </c>
    </row>
    <row r="41" ht="20" customHeight="1" outlineLevel="2" spans="1:10">
      <c r="A41" s="12" t="s">
        <v>44</v>
      </c>
      <c r="B41" s="13" t="s">
        <v>33</v>
      </c>
      <c r="C41" s="13" t="s">
        <v>34</v>
      </c>
      <c r="D41" s="14">
        <v>5</v>
      </c>
      <c r="E41" s="14">
        <v>230</v>
      </c>
      <c r="F41" s="14">
        <f>D41*E41/1000</f>
        <v>1.15</v>
      </c>
      <c r="G41" s="15" t="s">
        <v>14</v>
      </c>
      <c r="H41" s="15" t="s">
        <v>47</v>
      </c>
      <c r="I41" s="16">
        <v>46291</v>
      </c>
      <c r="J41" s="17" t="s">
        <v>16</v>
      </c>
    </row>
    <row r="42" ht="20" customHeight="1" outlineLevel="2" spans="1:10">
      <c r="A42" s="12" t="s">
        <v>44</v>
      </c>
      <c r="B42" s="13" t="s">
        <v>23</v>
      </c>
      <c r="C42" s="13" t="s">
        <v>24</v>
      </c>
      <c r="D42" s="14">
        <v>10</v>
      </c>
      <c r="E42" s="14">
        <v>17</v>
      </c>
      <c r="F42" s="14">
        <f>D42*E42/1000</f>
        <v>0.17</v>
      </c>
      <c r="G42" s="15" t="s">
        <v>14</v>
      </c>
      <c r="H42" s="15" t="s">
        <v>47</v>
      </c>
      <c r="I42" s="16">
        <v>46291</v>
      </c>
      <c r="J42" s="17" t="s">
        <v>16</v>
      </c>
    </row>
    <row r="43" ht="20" customHeight="1" outlineLevel="2" spans="1:10">
      <c r="A43" s="12" t="s">
        <v>44</v>
      </c>
      <c r="B43" s="13" t="s">
        <v>25</v>
      </c>
      <c r="C43" s="13" t="s">
        <v>26</v>
      </c>
      <c r="D43" s="14">
        <v>2.5</v>
      </c>
      <c r="E43" s="14">
        <v>100</v>
      </c>
      <c r="F43" s="14">
        <f>D43*E43/1000</f>
        <v>0.25</v>
      </c>
      <c r="G43" s="15" t="s">
        <v>14</v>
      </c>
      <c r="H43" s="15" t="s">
        <v>47</v>
      </c>
      <c r="I43" s="16">
        <v>46291</v>
      </c>
      <c r="J43" s="17" t="s">
        <v>16</v>
      </c>
    </row>
    <row r="44" ht="20" customHeight="1" outlineLevel="2" spans="1:10">
      <c r="A44" s="12" t="s">
        <v>44</v>
      </c>
      <c r="B44" s="13" t="s">
        <v>27</v>
      </c>
      <c r="C44" s="13" t="s">
        <v>28</v>
      </c>
      <c r="D44" s="14">
        <v>2.5</v>
      </c>
      <c r="E44" s="14">
        <v>100</v>
      </c>
      <c r="F44" s="14">
        <f>D44*E44/1000</f>
        <v>0.25</v>
      </c>
      <c r="G44" s="15" t="s">
        <v>14</v>
      </c>
      <c r="H44" s="15" t="s">
        <v>47</v>
      </c>
      <c r="I44" s="16">
        <v>46291</v>
      </c>
      <c r="J44" s="17" t="s">
        <v>16</v>
      </c>
    </row>
    <row r="45" ht="20" customHeight="1" outlineLevel="1" spans="1:10">
      <c r="A45" s="18" t="s">
        <v>48</v>
      </c>
      <c r="B45" s="19"/>
      <c r="C45" s="19"/>
      <c r="D45" s="20"/>
      <c r="E45" s="20">
        <f>SUBTOTAL(9,E37:E44)</f>
        <v>1053</v>
      </c>
      <c r="F45" s="20">
        <f>SUBTOTAL(9,F37:F44)</f>
        <v>5.075</v>
      </c>
      <c r="G45" s="21"/>
      <c r="H45" s="21"/>
      <c r="I45" s="22"/>
      <c r="J45" s="23"/>
    </row>
    <row r="46" ht="20" customHeight="1" outlineLevel="2" spans="1:10">
      <c r="A46" s="12" t="s">
        <v>49</v>
      </c>
      <c r="B46" s="13" t="s">
        <v>12</v>
      </c>
      <c r="C46" s="13" t="s">
        <v>13</v>
      </c>
      <c r="D46" s="14">
        <v>10</v>
      </c>
      <c r="E46" s="14">
        <v>30</v>
      </c>
      <c r="F46" s="14">
        <f>D46*E46/1000</f>
        <v>0.3</v>
      </c>
      <c r="G46" s="15" t="s">
        <v>14</v>
      </c>
      <c r="H46" s="12" t="s">
        <v>50</v>
      </c>
      <c r="I46" s="16">
        <v>46293</v>
      </c>
      <c r="J46" s="17" t="s">
        <v>51</v>
      </c>
    </row>
    <row r="47" ht="20" customHeight="1" outlineLevel="2" spans="1:10">
      <c r="A47" s="12" t="s">
        <v>49</v>
      </c>
      <c r="B47" s="13" t="s">
        <v>19</v>
      </c>
      <c r="C47" s="13" t="s">
        <v>20</v>
      </c>
      <c r="D47" s="14">
        <v>10</v>
      </c>
      <c r="E47" s="14">
        <v>31</v>
      </c>
      <c r="F47" s="14">
        <f>D47*E47/1000</f>
        <v>0.31</v>
      </c>
      <c r="G47" s="15" t="s">
        <v>14</v>
      </c>
      <c r="H47" s="12" t="s">
        <v>50</v>
      </c>
      <c r="I47" s="16">
        <v>46293</v>
      </c>
      <c r="J47" s="17" t="s">
        <v>51</v>
      </c>
    </row>
    <row r="48" ht="20" customHeight="1" outlineLevel="2" spans="1:10">
      <c r="A48" s="12" t="s">
        <v>49</v>
      </c>
      <c r="B48" s="13" t="s">
        <v>21</v>
      </c>
      <c r="C48" s="13" t="s">
        <v>22</v>
      </c>
      <c r="D48" s="14">
        <v>5</v>
      </c>
      <c r="E48" s="14">
        <v>703</v>
      </c>
      <c r="F48" s="14">
        <f>D48*E48/1000</f>
        <v>3.515</v>
      </c>
      <c r="G48" s="15" t="s">
        <v>14</v>
      </c>
      <c r="H48" s="12" t="s">
        <v>50</v>
      </c>
      <c r="I48" s="16">
        <v>46293</v>
      </c>
      <c r="J48" s="17" t="s">
        <v>51</v>
      </c>
    </row>
    <row r="49" ht="20" customHeight="1" outlineLevel="2" spans="1:10">
      <c r="A49" s="12" t="s">
        <v>49</v>
      </c>
      <c r="B49" s="13" t="s">
        <v>39</v>
      </c>
      <c r="C49" s="13" t="s">
        <v>40</v>
      </c>
      <c r="D49" s="14">
        <v>10</v>
      </c>
      <c r="E49" s="14">
        <v>15</v>
      </c>
      <c r="F49" s="14">
        <f>D49*E49/1000</f>
        <v>0.15</v>
      </c>
      <c r="G49" s="15" t="s">
        <v>14</v>
      </c>
      <c r="H49" s="12" t="s">
        <v>50</v>
      </c>
      <c r="I49" s="16">
        <v>46293</v>
      </c>
      <c r="J49" s="17" t="s">
        <v>51</v>
      </c>
    </row>
    <row r="50" ht="20" customHeight="1" outlineLevel="2" spans="1:10">
      <c r="A50" s="12" t="s">
        <v>49</v>
      </c>
      <c r="B50" s="13" t="s">
        <v>29</v>
      </c>
      <c r="C50" s="13" t="s">
        <v>30</v>
      </c>
      <c r="D50" s="14">
        <v>25</v>
      </c>
      <c r="E50" s="14">
        <v>50</v>
      </c>
      <c r="F50" s="14">
        <f>D50*E50/1000</f>
        <v>1.25</v>
      </c>
      <c r="G50" s="15" t="s">
        <v>14</v>
      </c>
      <c r="H50" s="12" t="s">
        <v>50</v>
      </c>
      <c r="I50" s="16">
        <v>46293</v>
      </c>
      <c r="J50" s="17" t="s">
        <v>51</v>
      </c>
    </row>
    <row r="51" ht="20" customHeight="1" outlineLevel="1" spans="1:10">
      <c r="A51" s="18" t="s">
        <v>52</v>
      </c>
      <c r="B51" s="19"/>
      <c r="C51" s="19"/>
      <c r="D51" s="20"/>
      <c r="E51" s="20">
        <f>SUBTOTAL(9,E46:E50)</f>
        <v>829</v>
      </c>
      <c r="F51" s="20">
        <f>SUBTOTAL(9,F46:F50)</f>
        <v>5.525</v>
      </c>
      <c r="G51" s="21"/>
      <c r="H51" s="20"/>
      <c r="I51" s="22"/>
      <c r="J51" s="23"/>
    </row>
    <row r="52" ht="20" customHeight="1" outlineLevel="2" spans="1:10">
      <c r="A52" s="12" t="s">
        <v>53</v>
      </c>
      <c r="B52" s="13" t="s">
        <v>17</v>
      </c>
      <c r="C52" s="13" t="s">
        <v>18</v>
      </c>
      <c r="D52" s="14">
        <v>5</v>
      </c>
      <c r="E52" s="14">
        <v>60</v>
      </c>
      <c r="F52" s="14">
        <f>D52*E52/1000</f>
        <v>0.3</v>
      </c>
      <c r="G52" s="15" t="s">
        <v>14</v>
      </c>
      <c r="H52" s="12" t="s">
        <v>50</v>
      </c>
      <c r="I52" s="16">
        <v>46293</v>
      </c>
      <c r="J52" s="17" t="s">
        <v>51</v>
      </c>
    </row>
    <row r="53" ht="20" customHeight="1" outlineLevel="2" spans="1:10">
      <c r="A53" s="12" t="s">
        <v>53</v>
      </c>
      <c r="B53" s="13" t="s">
        <v>19</v>
      </c>
      <c r="C53" s="13" t="s">
        <v>20</v>
      </c>
      <c r="D53" s="14">
        <v>10</v>
      </c>
      <c r="E53" s="14">
        <v>80</v>
      </c>
      <c r="F53" s="14">
        <f>D53*E53/1000</f>
        <v>0.8</v>
      </c>
      <c r="G53" s="15" t="s">
        <v>14</v>
      </c>
      <c r="H53" s="12" t="s">
        <v>50</v>
      </c>
      <c r="I53" s="16">
        <v>46293</v>
      </c>
      <c r="J53" s="17" t="s">
        <v>51</v>
      </c>
    </row>
    <row r="54" ht="20" customHeight="1" outlineLevel="2" spans="1:10">
      <c r="A54" s="12" t="s">
        <v>53</v>
      </c>
      <c r="B54" s="13" t="s">
        <v>21</v>
      </c>
      <c r="C54" s="13" t="s">
        <v>22</v>
      </c>
      <c r="D54" s="14">
        <v>5</v>
      </c>
      <c r="E54" s="14">
        <v>1432</v>
      </c>
      <c r="F54" s="14">
        <f>D54*E54/1000</f>
        <v>7.16</v>
      </c>
      <c r="G54" s="15" t="s">
        <v>14</v>
      </c>
      <c r="H54" s="12" t="s">
        <v>50</v>
      </c>
      <c r="I54" s="16">
        <v>46293</v>
      </c>
      <c r="J54" s="17" t="s">
        <v>51</v>
      </c>
    </row>
    <row r="55" ht="20" customHeight="1" outlineLevel="2" spans="1:10">
      <c r="A55" s="12" t="s">
        <v>53</v>
      </c>
      <c r="B55" s="13" t="s">
        <v>33</v>
      </c>
      <c r="C55" s="13" t="s">
        <v>34</v>
      </c>
      <c r="D55" s="14">
        <v>5</v>
      </c>
      <c r="E55" s="14">
        <v>12</v>
      </c>
      <c r="F55" s="14">
        <f>D55*E55/1000</f>
        <v>0.06</v>
      </c>
      <c r="G55" s="15" t="s">
        <v>14</v>
      </c>
      <c r="H55" s="12" t="s">
        <v>50</v>
      </c>
      <c r="I55" s="16">
        <v>46293</v>
      </c>
      <c r="J55" s="17" t="s">
        <v>51</v>
      </c>
    </row>
    <row r="56" ht="20" customHeight="1" outlineLevel="2" spans="1:10">
      <c r="A56" s="12" t="s">
        <v>53</v>
      </c>
      <c r="B56" s="13" t="s">
        <v>23</v>
      </c>
      <c r="C56" s="13" t="s">
        <v>24</v>
      </c>
      <c r="D56" s="14">
        <v>10</v>
      </c>
      <c r="E56" s="14">
        <v>29</v>
      </c>
      <c r="F56" s="14">
        <f>D56*E56/1000</f>
        <v>0.29</v>
      </c>
      <c r="G56" s="15" t="s">
        <v>14</v>
      </c>
      <c r="H56" s="12" t="s">
        <v>50</v>
      </c>
      <c r="I56" s="16">
        <v>46293</v>
      </c>
      <c r="J56" s="17" t="s">
        <v>51</v>
      </c>
    </row>
    <row r="57" ht="20" customHeight="1" outlineLevel="2" spans="1:10">
      <c r="A57" s="12" t="s">
        <v>53</v>
      </c>
      <c r="B57" s="13" t="s">
        <v>29</v>
      </c>
      <c r="C57" s="13" t="s">
        <v>30</v>
      </c>
      <c r="D57" s="14">
        <v>25</v>
      </c>
      <c r="E57" s="14">
        <v>56</v>
      </c>
      <c r="F57" s="14">
        <f>D57*E57/1000</f>
        <v>1.4</v>
      </c>
      <c r="G57" s="15" t="s">
        <v>14</v>
      </c>
      <c r="H57" s="12" t="s">
        <v>50</v>
      </c>
      <c r="I57" s="16">
        <v>46293</v>
      </c>
      <c r="J57" s="17" t="s">
        <v>51</v>
      </c>
    </row>
    <row r="58" ht="20" customHeight="1" outlineLevel="1" spans="1:10">
      <c r="A58" s="18" t="s">
        <v>54</v>
      </c>
      <c r="B58" s="19"/>
      <c r="C58" s="19"/>
      <c r="D58" s="20"/>
      <c r="E58" s="20">
        <f>SUBTOTAL(9,E52:E57)</f>
        <v>1669</v>
      </c>
      <c r="F58" s="20">
        <f>SUBTOTAL(9,F52:F57)</f>
        <v>10.01</v>
      </c>
      <c r="G58" s="21"/>
      <c r="H58" s="20"/>
      <c r="I58" s="22"/>
      <c r="J58" s="23"/>
    </row>
    <row r="59" ht="20" customHeight="1" outlineLevel="2" spans="1:10">
      <c r="A59" s="12" t="s">
        <v>55</v>
      </c>
      <c r="B59" s="13" t="s">
        <v>12</v>
      </c>
      <c r="C59" s="13" t="s">
        <v>13</v>
      </c>
      <c r="D59" s="14">
        <v>10</v>
      </c>
      <c r="E59" s="14">
        <v>30</v>
      </c>
      <c r="F59" s="14">
        <f t="shared" ref="F59:F65" si="1">D59*E59/1000</f>
        <v>0.3</v>
      </c>
      <c r="G59" s="15" t="s">
        <v>14</v>
      </c>
      <c r="H59" s="12" t="s">
        <v>50</v>
      </c>
      <c r="I59" s="16">
        <v>46294</v>
      </c>
      <c r="J59" s="17" t="s">
        <v>56</v>
      </c>
    </row>
    <row r="60" ht="20" customHeight="1" outlineLevel="2" spans="1:10">
      <c r="A60" s="12" t="s">
        <v>55</v>
      </c>
      <c r="B60" s="13" t="s">
        <v>17</v>
      </c>
      <c r="C60" s="13" t="s">
        <v>18</v>
      </c>
      <c r="D60" s="14">
        <v>5</v>
      </c>
      <c r="E60" s="14">
        <v>70</v>
      </c>
      <c r="F60" s="14">
        <f t="shared" si="1"/>
        <v>0.35</v>
      </c>
      <c r="G60" s="15" t="s">
        <v>14</v>
      </c>
      <c r="H60" s="12" t="s">
        <v>50</v>
      </c>
      <c r="I60" s="16">
        <v>46294</v>
      </c>
      <c r="J60" s="17" t="s">
        <v>56</v>
      </c>
    </row>
    <row r="61" ht="20" customHeight="1" outlineLevel="2" spans="1:10">
      <c r="A61" s="12" t="s">
        <v>55</v>
      </c>
      <c r="B61" s="13" t="s">
        <v>19</v>
      </c>
      <c r="C61" s="13" t="s">
        <v>20</v>
      </c>
      <c r="D61" s="14">
        <v>10</v>
      </c>
      <c r="E61" s="14">
        <v>80</v>
      </c>
      <c r="F61" s="14">
        <f t="shared" si="1"/>
        <v>0.8</v>
      </c>
      <c r="G61" s="15" t="s">
        <v>14</v>
      </c>
      <c r="H61" s="12" t="s">
        <v>50</v>
      </c>
      <c r="I61" s="16">
        <v>46294</v>
      </c>
      <c r="J61" s="17" t="s">
        <v>56</v>
      </c>
    </row>
    <row r="62" ht="20" customHeight="1" outlineLevel="2" spans="1:10">
      <c r="A62" s="12" t="s">
        <v>55</v>
      </c>
      <c r="B62" s="13" t="s">
        <v>21</v>
      </c>
      <c r="C62" s="13" t="s">
        <v>22</v>
      </c>
      <c r="D62" s="14">
        <v>5</v>
      </c>
      <c r="E62" s="14">
        <v>1000</v>
      </c>
      <c r="F62" s="14">
        <f t="shared" si="1"/>
        <v>5</v>
      </c>
      <c r="G62" s="15" t="s">
        <v>14</v>
      </c>
      <c r="H62" s="12" t="s">
        <v>50</v>
      </c>
      <c r="I62" s="16">
        <v>46294</v>
      </c>
      <c r="J62" s="17" t="s">
        <v>56</v>
      </c>
    </row>
    <row r="63" ht="20" customHeight="1" outlineLevel="2" spans="1:10">
      <c r="A63" s="12" t="s">
        <v>55</v>
      </c>
      <c r="B63" s="13" t="s">
        <v>33</v>
      </c>
      <c r="C63" s="13" t="s">
        <v>34</v>
      </c>
      <c r="D63" s="14">
        <v>5</v>
      </c>
      <c r="E63" s="14">
        <v>44</v>
      </c>
      <c r="F63" s="14">
        <f t="shared" si="1"/>
        <v>0.22</v>
      </c>
      <c r="G63" s="15" t="s">
        <v>14</v>
      </c>
      <c r="H63" s="12" t="s">
        <v>50</v>
      </c>
      <c r="I63" s="16">
        <v>46294</v>
      </c>
      <c r="J63" s="17" t="s">
        <v>56</v>
      </c>
    </row>
    <row r="64" ht="20" customHeight="1" outlineLevel="2" spans="1:10">
      <c r="A64" s="12" t="s">
        <v>55</v>
      </c>
      <c r="B64" s="13" t="s">
        <v>25</v>
      </c>
      <c r="C64" s="13" t="s">
        <v>26</v>
      </c>
      <c r="D64" s="14">
        <v>2.5</v>
      </c>
      <c r="E64" s="14">
        <v>50</v>
      </c>
      <c r="F64" s="14">
        <f t="shared" si="1"/>
        <v>0.125</v>
      </c>
      <c r="G64" s="15" t="s">
        <v>14</v>
      </c>
      <c r="H64" s="12" t="s">
        <v>50</v>
      </c>
      <c r="I64" s="16">
        <v>46294</v>
      </c>
      <c r="J64" s="17" t="s">
        <v>56</v>
      </c>
    </row>
    <row r="65" ht="20" customHeight="1" outlineLevel="2" spans="1:10">
      <c r="A65" s="12" t="s">
        <v>55</v>
      </c>
      <c r="B65" s="13" t="s">
        <v>29</v>
      </c>
      <c r="C65" s="13" t="s">
        <v>30</v>
      </c>
      <c r="D65" s="14">
        <v>25</v>
      </c>
      <c r="E65" s="14">
        <v>130</v>
      </c>
      <c r="F65" s="14">
        <f t="shared" si="1"/>
        <v>3.25</v>
      </c>
      <c r="G65" s="15" t="s">
        <v>14</v>
      </c>
      <c r="H65" s="12" t="s">
        <v>50</v>
      </c>
      <c r="I65" s="16">
        <v>46294</v>
      </c>
      <c r="J65" s="17" t="s">
        <v>56</v>
      </c>
    </row>
    <row r="66" ht="20" customHeight="1" outlineLevel="1" spans="1:10">
      <c r="A66" s="18" t="s">
        <v>57</v>
      </c>
      <c r="B66" s="19"/>
      <c r="C66" s="19"/>
      <c r="D66" s="20"/>
      <c r="E66" s="20">
        <f>SUBTOTAL(9,E59:E65)</f>
        <v>1404</v>
      </c>
      <c r="F66" s="20">
        <f>SUBTOTAL(9,F59:F65)</f>
        <v>10.045</v>
      </c>
      <c r="G66" s="21"/>
      <c r="H66" s="20"/>
      <c r="I66" s="22"/>
      <c r="J66" s="23"/>
    </row>
    <row r="67" ht="20" customHeight="1"/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稻花翁订单明细9.24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刘雯</cp:lastModifiedBy>
  <dcterms:created xsi:type="dcterms:W3CDTF">2023-05-12T11:15:00Z</dcterms:created>
  <dcterms:modified xsi:type="dcterms:W3CDTF">2026-09-24T02:19:58Z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06BEE1AE6C4C43EA8C149C449F3DED5A_13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