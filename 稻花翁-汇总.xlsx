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稻花翁" state="visible" r:id="rId4"/>
  </sheets>
  <calcPr calcId="171027" fullCalcOnLoad="1"/>
</workbook>
</file>

<file path=xl/sharedStrings.xml><?xml version="1.0" encoding="utf-8"?>
<sst xmlns="http://schemas.openxmlformats.org/spreadsheetml/2006/main" count="884" uniqueCount="55">
  <si>
    <t>仓库名称</t>
  </si>
  <si>
    <t>货品名称</t>
  </si>
  <si>
    <t>品牌名称</t>
  </si>
  <si>
    <t>货品状态</t>
  </si>
  <si>
    <t>规格</t>
  </si>
  <si>
    <t>箱规</t>
  </si>
  <si>
    <t>高库龄件数</t>
  </si>
  <si>
    <t>高周转件数</t>
  </si>
  <si>
    <t>良品可用</t>
  </si>
  <si>
    <t>在库良品非锁定库存件数</t>
  </si>
  <si>
    <t>最近1天出库件数</t>
  </si>
  <si>
    <t>最近7天出库件数</t>
  </si>
  <si>
    <t>最近14天出库件数</t>
  </si>
  <si>
    <t>最近30天出库件数</t>
  </si>
  <si>
    <t>系统订单</t>
  </si>
  <si>
    <t>重量</t>
  </si>
  <si>
    <t>实际订单安排</t>
  </si>
  <si>
    <t>实际重量</t>
  </si>
  <si>
    <t>安排状态</t>
  </si>
  <si>
    <t>华东杭州直营商超仓</t>
  </si>
  <si>
    <t>国宝桥米稻花翁软香贡米25kg 25kg</t>
  </si>
  <si>
    <t>稻花翁</t>
  </si>
  <si>
    <t>正常</t>
  </si>
  <si>
    <t/>
  </si>
  <si>
    <t>国宝桥米稻花翁大米油粘米5kg大米2023新米南方籼米10斤 5kg×1袋</t>
  </si>
  <si>
    <t>国宝桥米大米稻花翁金泰南白兰香米10kg*1袋籼米新鲜大米 10kg×1袋</t>
  </si>
  <si>
    <t>国宝桥米稻花翁泰玉京香大米5kg籼米南方大米5kg籼米南方大米 5kg×1袋</t>
  </si>
  <si>
    <t>稻花翁臻选丝苗米2.5kg 2.5kg</t>
  </si>
  <si>
    <t>国宝桥米稻花翁丝苗米10kg湖北长粒大米20斤南方籼米 10kg×1袋</t>
  </si>
  <si>
    <t>国宝桥米稻花翁珍珠香米东北大米煮粥圆粒粳米5KG真空包装10斤</t>
  </si>
  <si>
    <t>国宝桥米稻花翁精选丝苗米南方籼米5KG真空粒粒分明当季新米10斤</t>
  </si>
  <si>
    <t>华东杭州直营商超仓 汇总</t>
  </si>
  <si>
    <t>华东合肥直营商超仓</t>
  </si>
  <si>
    <t>国宝桥米稻花翁精选丝苗米南方籼米10KG粒粒分明当季新米20斤</t>
  </si>
  <si>
    <t>国宝桥米稻花翁珍珠香米2.5kg大米粳米东北米 2.5kg</t>
  </si>
  <si>
    <t>华东合肥直营商超仓 汇总</t>
  </si>
  <si>
    <t>华东嘉兴直营商超A仓</t>
  </si>
  <si>
    <t>国宝桥米稻花翁东北珍珠米煮粥圆粒粳米10KG饭粥皆宜当季新米20斤</t>
  </si>
  <si>
    <t>华东嘉兴直营商超A仓 汇总</t>
  </si>
  <si>
    <t>华东金义直营商超仓</t>
  </si>
  <si>
    <t>华东金义直营商超仓 汇总</t>
  </si>
  <si>
    <t>华东南京直营商超仓</t>
  </si>
  <si>
    <t>华东南京直营商超仓 汇总</t>
  </si>
  <si>
    <t>华东无锡直营商超仓</t>
  </si>
  <si>
    <t>华东无锡直营商超仓 汇总</t>
  </si>
  <si>
    <t>华南东莞直营商超仓</t>
  </si>
  <si>
    <t>华南东莞直营商超仓 汇总</t>
  </si>
  <si>
    <t>华南广州直营商超A仓</t>
  </si>
  <si>
    <t>华南广州直营商超A仓 汇总</t>
  </si>
  <si>
    <t>华南江门直营商超仓</t>
  </si>
  <si>
    <t>华南江门直营商超仓 汇总</t>
  </si>
  <si>
    <t>华西成都直营商超仓</t>
  </si>
  <si>
    <t>华西成都直营商超仓 汇总</t>
  </si>
  <si>
    <t>华中武汉直营商超仓</t>
  </si>
  <si>
    <t>华中武汉直营商超仓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</si>
</sst>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8372F"/>
    </font>
  </fonts>
  <fills count="4">
    <fill>
      <patternFill patternType="none"/>
    </fill>
    <fill>
      <patternFill patternType="gray125"/>
    </fill>
    <fill>
      <patternFill patternType="solid">
        <fgColor rgb="FF244F45"/>
      </patternFill>
    </fill>
    <fill>
      <patternFill patternType="solid">
        <fgColor rgb="FFE4EEE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0DC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2" fillId="3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4" customWidth="1"/>
    <col min="3" max="3" width="14" customWidth="1"/>
    <col min="4" max="4" width="12" customWidth="1"/>
    <col min="5" max="6" width="10" customWidth="1"/>
    <col min="7" max="9" width="13" customWidth="1"/>
    <col min="10" max="10" width="20" customWidth="1"/>
    <col min="11" max="12" width="15" customWidth="1"/>
    <col min="13" max="14" width="16" customWidth="1"/>
    <col min="15" max="15" width="15" customWidth="1"/>
    <col min="16" max="16" width="12" style="1" customWidth="1"/>
    <col min="17" max="17" width="16" customWidth="1"/>
    <col min="18" max="18" width="12" style="1" customWidth="1"/>
    <col min="19" max="19" width="24" customWidth="1"/>
  </cols>
  <sheetData>
    <row r="1" ht="32" customHeight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</row>
    <row r="2" ht="23" customHeight="1" spans="1:19" s="4" customFormat="1" x14ac:dyDescent="0.25">
      <c r="A2" s="5" t="s">
        <v>19</v>
      </c>
      <c r="B2" s="6" t="s">
        <v>20</v>
      </c>
      <c r="C2" s="5" t="s">
        <v>21</v>
      </c>
      <c r="D2" s="5" t="s">
        <v>22</v>
      </c>
      <c r="E2" s="5">
        <v>25</v>
      </c>
      <c r="F2" s="5">
        <v>1</v>
      </c>
      <c r="G2" s="5">
        <v>0</v>
      </c>
      <c r="H2" s="5">
        <v>0</v>
      </c>
      <c r="I2" s="5">
        <v>95</v>
      </c>
      <c r="J2" s="5">
        <v>92</v>
      </c>
      <c r="K2" s="5">
        <v>1</v>
      </c>
      <c r="L2" s="5">
        <v>18</v>
      </c>
      <c r="M2" s="5">
        <v>37</v>
      </c>
      <c r="N2" s="5">
        <v>69</v>
      </c>
      <c r="O2" s="5">
        <v>38</v>
      </c>
      <c r="P2" s="7">
        <f>O2*E2/1000</f>
        <v>0.95</v>
      </c>
      <c r="Q2" s="5">
        <f>MIN(INT(O2/F2)*F2,ROUNDUP(MAX(0,(N2*0.5+(L2/7*30)*0.3+(K2*30)*0.2)*0.8-I2)/F2,0)*F2)</f>
        <v>0</v>
      </c>
      <c r="R2" s="7">
        <f>Q2*E2/1000</f>
        <v>0</v>
      </c>
      <c r="S2" s="5" t="s">
        <v>23</v>
      </c>
    </row>
    <row r="3" ht="23" customHeight="1" spans="1:19" s="4" customFormat="1" x14ac:dyDescent="0.25">
      <c r="A3" s="5" t="s">
        <v>19</v>
      </c>
      <c r="B3" s="6" t="s">
        <v>24</v>
      </c>
      <c r="C3" s="5" t="s">
        <v>21</v>
      </c>
      <c r="D3" s="5" t="s">
        <v>22</v>
      </c>
      <c r="E3" s="5">
        <v>5</v>
      </c>
      <c r="F3" s="5">
        <v>1</v>
      </c>
      <c r="G3" s="5">
        <v>0</v>
      </c>
      <c r="H3" s="5">
        <v>0</v>
      </c>
      <c r="I3" s="5">
        <v>133</v>
      </c>
      <c r="J3" s="5">
        <v>133</v>
      </c>
      <c r="K3" s="5">
        <v>5</v>
      </c>
      <c r="L3" s="5">
        <v>21</v>
      </c>
      <c r="M3" s="5">
        <v>37</v>
      </c>
      <c r="N3" s="5">
        <v>87</v>
      </c>
      <c r="O3" s="5">
        <v>71</v>
      </c>
      <c r="P3" s="7">
        <f>O3*E3/1000</f>
        <v>0.355</v>
      </c>
      <c r="Q3" s="5">
        <f>MIN(INT(O3/F3)*F3,ROUNDUP(MAX(0,(N3*0.5+(L3/7*30)*0.3+(K3*30)*0.2)*0.8-I3)/F3,0)*F3)</f>
        <v>0</v>
      </c>
      <c r="R3" s="7">
        <f>Q3*E3/1000</f>
        <v>0</v>
      </c>
      <c r="S3" s="5" t="s">
        <v>23</v>
      </c>
    </row>
    <row r="4" ht="23" customHeight="1" spans="1:19" s="4" customFormat="1" x14ac:dyDescent="0.25">
      <c r="A4" s="5" t="s">
        <v>19</v>
      </c>
      <c r="B4" s="6" t="s">
        <v>25</v>
      </c>
      <c r="C4" s="5" t="s">
        <v>21</v>
      </c>
      <c r="D4" s="5" t="s">
        <v>22</v>
      </c>
      <c r="E4" s="5">
        <v>10</v>
      </c>
      <c r="F4" s="5">
        <v>1</v>
      </c>
      <c r="G4" s="5">
        <v>0</v>
      </c>
      <c r="H4" s="5">
        <v>0</v>
      </c>
      <c r="I4" s="5">
        <v>27</v>
      </c>
      <c r="J4" s="5">
        <v>26</v>
      </c>
      <c r="K4" s="5">
        <v>2</v>
      </c>
      <c r="L4" s="5">
        <v>22</v>
      </c>
      <c r="M4" s="5">
        <v>41</v>
      </c>
      <c r="N4" s="5">
        <v>61</v>
      </c>
      <c r="O4" s="5">
        <v>18</v>
      </c>
      <c r="P4" s="7">
        <f>O4*E4/1000</f>
        <v>0.18</v>
      </c>
      <c r="Q4" s="5">
        <f>MIN(INT(O4/F4)*F4,ROUNDUP(MAX(0,(N4*0.5+(L4/7*30)*0.3+(K4*30)*0.2)*0.8-I4)/F4,0)*F4)</f>
        <v>18</v>
      </c>
      <c r="R4" s="7">
        <f>Q4*E4/1000</f>
        <v>0.18</v>
      </c>
      <c r="S4" s="5" t="s">
        <v>23</v>
      </c>
    </row>
    <row r="5" ht="23" customHeight="1" spans="1:19" s="4" customFormat="1" x14ac:dyDescent="0.25">
      <c r="A5" s="5" t="s">
        <v>19</v>
      </c>
      <c r="B5" s="6" t="s">
        <v>26</v>
      </c>
      <c r="C5" s="5" t="s">
        <v>21</v>
      </c>
      <c r="D5" s="5" t="s">
        <v>22</v>
      </c>
      <c r="E5" s="5">
        <v>5</v>
      </c>
      <c r="F5" s="5">
        <v>5</v>
      </c>
      <c r="G5" s="5">
        <v>0</v>
      </c>
      <c r="H5" s="5">
        <v>9.94</v>
      </c>
      <c r="I5" s="5">
        <v>39</v>
      </c>
      <c r="J5" s="5">
        <v>39</v>
      </c>
      <c r="K5" s="5">
        <v>1</v>
      </c>
      <c r="L5" s="5">
        <v>3</v>
      </c>
      <c r="M5" s="5">
        <v>6</v>
      </c>
      <c r="N5" s="5">
        <v>14</v>
      </c>
      <c r="O5" s="5">
        <v>10</v>
      </c>
      <c r="P5" s="7">
        <f>O5*E5/1000</f>
        <v>0.05</v>
      </c>
      <c r="Q5" s="5">
        <f>MIN(INT(O5/F5)*F5,ROUNDUP(MAX(0,(N5*0.5+(L5/7*30)*0.3+(K5*30)*0.2)*0.8-I5)/F5,0)*F5)</f>
        <v>0</v>
      </c>
      <c r="R5" s="7">
        <f>Q5*E5/1000</f>
        <v>0</v>
      </c>
      <c r="S5" s="5" t="s">
        <v>23</v>
      </c>
    </row>
    <row r="6" ht="23" customHeight="1" spans="1:19" s="4" customFormat="1" x14ac:dyDescent="0.25">
      <c r="A6" s="5" t="s">
        <v>19</v>
      </c>
      <c r="B6" s="6" t="s">
        <v>27</v>
      </c>
      <c r="C6" s="5" t="s">
        <v>21</v>
      </c>
      <c r="D6" s="5" t="s">
        <v>22</v>
      </c>
      <c r="E6" s="5">
        <v>2.5</v>
      </c>
      <c r="F6" s="5">
        <v>1</v>
      </c>
      <c r="G6" s="5">
        <v>0</v>
      </c>
      <c r="H6" s="5">
        <v>0</v>
      </c>
      <c r="I6" s="5">
        <v>111</v>
      </c>
      <c r="J6" s="5">
        <v>111</v>
      </c>
      <c r="K6" s="5">
        <v>0</v>
      </c>
      <c r="L6" s="5">
        <v>9</v>
      </c>
      <c r="M6" s="5">
        <v>21</v>
      </c>
      <c r="N6" s="5">
        <v>53</v>
      </c>
      <c r="O6" s="5">
        <v>37</v>
      </c>
      <c r="P6" s="7">
        <f>O6*E6/1000</f>
        <v>0.0925</v>
      </c>
      <c r="Q6" s="5">
        <f>MIN(INT(O6/F6)*F6,ROUNDUP(MAX(0,(N6*0.5+(L6/7*30)*0.3+(K6*30)*0.2)*0.8-I6)/F6,0)*F6)</f>
        <v>0</v>
      </c>
      <c r="R6" s="7">
        <f>Q6*E6/1000</f>
        <v>0</v>
      </c>
      <c r="S6" s="5" t="s">
        <v>23</v>
      </c>
    </row>
    <row r="7" ht="23" customHeight="1" spans="1:19" s="4" customFormat="1" x14ac:dyDescent="0.25">
      <c r="A7" s="5" t="s">
        <v>19</v>
      </c>
      <c r="B7" s="6" t="s">
        <v>28</v>
      </c>
      <c r="C7" s="5" t="s">
        <v>21</v>
      </c>
      <c r="D7" s="5" t="s">
        <v>22</v>
      </c>
      <c r="E7" s="5">
        <v>10</v>
      </c>
      <c r="F7" s="5">
        <v>1</v>
      </c>
      <c r="G7" s="5">
        <v>0</v>
      </c>
      <c r="H7" s="5">
        <v>0</v>
      </c>
      <c r="I7" s="5">
        <v>117</v>
      </c>
      <c r="J7" s="5">
        <v>116</v>
      </c>
      <c r="K7" s="5">
        <v>4</v>
      </c>
      <c r="L7" s="5">
        <v>44</v>
      </c>
      <c r="M7" s="5">
        <v>62</v>
      </c>
      <c r="N7" s="5">
        <v>105</v>
      </c>
      <c r="O7" s="5">
        <v>28</v>
      </c>
      <c r="P7" s="7">
        <f>O7*E7/1000</f>
        <v>0.28</v>
      </c>
      <c r="Q7" s="5">
        <f>MIN(INT(O7/F7)*F7,ROUNDUP(MAX(0,(N7*0.5+(L7/7*30)*0.3+(K7*30)*0.2)*0.8-I7)/F7,0)*F7)</f>
        <v>0</v>
      </c>
      <c r="R7" s="7">
        <f>Q7*E7/1000</f>
        <v>0</v>
      </c>
      <c r="S7" s="5" t="s">
        <v>23</v>
      </c>
    </row>
    <row r="8" ht="23" customHeight="1" spans="1:19" s="4" customFormat="1" x14ac:dyDescent="0.25">
      <c r="A8" s="5" t="s">
        <v>19</v>
      </c>
      <c r="B8" s="6" t="s">
        <v>29</v>
      </c>
      <c r="C8" s="5" t="s">
        <v>21</v>
      </c>
      <c r="D8" s="5" t="s">
        <v>22</v>
      </c>
      <c r="E8" s="5">
        <v>5</v>
      </c>
      <c r="F8" s="5">
        <v>1</v>
      </c>
      <c r="G8" s="5">
        <v>0</v>
      </c>
      <c r="H8" s="5">
        <v>0</v>
      </c>
      <c r="I8" s="5">
        <v>91</v>
      </c>
      <c r="J8" s="5">
        <v>91</v>
      </c>
      <c r="K8" s="5">
        <v>1</v>
      </c>
      <c r="L8" s="5">
        <v>20</v>
      </c>
      <c r="M8" s="5">
        <v>32</v>
      </c>
      <c r="N8" s="5">
        <v>71</v>
      </c>
      <c r="O8" s="5">
        <v>11</v>
      </c>
      <c r="P8" s="7">
        <f>O8*E8/1000</f>
        <v>0.055</v>
      </c>
      <c r="Q8" s="5">
        <f>MIN(INT(O8/F8)*F8,ROUNDUP(MAX(0,(N8*0.5+(L8/7*30)*0.3+(K8*30)*0.2)*0.8-I8)/F8,0)*F8)</f>
        <v>0</v>
      </c>
      <c r="R8" s="7">
        <f>Q8*E8/1000</f>
        <v>0</v>
      </c>
      <c r="S8" s="5" t="s">
        <v>23</v>
      </c>
    </row>
    <row r="9" ht="23" customHeight="1" spans="1:19" s="4" customFormat="1" x14ac:dyDescent="0.25">
      <c r="A9" s="5" t="s">
        <v>19</v>
      </c>
      <c r="B9" s="6" t="s">
        <v>24</v>
      </c>
      <c r="C9" s="5" t="s">
        <v>21</v>
      </c>
      <c r="D9" s="5" t="s">
        <v>22</v>
      </c>
      <c r="E9" s="5">
        <v>5</v>
      </c>
      <c r="F9" s="5">
        <v>1</v>
      </c>
      <c r="G9" s="5">
        <v>0</v>
      </c>
      <c r="H9" s="5">
        <v>0</v>
      </c>
      <c r="I9" s="5">
        <v>133</v>
      </c>
      <c r="J9" s="5">
        <v>133</v>
      </c>
      <c r="K9" s="5">
        <v>5</v>
      </c>
      <c r="L9" s="5">
        <v>21</v>
      </c>
      <c r="M9" s="5">
        <v>37</v>
      </c>
      <c r="N9" s="5">
        <v>87</v>
      </c>
      <c r="O9" s="5">
        <v>9</v>
      </c>
      <c r="P9" s="7">
        <f>O9*E9/1000</f>
        <v>0.045</v>
      </c>
      <c r="Q9" s="5">
        <f>MIN(INT(O9/F9)*F9,ROUNDUP(MAX(0,(N9*0.5+(L9/7*30)*0.3+(K9*30)*0.2)*0.8-I9)/F9,0)*F9)</f>
        <v>0</v>
      </c>
      <c r="R9" s="7">
        <f>Q9*E9/1000</f>
        <v>0</v>
      </c>
      <c r="S9" s="5" t="s">
        <v>23</v>
      </c>
    </row>
    <row r="10" ht="23" customHeight="1" spans="1:19" s="4" customFormat="1" x14ac:dyDescent="0.25">
      <c r="A10" s="5" t="s">
        <v>19</v>
      </c>
      <c r="B10" s="6" t="s">
        <v>27</v>
      </c>
      <c r="C10" s="5" t="s">
        <v>21</v>
      </c>
      <c r="D10" s="5" t="s">
        <v>22</v>
      </c>
      <c r="E10" s="5">
        <v>2.5</v>
      </c>
      <c r="F10" s="5">
        <v>1</v>
      </c>
      <c r="G10" s="5">
        <v>0</v>
      </c>
      <c r="H10" s="5">
        <v>0</v>
      </c>
      <c r="I10" s="5">
        <v>111</v>
      </c>
      <c r="J10" s="5">
        <v>111</v>
      </c>
      <c r="K10" s="5">
        <v>0</v>
      </c>
      <c r="L10" s="5">
        <v>9</v>
      </c>
      <c r="M10" s="5">
        <v>21</v>
      </c>
      <c r="N10" s="5">
        <v>53</v>
      </c>
      <c r="O10" s="5">
        <v>136</v>
      </c>
      <c r="P10" s="7">
        <f>O10*E10/1000</f>
        <v>0.34</v>
      </c>
      <c r="Q10" s="5">
        <f>MIN(INT(O10/F10)*F10,ROUNDUP(MAX(0,(N10*0.5+(L10/7*30)*0.3+(K10*30)*0.2)*0.8-I10)/F10,0)*F10)</f>
        <v>0</v>
      </c>
      <c r="R10" s="7">
        <f>Q10*E10/1000</f>
        <v>0</v>
      </c>
      <c r="S10" s="5" t="s">
        <v>23</v>
      </c>
    </row>
    <row r="11" ht="23" customHeight="1" spans="1:19" s="4" customFormat="1" x14ac:dyDescent="0.25">
      <c r="A11" s="5" t="s">
        <v>19</v>
      </c>
      <c r="B11" s="6" t="s">
        <v>30</v>
      </c>
      <c r="C11" s="5" t="s">
        <v>21</v>
      </c>
      <c r="D11" s="5" t="s">
        <v>22</v>
      </c>
      <c r="E11" s="5">
        <v>5</v>
      </c>
      <c r="F11" s="5">
        <v>1</v>
      </c>
      <c r="G11" s="5">
        <v>0</v>
      </c>
      <c r="H11" s="5">
        <v>0</v>
      </c>
      <c r="I11" s="5">
        <v>508</v>
      </c>
      <c r="J11" s="5">
        <v>505</v>
      </c>
      <c r="K11" s="5">
        <v>30</v>
      </c>
      <c r="L11" s="5">
        <v>132</v>
      </c>
      <c r="M11" s="5">
        <v>310</v>
      </c>
      <c r="N11" s="5">
        <v>544</v>
      </c>
      <c r="O11" s="5">
        <v>347</v>
      </c>
      <c r="P11" s="7">
        <f>O11*E11/1000</f>
        <v>1.735</v>
      </c>
      <c r="Q11" s="5">
        <f>MIN(INT(O11/F11)*F11,ROUNDUP(MAX(0,(N11*0.5+(L11/7*30)*0.3+(K11*30)*0.2)*0.8-I11)/F11,0)*F11)</f>
        <v>0</v>
      </c>
      <c r="R11" s="7">
        <f>Q11*E11/1000</f>
        <v>0</v>
      </c>
      <c r="S11" s="5" t="s">
        <v>23</v>
      </c>
    </row>
    <row r="12" ht="23" customHeight="1" spans="1:19" s="4" customFormat="1" x14ac:dyDescent="0.25">
      <c r="A12" s="5" t="s">
        <v>19</v>
      </c>
      <c r="B12" s="6" t="s">
        <v>20</v>
      </c>
      <c r="C12" s="5" t="s">
        <v>21</v>
      </c>
      <c r="D12" s="5" t="s">
        <v>22</v>
      </c>
      <c r="E12" s="5">
        <v>25</v>
      </c>
      <c r="F12" s="5">
        <v>1</v>
      </c>
      <c r="G12" s="5">
        <v>0</v>
      </c>
      <c r="H12" s="5">
        <v>0</v>
      </c>
      <c r="I12" s="5">
        <v>95</v>
      </c>
      <c r="J12" s="5">
        <v>92</v>
      </c>
      <c r="K12" s="5">
        <v>1</v>
      </c>
      <c r="L12" s="5">
        <v>18</v>
      </c>
      <c r="M12" s="5">
        <v>37</v>
      </c>
      <c r="N12" s="5">
        <v>69</v>
      </c>
      <c r="O12" s="5">
        <v>201</v>
      </c>
      <c r="P12" s="7">
        <f>O12*E12/1000</f>
        <v>5.025</v>
      </c>
      <c r="Q12" s="5">
        <f>MIN(INT(O12/F12)*F12,ROUNDUP(MAX(0,(N12*0.5+(L12/7*30)*0.3+(K12*30)*0.2)*0.8-I12)/F12,0)*F12)</f>
        <v>0</v>
      </c>
      <c r="R12" s="7">
        <f>Q12*E12/1000</f>
        <v>0</v>
      </c>
      <c r="S12" s="5" t="s">
        <v>23</v>
      </c>
    </row>
    <row r="13" ht="23" customHeight="1" spans="1:19" s="4" customFormat="1" x14ac:dyDescent="0.25">
      <c r="A13" s="5" t="s">
        <v>19</v>
      </c>
      <c r="B13" s="6" t="s">
        <v>24</v>
      </c>
      <c r="C13" s="5" t="s">
        <v>21</v>
      </c>
      <c r="D13" s="5" t="s">
        <v>22</v>
      </c>
      <c r="E13" s="5">
        <v>5</v>
      </c>
      <c r="F13" s="5">
        <v>1</v>
      </c>
      <c r="G13" s="5">
        <v>0</v>
      </c>
      <c r="H13" s="5">
        <v>0</v>
      </c>
      <c r="I13" s="5">
        <v>133</v>
      </c>
      <c r="J13" s="5">
        <v>133</v>
      </c>
      <c r="K13" s="5">
        <v>5</v>
      </c>
      <c r="L13" s="5">
        <v>21</v>
      </c>
      <c r="M13" s="5">
        <v>37</v>
      </c>
      <c r="N13" s="5">
        <v>87</v>
      </c>
      <c r="O13" s="5">
        <v>45</v>
      </c>
      <c r="P13" s="7">
        <f>O13*E13/1000</f>
        <v>0.225</v>
      </c>
      <c r="Q13" s="5">
        <f>MIN(INT(O13/F13)*F13,ROUNDUP(MAX(0,(N13*0.5+(L13/7*30)*0.3+(K13*30)*0.2)*0.8-I13)/F13,0)*F13)</f>
        <v>0</v>
      </c>
      <c r="R13" s="7">
        <f>Q13*E13/1000</f>
        <v>0</v>
      </c>
      <c r="S13" s="5" t="s">
        <v>23</v>
      </c>
    </row>
    <row r="14" ht="23" customHeight="1" spans="1:19" s="4" customFormat="1" x14ac:dyDescent="0.25">
      <c r="A14" s="5" t="s">
        <v>19</v>
      </c>
      <c r="B14" s="6" t="s">
        <v>25</v>
      </c>
      <c r="C14" s="5" t="s">
        <v>21</v>
      </c>
      <c r="D14" s="5" t="s">
        <v>22</v>
      </c>
      <c r="E14" s="5">
        <v>10</v>
      </c>
      <c r="F14" s="5">
        <v>1</v>
      </c>
      <c r="G14" s="5">
        <v>0</v>
      </c>
      <c r="H14" s="5">
        <v>0</v>
      </c>
      <c r="I14" s="5">
        <v>27</v>
      </c>
      <c r="J14" s="5">
        <v>26</v>
      </c>
      <c r="K14" s="5">
        <v>2</v>
      </c>
      <c r="L14" s="5">
        <v>22</v>
      </c>
      <c r="M14" s="5">
        <v>41</v>
      </c>
      <c r="N14" s="5">
        <v>61</v>
      </c>
      <c r="O14" s="5">
        <v>19</v>
      </c>
      <c r="P14" s="7">
        <f>O14*E14/1000</f>
        <v>0.19</v>
      </c>
      <c r="Q14" s="5">
        <f>MIN(INT(O14/F14)*F14,ROUNDUP(MAX(0,(N14*0.5+(L14/7*30)*0.3+(K14*30)*0.2)*0.8-I14)/F14,0)*F14)</f>
        <v>19</v>
      </c>
      <c r="R14" s="7">
        <f>Q14*E14/1000</f>
        <v>0.19</v>
      </c>
      <c r="S14" s="5" t="s">
        <v>23</v>
      </c>
    </row>
    <row r="15" ht="23" customHeight="1" spans="1:19" s="4" customFormat="1" x14ac:dyDescent="0.25">
      <c r="A15" s="5" t="s">
        <v>19</v>
      </c>
      <c r="B15" s="6" t="s">
        <v>26</v>
      </c>
      <c r="C15" s="5" t="s">
        <v>21</v>
      </c>
      <c r="D15" s="5" t="s">
        <v>22</v>
      </c>
      <c r="E15" s="5">
        <v>5</v>
      </c>
      <c r="F15" s="5">
        <v>5</v>
      </c>
      <c r="G15" s="5">
        <v>0</v>
      </c>
      <c r="H15" s="5">
        <v>9.94</v>
      </c>
      <c r="I15" s="5">
        <v>39</v>
      </c>
      <c r="J15" s="5">
        <v>39</v>
      </c>
      <c r="K15" s="5">
        <v>1</v>
      </c>
      <c r="L15" s="5">
        <v>3</v>
      </c>
      <c r="M15" s="5">
        <v>6</v>
      </c>
      <c r="N15" s="5">
        <v>14</v>
      </c>
      <c r="O15" s="5">
        <v>5</v>
      </c>
      <c r="P15" s="7">
        <f>O15*E15/1000</f>
        <v>0.025</v>
      </c>
      <c r="Q15" s="5">
        <f>MIN(INT(O15/F15)*F15,ROUNDUP(MAX(0,(N15*0.5+(L15/7*30)*0.3+(K15*30)*0.2)*0.8-I15)/F15,0)*F15)</f>
        <v>0</v>
      </c>
      <c r="R15" s="7">
        <f>Q15*E15/1000</f>
        <v>0</v>
      </c>
      <c r="S15" s="5" t="s">
        <v>23</v>
      </c>
    </row>
    <row r="16" ht="23" customHeight="1" spans="1:19" s="8" customFormat="1" x14ac:dyDescent="0.25">
      <c r="A16" s="9" t="s">
        <v>31</v>
      </c>
      <c r="B16" s="9" t="s">
        <v>23</v>
      </c>
      <c r="C16" s="9" t="s">
        <v>23</v>
      </c>
      <c r="D16" s="9" t="s">
        <v>23</v>
      </c>
      <c r="E16" s="9" t="s">
        <v>23</v>
      </c>
      <c r="F16" s="9" t="s">
        <v>23</v>
      </c>
      <c r="G16" s="9" t="s">
        <v>23</v>
      </c>
      <c r="H16" s="9" t="s">
        <v>23</v>
      </c>
      <c r="I16" s="9" t="s">
        <v>23</v>
      </c>
      <c r="J16" s="9" t="s">
        <v>23</v>
      </c>
      <c r="K16" s="9" t="s">
        <v>23</v>
      </c>
      <c r="L16" s="9" t="s">
        <v>23</v>
      </c>
      <c r="M16" s="9" t="s">
        <v>23</v>
      </c>
      <c r="N16" s="9" t="s">
        <v>23</v>
      </c>
      <c r="O16" s="9">
        <f>SUM(O2:O15)</f>
        <v>975</v>
      </c>
      <c r="P16" s="10">
        <f>SUM(P2:P15)</f>
        <v>9.5475</v>
      </c>
      <c r="Q16" s="9">
        <f>SUM(Q2:Q15)</f>
        <v>37</v>
      </c>
      <c r="R16" s="10">
        <f>SUM(R2:R15)</f>
        <v>0.37</v>
      </c>
      <c r="S16" s="9" t="s">
        <v>23</v>
      </c>
    </row>
    <row r="17" ht="23" customHeight="1" spans="1:19" s="4" customFormat="1" x14ac:dyDescent="0.25">
      <c r="A17" s="5" t="s">
        <v>32</v>
      </c>
      <c r="B17" s="6" t="s">
        <v>27</v>
      </c>
      <c r="C17" s="5" t="s">
        <v>21</v>
      </c>
      <c r="D17" s="5" t="s">
        <v>22</v>
      </c>
      <c r="E17" s="5">
        <v>2.5</v>
      </c>
      <c r="F17" s="5">
        <v>1</v>
      </c>
      <c r="G17" s="5">
        <v>0</v>
      </c>
      <c r="H17" s="5">
        <v>0</v>
      </c>
      <c r="I17" s="5">
        <v>54</v>
      </c>
      <c r="J17" s="5">
        <v>54</v>
      </c>
      <c r="K17" s="5">
        <v>0</v>
      </c>
      <c r="L17" s="5">
        <v>3</v>
      </c>
      <c r="M17" s="5">
        <v>8</v>
      </c>
      <c r="N17" s="5">
        <v>14</v>
      </c>
      <c r="O17" s="5">
        <v>15</v>
      </c>
      <c r="P17" s="7">
        <f>O17*E17/1000</f>
        <v>0.0375</v>
      </c>
      <c r="Q17" s="5">
        <f>MIN(INT(O17/F17)*F17,ROUNDUP(MAX(0,(N17*0.5+(L17/7*30)*0.3+(K17*30)*0.2)*0.8-I17)/F17,0)*F17)</f>
        <v>0</v>
      </c>
      <c r="R17" s="7">
        <f>Q17*E17/1000</f>
        <v>0</v>
      </c>
      <c r="S17" s="5" t="s">
        <v>23</v>
      </c>
    </row>
    <row r="18" ht="23" customHeight="1" spans="1:19" s="4" customFormat="1" x14ac:dyDescent="0.25">
      <c r="A18" s="5" t="s">
        <v>32</v>
      </c>
      <c r="B18" s="6" t="s">
        <v>24</v>
      </c>
      <c r="C18" s="5" t="s">
        <v>21</v>
      </c>
      <c r="D18" s="5" t="s">
        <v>22</v>
      </c>
      <c r="E18" s="5">
        <v>5</v>
      </c>
      <c r="F18" s="5">
        <v>1</v>
      </c>
      <c r="G18" s="5">
        <v>0</v>
      </c>
      <c r="H18" s="5">
        <v>4.93</v>
      </c>
      <c r="I18" s="5">
        <v>72</v>
      </c>
      <c r="J18" s="5">
        <v>72</v>
      </c>
      <c r="K18" s="5">
        <v>2</v>
      </c>
      <c r="L18" s="5">
        <v>12</v>
      </c>
      <c r="M18" s="5">
        <v>20</v>
      </c>
      <c r="N18" s="5">
        <v>43</v>
      </c>
      <c r="O18" s="5">
        <v>6</v>
      </c>
      <c r="P18" s="7">
        <f>O18*E18/1000</f>
        <v>0.03</v>
      </c>
      <c r="Q18" s="5">
        <f>MIN(INT(O18/F18)*F18,ROUNDUP(MAX(0,(N18*0.5+(L18/7*30)*0.3+(K18*30)*0.2)*0.8-I18)/F18,0)*F18)</f>
        <v>0</v>
      </c>
      <c r="R18" s="7">
        <f>Q18*E18/1000</f>
        <v>0</v>
      </c>
      <c r="S18" s="5" t="s">
        <v>23</v>
      </c>
    </row>
    <row r="19" ht="23" customHeight="1" spans="1:19" s="4" customFormat="1" x14ac:dyDescent="0.25">
      <c r="A19" s="5" t="s">
        <v>32</v>
      </c>
      <c r="B19" s="6" t="s">
        <v>20</v>
      </c>
      <c r="C19" s="5" t="s">
        <v>21</v>
      </c>
      <c r="D19" s="5" t="s">
        <v>22</v>
      </c>
      <c r="E19" s="5">
        <v>25</v>
      </c>
      <c r="F19" s="5">
        <v>1</v>
      </c>
      <c r="G19" s="5">
        <v>0</v>
      </c>
      <c r="H19" s="5">
        <v>0</v>
      </c>
      <c r="I19" s="5">
        <v>63</v>
      </c>
      <c r="J19" s="5">
        <v>63</v>
      </c>
      <c r="K19" s="5">
        <v>1</v>
      </c>
      <c r="L19" s="5">
        <v>12</v>
      </c>
      <c r="M19" s="5">
        <v>29</v>
      </c>
      <c r="N19" s="5">
        <v>57</v>
      </c>
      <c r="O19" s="5">
        <v>42</v>
      </c>
      <c r="P19" s="7">
        <f>O19*E19/1000</f>
        <v>1.05</v>
      </c>
      <c r="Q19" s="5">
        <f>MIN(INT(O19/F19)*F19,ROUNDUP(MAX(0,(N19*0.5+(L19/7*30)*0.3+(K19*30)*0.2)*0.8-I19)/F19,0)*F19)</f>
        <v>0</v>
      </c>
      <c r="R19" s="7">
        <f>Q19*E19/1000</f>
        <v>0</v>
      </c>
      <c r="S19" s="5" t="s">
        <v>23</v>
      </c>
    </row>
    <row r="20" ht="23" customHeight="1" spans="1:19" s="4" customFormat="1" x14ac:dyDescent="0.25">
      <c r="A20" s="5" t="s">
        <v>32</v>
      </c>
      <c r="B20" s="6" t="s">
        <v>30</v>
      </c>
      <c r="C20" s="5" t="s">
        <v>21</v>
      </c>
      <c r="D20" s="5" t="s">
        <v>22</v>
      </c>
      <c r="E20" s="5">
        <v>5</v>
      </c>
      <c r="F20" s="5">
        <v>1</v>
      </c>
      <c r="G20" s="5">
        <v>0</v>
      </c>
      <c r="H20" s="5">
        <v>0</v>
      </c>
      <c r="I20" s="5">
        <v>76</v>
      </c>
      <c r="J20" s="5">
        <v>74</v>
      </c>
      <c r="K20" s="5">
        <v>14</v>
      </c>
      <c r="L20" s="5">
        <v>175</v>
      </c>
      <c r="M20" s="5">
        <v>351</v>
      </c>
      <c r="N20" s="5">
        <v>513</v>
      </c>
      <c r="O20" s="5">
        <v>123</v>
      </c>
      <c r="P20" s="7">
        <f>O20*E20/1000</f>
        <v>0.615</v>
      </c>
      <c r="Q20" s="5">
        <f>MIN(INT(O20/F20)*F20,ROUNDUP(MAX(0,(N20*0.5+(L20/7*30)*0.3+(K20*30)*0.2)*0.8-I20)/F20,0)*F20)</f>
        <v>123</v>
      </c>
      <c r="R20" s="7">
        <f>Q20*E20/1000</f>
        <v>0.615</v>
      </c>
      <c r="S20" s="5" t="s">
        <v>23</v>
      </c>
    </row>
    <row r="21" ht="23" customHeight="1" spans="1:19" s="4" customFormat="1" x14ac:dyDescent="0.25">
      <c r="A21" s="5" t="s">
        <v>32</v>
      </c>
      <c r="B21" s="6" t="s">
        <v>25</v>
      </c>
      <c r="C21" s="5" t="s">
        <v>21</v>
      </c>
      <c r="D21" s="5" t="s">
        <v>22</v>
      </c>
      <c r="E21" s="5">
        <v>10</v>
      </c>
      <c r="F21" s="5">
        <v>1</v>
      </c>
      <c r="G21" s="5">
        <v>0</v>
      </c>
      <c r="H21" s="5">
        <v>2.66</v>
      </c>
      <c r="I21" s="5">
        <v>49</v>
      </c>
      <c r="J21" s="5">
        <v>49</v>
      </c>
      <c r="K21" s="5">
        <v>1</v>
      </c>
      <c r="L21" s="5">
        <v>5</v>
      </c>
      <c r="M21" s="5">
        <v>15</v>
      </c>
      <c r="N21" s="5">
        <v>30</v>
      </c>
      <c r="O21" s="5">
        <v>4</v>
      </c>
      <c r="P21" s="7">
        <f>O21*E21/1000</f>
        <v>0.04</v>
      </c>
      <c r="Q21" s="5">
        <f>MIN(INT(O21/F21)*F21,ROUNDUP(MAX(0,(N21*0.5+(L21/7*30)*0.3+(K21*30)*0.2)*0.8-I21)/F21,0)*F21)</f>
        <v>0</v>
      </c>
      <c r="R21" s="7">
        <f>Q21*E21/1000</f>
        <v>0</v>
      </c>
      <c r="S21" s="5" t="s">
        <v>23</v>
      </c>
    </row>
    <row r="22" ht="23" customHeight="1" spans="1:19" s="4" customFormat="1" x14ac:dyDescent="0.25">
      <c r="A22" s="5" t="s">
        <v>32</v>
      </c>
      <c r="B22" s="6" t="s">
        <v>33</v>
      </c>
      <c r="C22" s="5" t="s">
        <v>21</v>
      </c>
      <c r="D22" s="5" t="s">
        <v>22</v>
      </c>
      <c r="E22" s="5">
        <v>10</v>
      </c>
      <c r="F22" s="5">
        <v>1</v>
      </c>
      <c r="G22" s="5">
        <v>0</v>
      </c>
      <c r="H22" s="5">
        <v>0</v>
      </c>
      <c r="I22" s="5">
        <v>69</v>
      </c>
      <c r="J22" s="5">
        <v>69</v>
      </c>
      <c r="K22" s="5">
        <v>1</v>
      </c>
      <c r="L22" s="5">
        <v>10</v>
      </c>
      <c r="M22" s="5">
        <v>33</v>
      </c>
      <c r="N22" s="5">
        <v>61</v>
      </c>
      <c r="O22" s="5">
        <v>22</v>
      </c>
      <c r="P22" s="7">
        <f>O22*E22/1000</f>
        <v>0.22</v>
      </c>
      <c r="Q22" s="5">
        <f>MIN(INT(O22/F22)*F22,ROUNDUP(MAX(0,(N22*0.5+(L22/7*30)*0.3+(K22*30)*0.2)*0.8-I22)/F22,0)*F22)</f>
        <v>0</v>
      </c>
      <c r="R22" s="7">
        <f>Q22*E22/1000</f>
        <v>0</v>
      </c>
      <c r="S22" s="5" t="s">
        <v>23</v>
      </c>
    </row>
    <row r="23" ht="23" customHeight="1" spans="1:19" s="4" customFormat="1" x14ac:dyDescent="0.25">
      <c r="A23" s="5" t="s">
        <v>32</v>
      </c>
      <c r="B23" s="6" t="s">
        <v>28</v>
      </c>
      <c r="C23" s="5" t="s">
        <v>21</v>
      </c>
      <c r="D23" s="5" t="s">
        <v>22</v>
      </c>
      <c r="E23" s="5">
        <v>10</v>
      </c>
      <c r="F23" s="5">
        <v>1</v>
      </c>
      <c r="G23" s="5">
        <v>0</v>
      </c>
      <c r="H23" s="5">
        <v>0</v>
      </c>
      <c r="I23" s="5">
        <v>53</v>
      </c>
      <c r="J23" s="5">
        <v>53</v>
      </c>
      <c r="K23" s="5">
        <v>1</v>
      </c>
      <c r="L23" s="5">
        <v>14</v>
      </c>
      <c r="M23" s="5">
        <v>17</v>
      </c>
      <c r="N23" s="5">
        <v>45</v>
      </c>
      <c r="O23" s="5">
        <v>38</v>
      </c>
      <c r="P23" s="7">
        <f>O23*E23/1000</f>
        <v>0.38</v>
      </c>
      <c r="Q23" s="5">
        <f>MIN(INT(O23/F23)*F23,ROUNDUP(MAX(0,(N23*0.5+(L23/7*30)*0.3+(K23*30)*0.2)*0.8-I23)/F23,0)*F23)</f>
        <v>0</v>
      </c>
      <c r="R23" s="7">
        <f>Q23*E23/1000</f>
        <v>0</v>
      </c>
      <c r="S23" s="5" t="s">
        <v>23</v>
      </c>
    </row>
    <row r="24" ht="23" customHeight="1" spans="1:19" s="4" customFormat="1" x14ac:dyDescent="0.25">
      <c r="A24" s="5" t="s">
        <v>32</v>
      </c>
      <c r="B24" s="6" t="s">
        <v>20</v>
      </c>
      <c r="C24" s="5" t="s">
        <v>21</v>
      </c>
      <c r="D24" s="5" t="s">
        <v>22</v>
      </c>
      <c r="E24" s="5">
        <v>25</v>
      </c>
      <c r="F24" s="5">
        <v>1</v>
      </c>
      <c r="G24" s="5">
        <v>0</v>
      </c>
      <c r="H24" s="5">
        <v>0</v>
      </c>
      <c r="I24" s="5">
        <v>63</v>
      </c>
      <c r="J24" s="5">
        <v>63</v>
      </c>
      <c r="K24" s="5">
        <v>1</v>
      </c>
      <c r="L24" s="5">
        <v>12</v>
      </c>
      <c r="M24" s="5">
        <v>29</v>
      </c>
      <c r="N24" s="5">
        <v>57</v>
      </c>
      <c r="O24" s="5">
        <v>25</v>
      </c>
      <c r="P24" s="7">
        <f>O24*E24/1000</f>
        <v>0.625</v>
      </c>
      <c r="Q24" s="5">
        <f>MIN(INT(O24/F24)*F24,ROUNDUP(MAX(0,(N24*0.5+(L24/7*30)*0.3+(K24*30)*0.2)*0.8-I24)/F24,0)*F24)</f>
        <v>0</v>
      </c>
      <c r="R24" s="7">
        <f>Q24*E24/1000</f>
        <v>0</v>
      </c>
      <c r="S24" s="5" t="s">
        <v>23</v>
      </c>
    </row>
    <row r="25" ht="23" customHeight="1" spans="1:19" s="4" customFormat="1" x14ac:dyDescent="0.25">
      <c r="A25" s="5" t="s">
        <v>32</v>
      </c>
      <c r="B25" s="6" t="s">
        <v>29</v>
      </c>
      <c r="C25" s="5" t="s">
        <v>21</v>
      </c>
      <c r="D25" s="5" t="s">
        <v>22</v>
      </c>
      <c r="E25" s="5">
        <v>5</v>
      </c>
      <c r="F25" s="5">
        <v>1</v>
      </c>
      <c r="G25" s="5">
        <v>0</v>
      </c>
      <c r="H25" s="5">
        <v>0</v>
      </c>
      <c r="I25" s="5">
        <v>28</v>
      </c>
      <c r="J25" s="5">
        <v>28</v>
      </c>
      <c r="K25" s="5">
        <v>1</v>
      </c>
      <c r="L25" s="5">
        <v>24</v>
      </c>
      <c r="M25" s="5">
        <v>41</v>
      </c>
      <c r="N25" s="5">
        <v>82</v>
      </c>
      <c r="O25" s="5">
        <v>19</v>
      </c>
      <c r="P25" s="7">
        <f>O25*E25/1000</f>
        <v>0.095</v>
      </c>
      <c r="Q25" s="5">
        <f>MIN(INT(O25/F25)*F25,ROUNDUP(MAX(0,(N25*0.5+(L25/7*30)*0.3+(K25*30)*0.2)*0.8-I25)/F25,0)*F25)</f>
        <v>19</v>
      </c>
      <c r="R25" s="7">
        <f>Q25*E25/1000</f>
        <v>0.095</v>
      </c>
      <c r="S25" s="5" t="s">
        <v>23</v>
      </c>
    </row>
    <row r="26" ht="23" customHeight="1" spans="1:19" s="4" customFormat="1" x14ac:dyDescent="0.25">
      <c r="A26" s="5" t="s">
        <v>32</v>
      </c>
      <c r="B26" s="6" t="s">
        <v>33</v>
      </c>
      <c r="C26" s="5" t="s">
        <v>21</v>
      </c>
      <c r="D26" s="5" t="s">
        <v>22</v>
      </c>
      <c r="E26" s="5">
        <v>10</v>
      </c>
      <c r="F26" s="5">
        <v>1</v>
      </c>
      <c r="G26" s="5">
        <v>0</v>
      </c>
      <c r="H26" s="5">
        <v>0</v>
      </c>
      <c r="I26" s="5">
        <v>69</v>
      </c>
      <c r="J26" s="5">
        <v>69</v>
      </c>
      <c r="K26" s="5">
        <v>1</v>
      </c>
      <c r="L26" s="5">
        <v>10</v>
      </c>
      <c r="M26" s="5">
        <v>33</v>
      </c>
      <c r="N26" s="5">
        <v>61</v>
      </c>
      <c r="O26" s="5">
        <v>15</v>
      </c>
      <c r="P26" s="7">
        <f>O26*E26/1000</f>
        <v>0.15</v>
      </c>
      <c r="Q26" s="5">
        <f>MIN(INT(O26/F26)*F26,ROUNDUP(MAX(0,(N26*0.5+(L26/7*30)*0.3+(K26*30)*0.2)*0.8-I26)/F26,0)*F26)</f>
        <v>0</v>
      </c>
      <c r="R26" s="7">
        <f>Q26*E26/1000</f>
        <v>0</v>
      </c>
      <c r="S26" s="5" t="s">
        <v>23</v>
      </c>
    </row>
    <row r="27" ht="23" customHeight="1" spans="1:19" s="4" customFormat="1" x14ac:dyDescent="0.25">
      <c r="A27" s="5" t="s">
        <v>32</v>
      </c>
      <c r="B27" s="6" t="s">
        <v>20</v>
      </c>
      <c r="C27" s="5" t="s">
        <v>21</v>
      </c>
      <c r="D27" s="5" t="s">
        <v>22</v>
      </c>
      <c r="E27" s="5">
        <v>25</v>
      </c>
      <c r="F27" s="5">
        <v>1</v>
      </c>
      <c r="G27" s="5">
        <v>0</v>
      </c>
      <c r="H27" s="5">
        <v>0</v>
      </c>
      <c r="I27" s="5">
        <v>63</v>
      </c>
      <c r="J27" s="5">
        <v>63</v>
      </c>
      <c r="K27" s="5">
        <v>1</v>
      </c>
      <c r="L27" s="5">
        <v>12</v>
      </c>
      <c r="M27" s="5">
        <v>29</v>
      </c>
      <c r="N27" s="5">
        <v>57</v>
      </c>
      <c r="O27" s="5">
        <v>112</v>
      </c>
      <c r="P27" s="7">
        <f>O27*E27/1000</f>
        <v>2.8</v>
      </c>
      <c r="Q27" s="5">
        <f>MIN(INT(O27/F27)*F27,ROUNDUP(MAX(0,(N27*0.5+(L27/7*30)*0.3+(K27*30)*0.2)*0.8-I27)/F27,0)*F27)</f>
        <v>0</v>
      </c>
      <c r="R27" s="7">
        <f>Q27*E27/1000</f>
        <v>0</v>
      </c>
      <c r="S27" s="5" t="s">
        <v>23</v>
      </c>
    </row>
    <row r="28" ht="23" customHeight="1" spans="1:19" s="4" customFormat="1" x14ac:dyDescent="0.25">
      <c r="A28" s="5" t="s">
        <v>32</v>
      </c>
      <c r="B28" s="6" t="s">
        <v>25</v>
      </c>
      <c r="C28" s="5" t="s">
        <v>21</v>
      </c>
      <c r="D28" s="5" t="s">
        <v>22</v>
      </c>
      <c r="E28" s="5">
        <v>10</v>
      </c>
      <c r="F28" s="5">
        <v>1</v>
      </c>
      <c r="G28" s="5">
        <v>0</v>
      </c>
      <c r="H28" s="5">
        <v>2.66</v>
      </c>
      <c r="I28" s="5">
        <v>49</v>
      </c>
      <c r="J28" s="5">
        <v>49</v>
      </c>
      <c r="K28" s="5">
        <v>1</v>
      </c>
      <c r="L28" s="5">
        <v>5</v>
      </c>
      <c r="M28" s="5">
        <v>15</v>
      </c>
      <c r="N28" s="5">
        <v>30</v>
      </c>
      <c r="O28" s="5">
        <v>3</v>
      </c>
      <c r="P28" s="7">
        <f>O28*E28/1000</f>
        <v>0.03</v>
      </c>
      <c r="Q28" s="5">
        <f>MIN(INT(O28/F28)*F28,ROUNDUP(MAX(0,(N28*0.5+(L28/7*30)*0.3+(K28*30)*0.2)*0.8-I28)/F28,0)*F28)</f>
        <v>0</v>
      </c>
      <c r="R28" s="7">
        <f>Q28*E28/1000</f>
        <v>0</v>
      </c>
      <c r="S28" s="5" t="s">
        <v>23</v>
      </c>
    </row>
    <row r="29" ht="23" customHeight="1" spans="1:19" s="4" customFormat="1" x14ac:dyDescent="0.25">
      <c r="A29" s="5" t="s">
        <v>32</v>
      </c>
      <c r="B29" s="6" t="s">
        <v>29</v>
      </c>
      <c r="C29" s="5" t="s">
        <v>21</v>
      </c>
      <c r="D29" s="5" t="s">
        <v>22</v>
      </c>
      <c r="E29" s="5">
        <v>5</v>
      </c>
      <c r="F29" s="5">
        <v>1</v>
      </c>
      <c r="G29" s="5">
        <v>0</v>
      </c>
      <c r="H29" s="5">
        <v>0</v>
      </c>
      <c r="I29" s="5">
        <v>28</v>
      </c>
      <c r="J29" s="5">
        <v>28</v>
      </c>
      <c r="K29" s="5">
        <v>1</v>
      </c>
      <c r="L29" s="5">
        <v>24</v>
      </c>
      <c r="M29" s="5">
        <v>41</v>
      </c>
      <c r="N29" s="5">
        <v>82</v>
      </c>
      <c r="O29" s="5">
        <v>34</v>
      </c>
      <c r="P29" s="7">
        <f>O29*E29/1000</f>
        <v>0.17</v>
      </c>
      <c r="Q29" s="5">
        <f>MIN(INT(O29/F29)*F29,ROUNDUP(MAX(0,(N29*0.5+(L29/7*30)*0.3+(K29*30)*0.2)*0.8-I29)/F29,0)*F29)</f>
        <v>34</v>
      </c>
      <c r="R29" s="7">
        <f>Q29*E29/1000</f>
        <v>0.17</v>
      </c>
      <c r="S29" s="5" t="s">
        <v>23</v>
      </c>
    </row>
    <row r="30" ht="23" customHeight="1" spans="1:19" s="4" customFormat="1" x14ac:dyDescent="0.25">
      <c r="A30" s="5" t="s">
        <v>32</v>
      </c>
      <c r="B30" s="6" t="s">
        <v>30</v>
      </c>
      <c r="C30" s="5" t="s">
        <v>21</v>
      </c>
      <c r="D30" s="5" t="s">
        <v>22</v>
      </c>
      <c r="E30" s="5">
        <v>5</v>
      </c>
      <c r="F30" s="5">
        <v>1</v>
      </c>
      <c r="G30" s="5">
        <v>0</v>
      </c>
      <c r="H30" s="5">
        <v>0</v>
      </c>
      <c r="I30" s="5">
        <v>76</v>
      </c>
      <c r="J30" s="5">
        <v>74</v>
      </c>
      <c r="K30" s="5">
        <v>14</v>
      </c>
      <c r="L30" s="5">
        <v>175</v>
      </c>
      <c r="M30" s="5">
        <v>351</v>
      </c>
      <c r="N30" s="5">
        <v>513</v>
      </c>
      <c r="O30" s="5">
        <v>381</v>
      </c>
      <c r="P30" s="7">
        <f>O30*E30/1000</f>
        <v>1.905</v>
      </c>
      <c r="Q30" s="5">
        <f>MIN(INT(O30/F30)*F30,ROUNDUP(MAX(0,(N30*0.5+(L30/7*30)*0.3+(K30*30)*0.2)*0.8-I30)/F30,0)*F30)</f>
        <v>377</v>
      </c>
      <c r="R30" s="7">
        <f>Q30*E30/1000</f>
        <v>1.885</v>
      </c>
      <c r="S30" s="5" t="s">
        <v>23</v>
      </c>
    </row>
    <row r="31" ht="23" customHeight="1" spans="1:19" s="4" customFormat="1" x14ac:dyDescent="0.25">
      <c r="A31" s="5" t="s">
        <v>32</v>
      </c>
      <c r="B31" s="6" t="s">
        <v>28</v>
      </c>
      <c r="C31" s="5" t="s">
        <v>21</v>
      </c>
      <c r="D31" s="5" t="s">
        <v>22</v>
      </c>
      <c r="E31" s="5">
        <v>10</v>
      </c>
      <c r="F31" s="5">
        <v>1</v>
      </c>
      <c r="G31" s="5">
        <v>0</v>
      </c>
      <c r="H31" s="5">
        <v>0</v>
      </c>
      <c r="I31" s="5">
        <v>53</v>
      </c>
      <c r="J31" s="5">
        <v>53</v>
      </c>
      <c r="K31" s="5">
        <v>1</v>
      </c>
      <c r="L31" s="5">
        <v>14</v>
      </c>
      <c r="M31" s="5">
        <v>17</v>
      </c>
      <c r="N31" s="5">
        <v>45</v>
      </c>
      <c r="O31" s="5">
        <v>10</v>
      </c>
      <c r="P31" s="7">
        <f>O31*E31/1000</f>
        <v>0.1</v>
      </c>
      <c r="Q31" s="5">
        <f>MIN(INT(O31/F31)*F31,ROUNDUP(MAX(0,(N31*0.5+(L31/7*30)*0.3+(K31*30)*0.2)*0.8-I31)/F31,0)*F31)</f>
        <v>0</v>
      </c>
      <c r="R31" s="7">
        <f>Q31*E31/1000</f>
        <v>0</v>
      </c>
      <c r="S31" s="5" t="s">
        <v>23</v>
      </c>
    </row>
    <row r="32" ht="23" customHeight="1" spans="1:19" s="4" customFormat="1" x14ac:dyDescent="0.25">
      <c r="A32" s="5" t="s">
        <v>32</v>
      </c>
      <c r="B32" s="6" t="s">
        <v>33</v>
      </c>
      <c r="C32" s="5" t="s">
        <v>21</v>
      </c>
      <c r="D32" s="5" t="s">
        <v>22</v>
      </c>
      <c r="E32" s="5">
        <v>10</v>
      </c>
      <c r="F32" s="5">
        <v>1</v>
      </c>
      <c r="G32" s="5">
        <v>0</v>
      </c>
      <c r="H32" s="5">
        <v>0</v>
      </c>
      <c r="I32" s="5">
        <v>69</v>
      </c>
      <c r="J32" s="5">
        <v>69</v>
      </c>
      <c r="K32" s="5">
        <v>1</v>
      </c>
      <c r="L32" s="5">
        <v>10</v>
      </c>
      <c r="M32" s="5">
        <v>33</v>
      </c>
      <c r="N32" s="5">
        <v>61</v>
      </c>
      <c r="O32" s="5">
        <v>17</v>
      </c>
      <c r="P32" s="7">
        <f>O32*E32/1000</f>
        <v>0.17</v>
      </c>
      <c r="Q32" s="5">
        <f>MIN(INT(O32/F32)*F32,ROUNDUP(MAX(0,(N32*0.5+(L32/7*30)*0.3+(K32*30)*0.2)*0.8-I32)/F32,0)*F32)</f>
        <v>0</v>
      </c>
      <c r="R32" s="7">
        <f>Q32*E32/1000</f>
        <v>0</v>
      </c>
      <c r="S32" s="5" t="s">
        <v>23</v>
      </c>
    </row>
    <row r="33" ht="23" customHeight="1" spans="1:19" s="4" customFormat="1" x14ac:dyDescent="0.25">
      <c r="A33" s="5" t="s">
        <v>32</v>
      </c>
      <c r="B33" s="6" t="s">
        <v>27</v>
      </c>
      <c r="C33" s="5" t="s">
        <v>21</v>
      </c>
      <c r="D33" s="5" t="s">
        <v>22</v>
      </c>
      <c r="E33" s="5">
        <v>2.5</v>
      </c>
      <c r="F33" s="5">
        <v>1</v>
      </c>
      <c r="G33" s="5">
        <v>0</v>
      </c>
      <c r="H33" s="5">
        <v>0</v>
      </c>
      <c r="I33" s="5">
        <v>54</v>
      </c>
      <c r="J33" s="5">
        <v>54</v>
      </c>
      <c r="K33" s="5">
        <v>0</v>
      </c>
      <c r="L33" s="5">
        <v>3</v>
      </c>
      <c r="M33" s="5">
        <v>8</v>
      </c>
      <c r="N33" s="5">
        <v>14</v>
      </c>
      <c r="O33" s="5">
        <v>8</v>
      </c>
      <c r="P33" s="7">
        <f>O33*E33/1000</f>
        <v>0.02</v>
      </c>
      <c r="Q33" s="5">
        <f>MIN(INT(O33/F33)*F33,ROUNDUP(MAX(0,(N33*0.5+(L33/7*30)*0.3+(K33*30)*0.2)*0.8-I33)/F33,0)*F33)</f>
        <v>0</v>
      </c>
      <c r="R33" s="7">
        <f>Q33*E33/1000</f>
        <v>0</v>
      </c>
      <c r="S33" s="5" t="s">
        <v>23</v>
      </c>
    </row>
    <row r="34" ht="23" customHeight="1" spans="1:19" s="4" customFormat="1" x14ac:dyDescent="0.25">
      <c r="A34" s="5" t="s">
        <v>32</v>
      </c>
      <c r="B34" s="6" t="s">
        <v>34</v>
      </c>
      <c r="C34" s="5" t="s">
        <v>21</v>
      </c>
      <c r="D34" s="5" t="s">
        <v>22</v>
      </c>
      <c r="E34" s="5">
        <v>2.5</v>
      </c>
      <c r="F34" s="5">
        <v>1</v>
      </c>
      <c r="G34" s="5">
        <v>0</v>
      </c>
      <c r="H34" s="5">
        <v>0</v>
      </c>
      <c r="I34" s="5">
        <v>49</v>
      </c>
      <c r="J34" s="5">
        <v>49</v>
      </c>
      <c r="K34" s="5">
        <v>0</v>
      </c>
      <c r="L34" s="5">
        <v>5</v>
      </c>
      <c r="M34" s="5">
        <v>29</v>
      </c>
      <c r="N34" s="5">
        <v>39</v>
      </c>
      <c r="O34" s="5">
        <v>13</v>
      </c>
      <c r="P34" s="7">
        <f>O34*E34/1000</f>
        <v>0.0325</v>
      </c>
      <c r="Q34" s="5">
        <f>MIN(INT(O34/F34)*F34,ROUNDUP(MAX(0,(N34*0.5+(L34/7*30)*0.3+(K34*30)*0.2)*0.8-I34)/F34,0)*F34)</f>
        <v>0</v>
      </c>
      <c r="R34" s="7">
        <f>Q34*E34/1000</f>
        <v>0</v>
      </c>
      <c r="S34" s="5" t="s">
        <v>23</v>
      </c>
    </row>
    <row r="35" ht="23" customHeight="1" spans="1:19" s="8" customFormat="1" x14ac:dyDescent="0.25">
      <c r="A35" s="9" t="s">
        <v>35</v>
      </c>
      <c r="B35" s="9" t="s">
        <v>23</v>
      </c>
      <c r="C35" s="9" t="s">
        <v>23</v>
      </c>
      <c r="D35" s="9" t="s">
        <v>23</v>
      </c>
      <c r="E35" s="9" t="s">
        <v>23</v>
      </c>
      <c r="F35" s="9" t="s">
        <v>23</v>
      </c>
      <c r="G35" s="9" t="s">
        <v>23</v>
      </c>
      <c r="H35" s="9" t="s">
        <v>23</v>
      </c>
      <c r="I35" s="9" t="s">
        <v>23</v>
      </c>
      <c r="J35" s="9" t="s">
        <v>23</v>
      </c>
      <c r="K35" s="9" t="s">
        <v>23</v>
      </c>
      <c r="L35" s="9" t="s">
        <v>23</v>
      </c>
      <c r="M35" s="9" t="s">
        <v>23</v>
      </c>
      <c r="N35" s="9" t="s">
        <v>23</v>
      </c>
      <c r="O35" s="9">
        <f>SUM(O17:O34)</f>
        <v>887</v>
      </c>
      <c r="P35" s="10">
        <f>SUM(P17:P34)</f>
        <v>8.47</v>
      </c>
      <c r="Q35" s="9">
        <f>SUM(Q17:Q34)</f>
        <v>553</v>
      </c>
      <c r="R35" s="10">
        <f>SUM(R17:R34)</f>
        <v>2.765</v>
      </c>
      <c r="S35" s="9" t="s">
        <v>23</v>
      </c>
    </row>
    <row r="36" ht="23" customHeight="1" spans="1:19" s="4" customFormat="1" x14ac:dyDescent="0.25">
      <c r="A36" s="5" t="s">
        <v>36</v>
      </c>
      <c r="B36" s="6" t="s">
        <v>30</v>
      </c>
      <c r="C36" s="5" t="s">
        <v>21</v>
      </c>
      <c r="D36" s="5" t="s">
        <v>22</v>
      </c>
      <c r="E36" s="5">
        <v>5</v>
      </c>
      <c r="F36" s="5">
        <v>1</v>
      </c>
      <c r="G36" s="5">
        <v>0</v>
      </c>
      <c r="H36" s="5">
        <v>0</v>
      </c>
      <c r="I36" s="5">
        <v>9</v>
      </c>
      <c r="J36" s="5">
        <v>4</v>
      </c>
      <c r="K36" s="5">
        <v>27</v>
      </c>
      <c r="L36" s="5">
        <v>276</v>
      </c>
      <c r="M36" s="5">
        <v>512</v>
      </c>
      <c r="N36" s="5">
        <v>784</v>
      </c>
      <c r="O36" s="5">
        <v>380</v>
      </c>
      <c r="P36" s="7">
        <f>O36*E36/1000</f>
        <v>1.9</v>
      </c>
      <c r="Q36" s="5">
        <f>MIN(INT(O36/F36)*F36,ROUNDUP(MAX(0,(N36*0.5+(L36/7*30)*0.3+(K36*30)*0.2)*0.8-I36)/F36,0)*F36)</f>
        <v>380</v>
      </c>
      <c r="R36" s="7">
        <f>Q36*E36/1000</f>
        <v>1.9</v>
      </c>
      <c r="S36" s="5" t="s">
        <v>23</v>
      </c>
    </row>
    <row r="37" ht="23" customHeight="1" spans="1:19" s="4" customFormat="1" x14ac:dyDescent="0.25">
      <c r="A37" s="5" t="s">
        <v>36</v>
      </c>
      <c r="B37" s="6" t="s">
        <v>20</v>
      </c>
      <c r="C37" s="5" t="s">
        <v>21</v>
      </c>
      <c r="D37" s="5" t="s">
        <v>22</v>
      </c>
      <c r="E37" s="5">
        <v>25</v>
      </c>
      <c r="F37" s="5">
        <v>1</v>
      </c>
      <c r="G37" s="5">
        <v>0</v>
      </c>
      <c r="H37" s="5">
        <v>0</v>
      </c>
      <c r="I37" s="5">
        <v>12</v>
      </c>
      <c r="J37" s="5">
        <v>12</v>
      </c>
      <c r="K37" s="5">
        <v>2</v>
      </c>
      <c r="L37" s="5">
        <v>51</v>
      </c>
      <c r="M37" s="5">
        <v>58</v>
      </c>
      <c r="N37" s="5">
        <v>107</v>
      </c>
      <c r="O37" s="5">
        <v>45</v>
      </c>
      <c r="P37" s="7">
        <f>O37*E37/1000</f>
        <v>1.125</v>
      </c>
      <c r="Q37" s="5">
        <f>MIN(INT(O37/F37)*F37,ROUNDUP(MAX(0,(N37*0.5+(L37/7*30)*0.3+(K37*30)*0.2)*0.8-I37)/F37,0)*F37)</f>
        <v>45</v>
      </c>
      <c r="R37" s="7">
        <f>Q37*E37/1000</f>
        <v>1.125</v>
      </c>
      <c r="S37" s="5" t="s">
        <v>23</v>
      </c>
    </row>
    <row r="38" ht="23" customHeight="1" spans="1:19" s="4" customFormat="1" x14ac:dyDescent="0.25">
      <c r="A38" s="5" t="s">
        <v>36</v>
      </c>
      <c r="B38" s="6" t="s">
        <v>28</v>
      </c>
      <c r="C38" s="5" t="s">
        <v>21</v>
      </c>
      <c r="D38" s="5" t="s">
        <v>22</v>
      </c>
      <c r="E38" s="5">
        <v>10</v>
      </c>
      <c r="F38" s="5">
        <v>1</v>
      </c>
      <c r="G38" s="5">
        <v>0</v>
      </c>
      <c r="H38" s="5">
        <v>0</v>
      </c>
      <c r="I38" s="5">
        <v>33</v>
      </c>
      <c r="J38" s="5">
        <v>33</v>
      </c>
      <c r="K38" s="5">
        <v>4</v>
      </c>
      <c r="L38" s="5">
        <v>23</v>
      </c>
      <c r="M38" s="5">
        <v>36</v>
      </c>
      <c r="N38" s="5">
        <v>85</v>
      </c>
      <c r="O38" s="5">
        <v>14</v>
      </c>
      <c r="P38" s="7">
        <f>O38*E38/1000</f>
        <v>0.14</v>
      </c>
      <c r="Q38" s="5">
        <f>MIN(INT(O38/F38)*F38,ROUNDUP(MAX(0,(N38*0.5+(L38/7*30)*0.3+(K38*30)*0.2)*0.8-I38)/F38,0)*F38)</f>
        <v>14</v>
      </c>
      <c r="R38" s="7">
        <f>Q38*E38/1000</f>
        <v>0.14</v>
      </c>
      <c r="S38" s="5" t="s">
        <v>23</v>
      </c>
    </row>
    <row r="39" ht="23" customHeight="1" spans="1:19" s="4" customFormat="1" x14ac:dyDescent="0.25">
      <c r="A39" s="5" t="s">
        <v>36</v>
      </c>
      <c r="B39" s="6" t="s">
        <v>29</v>
      </c>
      <c r="C39" s="5" t="s">
        <v>21</v>
      </c>
      <c r="D39" s="5" t="s">
        <v>22</v>
      </c>
      <c r="E39" s="5">
        <v>5</v>
      </c>
      <c r="F39" s="5">
        <v>1</v>
      </c>
      <c r="G39" s="5">
        <v>0</v>
      </c>
      <c r="H39" s="5">
        <v>0</v>
      </c>
      <c r="I39" s="5">
        <v>47</v>
      </c>
      <c r="J39" s="5">
        <v>46</v>
      </c>
      <c r="K39" s="5">
        <v>3</v>
      </c>
      <c r="L39" s="5">
        <v>22</v>
      </c>
      <c r="M39" s="5">
        <v>29</v>
      </c>
      <c r="N39" s="5">
        <v>72</v>
      </c>
      <c r="O39" s="5">
        <v>10</v>
      </c>
      <c r="P39" s="7">
        <f>O39*E39/1000</f>
        <v>0.05</v>
      </c>
      <c r="Q39" s="5">
        <f>MIN(INT(O39/F39)*F39,ROUNDUP(MAX(0,(N39*0.5+(L39/7*30)*0.3+(K39*30)*0.2)*0.8-I39)/F39,0)*F39)</f>
        <v>10</v>
      </c>
      <c r="R39" s="7">
        <f>Q39*E39/1000</f>
        <v>0.05</v>
      </c>
      <c r="S39" s="5" t="s">
        <v>23</v>
      </c>
    </row>
    <row r="40" ht="23" customHeight="1" spans="1:19" s="4" customFormat="1" x14ac:dyDescent="0.25">
      <c r="A40" s="5" t="s">
        <v>36</v>
      </c>
      <c r="B40" s="6" t="s">
        <v>25</v>
      </c>
      <c r="C40" s="5" t="s">
        <v>21</v>
      </c>
      <c r="D40" s="5" t="s">
        <v>22</v>
      </c>
      <c r="E40" s="5">
        <v>10</v>
      </c>
      <c r="F40" s="5">
        <v>1</v>
      </c>
      <c r="G40" s="5">
        <v>0</v>
      </c>
      <c r="H40" s="5">
        <v>0</v>
      </c>
      <c r="I40" s="5">
        <v>11</v>
      </c>
      <c r="J40" s="5">
        <v>11</v>
      </c>
      <c r="K40" s="5">
        <v>0</v>
      </c>
      <c r="L40" s="5">
        <v>26</v>
      </c>
      <c r="M40" s="5">
        <v>35</v>
      </c>
      <c r="N40" s="5">
        <v>55</v>
      </c>
      <c r="O40" s="5">
        <v>15</v>
      </c>
      <c r="P40" s="7">
        <f>O40*E40/1000</f>
        <v>0.15</v>
      </c>
      <c r="Q40" s="5">
        <f>MIN(INT(O40/F40)*F40,ROUNDUP(MAX(0,(N40*0.5+(L40/7*30)*0.3+(K40*30)*0.2)*0.8-I40)/F40,0)*F40)</f>
        <v>15</v>
      </c>
      <c r="R40" s="7">
        <f>Q40*E40/1000</f>
        <v>0.15</v>
      </c>
      <c r="S40" s="5" t="s">
        <v>23</v>
      </c>
    </row>
    <row r="41" ht="23" customHeight="1" spans="1:19" s="4" customFormat="1" x14ac:dyDescent="0.25">
      <c r="A41" s="5" t="s">
        <v>36</v>
      </c>
      <c r="B41" s="6" t="s">
        <v>24</v>
      </c>
      <c r="C41" s="5" t="s">
        <v>21</v>
      </c>
      <c r="D41" s="5" t="s">
        <v>22</v>
      </c>
      <c r="E41" s="5">
        <v>5</v>
      </c>
      <c r="F41" s="5">
        <v>1</v>
      </c>
      <c r="G41" s="5">
        <v>0</v>
      </c>
      <c r="H41" s="5">
        <v>0</v>
      </c>
      <c r="I41" s="5">
        <v>49</v>
      </c>
      <c r="J41" s="5">
        <v>49</v>
      </c>
      <c r="K41" s="5">
        <v>2</v>
      </c>
      <c r="L41" s="5">
        <v>13</v>
      </c>
      <c r="M41" s="5">
        <v>27</v>
      </c>
      <c r="N41" s="5">
        <v>61</v>
      </c>
      <c r="O41" s="5">
        <v>30</v>
      </c>
      <c r="P41" s="7">
        <f>O41*E41/1000</f>
        <v>0.15</v>
      </c>
      <c r="Q41" s="5">
        <f>MIN(INT(O41/F41)*F41,ROUNDUP(MAX(0,(N41*0.5+(L41/7*30)*0.3+(K41*30)*0.2)*0.8-I41)/F41,0)*F41)</f>
        <v>0</v>
      </c>
      <c r="R41" s="7">
        <f>Q41*E41/1000</f>
        <v>0</v>
      </c>
      <c r="S41" s="5" t="s">
        <v>23</v>
      </c>
    </row>
    <row r="42" ht="23" customHeight="1" spans="1:19" s="4" customFormat="1" x14ac:dyDescent="0.25">
      <c r="A42" s="5" t="s">
        <v>36</v>
      </c>
      <c r="B42" s="6" t="s">
        <v>33</v>
      </c>
      <c r="C42" s="5" t="s">
        <v>21</v>
      </c>
      <c r="D42" s="5" t="s">
        <v>22</v>
      </c>
      <c r="E42" s="5">
        <v>10</v>
      </c>
      <c r="F42" s="5">
        <v>1</v>
      </c>
      <c r="G42" s="5">
        <v>0</v>
      </c>
      <c r="H42" s="5">
        <v>0</v>
      </c>
      <c r="I42" s="5">
        <v>59</v>
      </c>
      <c r="J42" s="5">
        <v>58</v>
      </c>
      <c r="K42" s="5">
        <v>2</v>
      </c>
      <c r="L42" s="5">
        <v>9</v>
      </c>
      <c r="M42" s="5">
        <v>18</v>
      </c>
      <c r="N42" s="5">
        <v>54</v>
      </c>
      <c r="O42" s="5">
        <v>9</v>
      </c>
      <c r="P42" s="7">
        <f>O42*E42/1000</f>
        <v>0.09</v>
      </c>
      <c r="Q42" s="5">
        <f>MIN(INT(O42/F42)*F42,ROUNDUP(MAX(0,(N42*0.5+(L42/7*30)*0.3+(K42*30)*0.2)*0.8-I42)/F42,0)*F42)</f>
        <v>0</v>
      </c>
      <c r="R42" s="7">
        <f>Q42*E42/1000</f>
        <v>0</v>
      </c>
      <c r="S42" s="5" t="s">
        <v>23</v>
      </c>
    </row>
    <row r="43" ht="23" customHeight="1" spans="1:19" s="4" customFormat="1" x14ac:dyDescent="0.25">
      <c r="A43" s="5" t="s">
        <v>36</v>
      </c>
      <c r="B43" s="6" t="s">
        <v>30</v>
      </c>
      <c r="C43" s="5" t="s">
        <v>21</v>
      </c>
      <c r="D43" s="5" t="s">
        <v>22</v>
      </c>
      <c r="E43" s="5">
        <v>5</v>
      </c>
      <c r="F43" s="5">
        <v>1</v>
      </c>
      <c r="G43" s="5">
        <v>0</v>
      </c>
      <c r="H43" s="5">
        <v>0</v>
      </c>
      <c r="I43" s="5">
        <v>9</v>
      </c>
      <c r="J43" s="5">
        <v>4</v>
      </c>
      <c r="K43" s="5">
        <v>27</v>
      </c>
      <c r="L43" s="5">
        <v>276</v>
      </c>
      <c r="M43" s="5">
        <v>512</v>
      </c>
      <c r="N43" s="5">
        <v>784</v>
      </c>
      <c r="O43" s="5">
        <v>60</v>
      </c>
      <c r="P43" s="7">
        <f>O43*E43/1000</f>
        <v>0.3</v>
      </c>
      <c r="Q43" s="5">
        <f>MIN(INT(O43/F43)*F43,ROUNDUP(MAX(0,(N43*0.5+(L43/7*30)*0.3+(K43*30)*0.2)*0.8-I43)/F43,0)*F43)</f>
        <v>60</v>
      </c>
      <c r="R43" s="7">
        <f>Q43*E43/1000</f>
        <v>0.3</v>
      </c>
      <c r="S43" s="5" t="s">
        <v>23</v>
      </c>
    </row>
    <row r="44" ht="23" customHeight="1" spans="1:19" s="4" customFormat="1" x14ac:dyDescent="0.25">
      <c r="A44" s="5" t="s">
        <v>36</v>
      </c>
      <c r="B44" s="6" t="s">
        <v>37</v>
      </c>
      <c r="C44" s="5" t="s">
        <v>21</v>
      </c>
      <c r="D44" s="5" t="s">
        <v>22</v>
      </c>
      <c r="E44" s="5">
        <v>10</v>
      </c>
      <c r="F44" s="5">
        <v>1</v>
      </c>
      <c r="G44" s="5">
        <v>0</v>
      </c>
      <c r="H44" s="5">
        <v>0</v>
      </c>
      <c r="I44" s="5">
        <v>37</v>
      </c>
      <c r="J44" s="5">
        <v>37</v>
      </c>
      <c r="K44" s="5">
        <v>0</v>
      </c>
      <c r="L44" s="5">
        <v>7</v>
      </c>
      <c r="M44" s="5">
        <v>15</v>
      </c>
      <c r="N44" s="5">
        <v>34</v>
      </c>
      <c r="O44" s="5">
        <v>11</v>
      </c>
      <c r="P44" s="7">
        <f>O44*E44/1000</f>
        <v>0.11</v>
      </c>
      <c r="Q44" s="5">
        <f>MIN(INT(O44/F44)*F44,ROUNDUP(MAX(0,(N44*0.5+(L44/7*30)*0.3+(K44*30)*0.2)*0.8-I44)/F44,0)*F44)</f>
        <v>0</v>
      </c>
      <c r="R44" s="7">
        <f>Q44*E44/1000</f>
        <v>0</v>
      </c>
      <c r="S44" s="5" t="s">
        <v>23</v>
      </c>
    </row>
    <row r="45" ht="23" customHeight="1" spans="1:19" s="4" customFormat="1" x14ac:dyDescent="0.25">
      <c r="A45" s="5" t="s">
        <v>36</v>
      </c>
      <c r="B45" s="6" t="s">
        <v>20</v>
      </c>
      <c r="C45" s="5" t="s">
        <v>21</v>
      </c>
      <c r="D45" s="5" t="s">
        <v>22</v>
      </c>
      <c r="E45" s="5">
        <v>25</v>
      </c>
      <c r="F45" s="5">
        <v>1</v>
      </c>
      <c r="G45" s="5">
        <v>0</v>
      </c>
      <c r="H45" s="5">
        <v>0</v>
      </c>
      <c r="I45" s="5">
        <v>12</v>
      </c>
      <c r="J45" s="5">
        <v>12</v>
      </c>
      <c r="K45" s="5">
        <v>2</v>
      </c>
      <c r="L45" s="5">
        <v>51</v>
      </c>
      <c r="M45" s="5">
        <v>58</v>
      </c>
      <c r="N45" s="5">
        <v>107</v>
      </c>
      <c r="O45" s="5">
        <v>7</v>
      </c>
      <c r="P45" s="7">
        <f>O45*E45/1000</f>
        <v>0.175</v>
      </c>
      <c r="Q45" s="5">
        <f>MIN(INT(O45/F45)*F45,ROUNDUP(MAX(0,(N45*0.5+(L45/7*30)*0.3+(K45*30)*0.2)*0.8-I45)/F45,0)*F45)</f>
        <v>7</v>
      </c>
      <c r="R45" s="7">
        <f>Q45*E45/1000</f>
        <v>0.175</v>
      </c>
      <c r="S45" s="5" t="s">
        <v>23</v>
      </c>
    </row>
    <row r="46" ht="23" customHeight="1" spans="1:19" s="4" customFormat="1" x14ac:dyDescent="0.25">
      <c r="A46" s="5" t="s">
        <v>36</v>
      </c>
      <c r="B46" s="6" t="s">
        <v>37</v>
      </c>
      <c r="C46" s="5" t="s">
        <v>21</v>
      </c>
      <c r="D46" s="5" t="s">
        <v>22</v>
      </c>
      <c r="E46" s="5">
        <v>10</v>
      </c>
      <c r="F46" s="5">
        <v>1</v>
      </c>
      <c r="G46" s="5">
        <v>0</v>
      </c>
      <c r="H46" s="5">
        <v>0</v>
      </c>
      <c r="I46" s="5">
        <v>37</v>
      </c>
      <c r="J46" s="5">
        <v>37</v>
      </c>
      <c r="K46" s="5">
        <v>0</v>
      </c>
      <c r="L46" s="5">
        <v>7</v>
      </c>
      <c r="M46" s="5">
        <v>15</v>
      </c>
      <c r="N46" s="5">
        <v>34</v>
      </c>
      <c r="O46" s="5">
        <v>10</v>
      </c>
      <c r="P46" s="7">
        <f>O46*E46/1000</f>
        <v>0.1</v>
      </c>
      <c r="Q46" s="5">
        <f>MIN(INT(O46/F46)*F46,ROUNDUP(MAX(0,(N46*0.5+(L46/7*30)*0.3+(K46*30)*0.2)*0.8-I46)/F46,0)*F46)</f>
        <v>0</v>
      </c>
      <c r="R46" s="7">
        <f>Q46*E46/1000</f>
        <v>0</v>
      </c>
      <c r="S46" s="5" t="s">
        <v>23</v>
      </c>
    </row>
    <row r="47" ht="23" customHeight="1" spans="1:19" s="4" customFormat="1" x14ac:dyDescent="0.25">
      <c r="A47" s="5" t="s">
        <v>36</v>
      </c>
      <c r="B47" s="6" t="s">
        <v>28</v>
      </c>
      <c r="C47" s="5" t="s">
        <v>21</v>
      </c>
      <c r="D47" s="5" t="s">
        <v>22</v>
      </c>
      <c r="E47" s="5">
        <v>10</v>
      </c>
      <c r="F47" s="5">
        <v>1</v>
      </c>
      <c r="G47" s="5">
        <v>0</v>
      </c>
      <c r="H47" s="5">
        <v>0</v>
      </c>
      <c r="I47" s="5">
        <v>33</v>
      </c>
      <c r="J47" s="5">
        <v>33</v>
      </c>
      <c r="K47" s="5">
        <v>4</v>
      </c>
      <c r="L47" s="5">
        <v>23</v>
      </c>
      <c r="M47" s="5">
        <v>36</v>
      </c>
      <c r="N47" s="5">
        <v>85</v>
      </c>
      <c r="O47" s="5">
        <v>35</v>
      </c>
      <c r="P47" s="7">
        <f>O47*E47/1000</f>
        <v>0.35</v>
      </c>
      <c r="Q47" s="5">
        <f>MIN(INT(O47/F47)*F47,ROUNDUP(MAX(0,(N47*0.5+(L47/7*30)*0.3+(K47*30)*0.2)*0.8-I47)/F47,0)*F47)</f>
        <v>35</v>
      </c>
      <c r="R47" s="7">
        <f>Q47*E47/1000</f>
        <v>0.35</v>
      </c>
      <c r="S47" s="5" t="s">
        <v>23</v>
      </c>
    </row>
    <row r="48" ht="23" customHeight="1" spans="1:19" s="4" customFormat="1" x14ac:dyDescent="0.25">
      <c r="A48" s="5" t="s">
        <v>36</v>
      </c>
      <c r="B48" s="6" t="s">
        <v>30</v>
      </c>
      <c r="C48" s="5" t="s">
        <v>21</v>
      </c>
      <c r="D48" s="5" t="s">
        <v>22</v>
      </c>
      <c r="E48" s="5">
        <v>5</v>
      </c>
      <c r="F48" s="5">
        <v>1</v>
      </c>
      <c r="G48" s="5">
        <v>0</v>
      </c>
      <c r="H48" s="5">
        <v>0</v>
      </c>
      <c r="I48" s="5">
        <v>9</v>
      </c>
      <c r="J48" s="5">
        <v>4</v>
      </c>
      <c r="K48" s="5">
        <v>27</v>
      </c>
      <c r="L48" s="5">
        <v>276</v>
      </c>
      <c r="M48" s="5">
        <v>512</v>
      </c>
      <c r="N48" s="5">
        <v>784</v>
      </c>
      <c r="O48" s="5">
        <v>185</v>
      </c>
      <c r="P48" s="7">
        <f>O48*E48/1000</f>
        <v>0.925</v>
      </c>
      <c r="Q48" s="5">
        <f>MIN(INT(O48/F48)*F48,ROUNDUP(MAX(0,(N48*0.5+(L48/7*30)*0.3+(K48*30)*0.2)*0.8-I48)/F48,0)*F48)</f>
        <v>185</v>
      </c>
      <c r="R48" s="7">
        <f>Q48*E48/1000</f>
        <v>0.925</v>
      </c>
      <c r="S48" s="5" t="s">
        <v>23</v>
      </c>
    </row>
    <row r="49" ht="23" customHeight="1" spans="1:19" s="4" customFormat="1" x14ac:dyDescent="0.25">
      <c r="A49" s="5" t="s">
        <v>36</v>
      </c>
      <c r="B49" s="6" t="s">
        <v>25</v>
      </c>
      <c r="C49" s="5" t="s">
        <v>21</v>
      </c>
      <c r="D49" s="5" t="s">
        <v>22</v>
      </c>
      <c r="E49" s="5">
        <v>10</v>
      </c>
      <c r="F49" s="5">
        <v>1</v>
      </c>
      <c r="G49" s="5">
        <v>0</v>
      </c>
      <c r="H49" s="5">
        <v>0</v>
      </c>
      <c r="I49" s="5">
        <v>11</v>
      </c>
      <c r="J49" s="5">
        <v>11</v>
      </c>
      <c r="K49" s="5">
        <v>0</v>
      </c>
      <c r="L49" s="5">
        <v>26</v>
      </c>
      <c r="M49" s="5">
        <v>35</v>
      </c>
      <c r="N49" s="5">
        <v>55</v>
      </c>
      <c r="O49" s="5">
        <v>7</v>
      </c>
      <c r="P49" s="7">
        <f>O49*E49/1000</f>
        <v>0.07</v>
      </c>
      <c r="Q49" s="5">
        <f>MIN(INT(O49/F49)*F49,ROUNDUP(MAX(0,(N49*0.5+(L49/7*30)*0.3+(K49*30)*0.2)*0.8-I49)/F49,0)*F49)</f>
        <v>7</v>
      </c>
      <c r="R49" s="7">
        <f>Q49*E49/1000</f>
        <v>0.07</v>
      </c>
      <c r="S49" s="5" t="s">
        <v>23</v>
      </c>
    </row>
    <row r="50" ht="23" customHeight="1" spans="1:19" s="4" customFormat="1" x14ac:dyDescent="0.25">
      <c r="A50" s="5" t="s">
        <v>36</v>
      </c>
      <c r="B50" s="6" t="s">
        <v>20</v>
      </c>
      <c r="C50" s="5" t="s">
        <v>21</v>
      </c>
      <c r="D50" s="5" t="s">
        <v>22</v>
      </c>
      <c r="E50" s="5">
        <v>25</v>
      </c>
      <c r="F50" s="5">
        <v>1</v>
      </c>
      <c r="G50" s="5">
        <v>0</v>
      </c>
      <c r="H50" s="5">
        <v>0</v>
      </c>
      <c r="I50" s="5">
        <v>12</v>
      </c>
      <c r="J50" s="5">
        <v>12</v>
      </c>
      <c r="K50" s="5">
        <v>2</v>
      </c>
      <c r="L50" s="5">
        <v>51</v>
      </c>
      <c r="M50" s="5">
        <v>58</v>
      </c>
      <c r="N50" s="5">
        <v>107</v>
      </c>
      <c r="O50" s="5">
        <v>26</v>
      </c>
      <c r="P50" s="7">
        <f>O50*E50/1000</f>
        <v>0.65</v>
      </c>
      <c r="Q50" s="5">
        <f>MIN(INT(O50/F50)*F50,ROUNDUP(MAX(0,(N50*0.5+(L50/7*30)*0.3+(K50*30)*0.2)*0.8-I50)/F50,0)*F50)</f>
        <v>26</v>
      </c>
      <c r="R50" s="7">
        <f>Q50*E50/1000</f>
        <v>0.65</v>
      </c>
      <c r="S50" s="5" t="s">
        <v>23</v>
      </c>
    </row>
    <row r="51" ht="23" customHeight="1" spans="1:19" s="8" customFormat="1" x14ac:dyDescent="0.25">
      <c r="A51" s="9" t="s">
        <v>38</v>
      </c>
      <c r="B51" s="9" t="s">
        <v>23</v>
      </c>
      <c r="C51" s="9" t="s">
        <v>23</v>
      </c>
      <c r="D51" s="9" t="s">
        <v>23</v>
      </c>
      <c r="E51" s="9" t="s">
        <v>23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23</v>
      </c>
      <c r="K51" s="9" t="s">
        <v>23</v>
      </c>
      <c r="L51" s="9" t="s">
        <v>23</v>
      </c>
      <c r="M51" s="9" t="s">
        <v>23</v>
      </c>
      <c r="N51" s="9" t="s">
        <v>23</v>
      </c>
      <c r="O51" s="9">
        <f>SUM(O36:O50)</f>
        <v>844</v>
      </c>
      <c r="P51" s="10">
        <f>SUM(P36:P50)</f>
        <v>6.284999999999999</v>
      </c>
      <c r="Q51" s="9">
        <f>SUM(Q36:Q50)</f>
        <v>784</v>
      </c>
      <c r="R51" s="10">
        <f>SUM(R36:R50)</f>
        <v>5.835</v>
      </c>
      <c r="S51" s="9" t="s">
        <v>23</v>
      </c>
    </row>
    <row r="52" ht="23" customHeight="1" spans="1:19" s="4" customFormat="1" x14ac:dyDescent="0.25">
      <c r="A52" s="5" t="s">
        <v>39</v>
      </c>
      <c r="B52" s="6" t="s">
        <v>27</v>
      </c>
      <c r="C52" s="5" t="s">
        <v>21</v>
      </c>
      <c r="D52" s="5" t="s">
        <v>22</v>
      </c>
      <c r="E52" s="5">
        <v>2.5</v>
      </c>
      <c r="F52" s="5">
        <v>1</v>
      </c>
      <c r="G52" s="5">
        <v>0</v>
      </c>
      <c r="H52" s="5">
        <v>0</v>
      </c>
      <c r="I52" s="5">
        <v>128</v>
      </c>
      <c r="J52" s="5">
        <v>128</v>
      </c>
      <c r="K52" s="5">
        <v>1</v>
      </c>
      <c r="L52" s="5">
        <v>16</v>
      </c>
      <c r="M52" s="5">
        <v>20</v>
      </c>
      <c r="N52" s="5">
        <v>37</v>
      </c>
      <c r="O52" s="5">
        <v>11</v>
      </c>
      <c r="P52" s="7">
        <f>O52*E52/1000</f>
        <v>0.0275</v>
      </c>
      <c r="Q52" s="5">
        <f>MIN(INT(O52/F52)*F52,ROUNDUP(MAX(0,(N52*0.5+(L52/7*30)*0.3+(K52*30)*0.2)*0.8-I52)/F52,0)*F52)</f>
        <v>0</v>
      </c>
      <c r="R52" s="7">
        <f>Q52*E52/1000</f>
        <v>0</v>
      </c>
      <c r="S52" s="5" t="s">
        <v>23</v>
      </c>
    </row>
    <row r="53" ht="23" customHeight="1" spans="1:19" s="4" customFormat="1" x14ac:dyDescent="0.25">
      <c r="A53" s="5" t="s">
        <v>39</v>
      </c>
      <c r="B53" s="6" t="s">
        <v>25</v>
      </c>
      <c r="C53" s="5" t="s">
        <v>21</v>
      </c>
      <c r="D53" s="5" t="s">
        <v>22</v>
      </c>
      <c r="E53" s="5">
        <v>10</v>
      </c>
      <c r="F53" s="5">
        <v>1</v>
      </c>
      <c r="G53" s="5">
        <v>0</v>
      </c>
      <c r="H53" s="5">
        <v>0</v>
      </c>
      <c r="I53" s="5">
        <v>39</v>
      </c>
      <c r="J53" s="5">
        <v>38</v>
      </c>
      <c r="K53" s="5">
        <v>0</v>
      </c>
      <c r="L53" s="5">
        <v>10</v>
      </c>
      <c r="M53" s="5">
        <v>20</v>
      </c>
      <c r="N53" s="5">
        <v>30</v>
      </c>
      <c r="O53" s="5">
        <v>3</v>
      </c>
      <c r="P53" s="7">
        <f>O53*E53/1000</f>
        <v>0.03</v>
      </c>
      <c r="Q53" s="5">
        <f>MIN(INT(O53/F53)*F53,ROUNDUP(MAX(0,(N53*0.5+(L53/7*30)*0.3+(K53*30)*0.2)*0.8-I53)/F53,0)*F53)</f>
        <v>0</v>
      </c>
      <c r="R53" s="7">
        <f>Q53*E53/1000</f>
        <v>0</v>
      </c>
      <c r="S53" s="5" t="s">
        <v>23</v>
      </c>
    </row>
    <row r="54" ht="23" customHeight="1" spans="1:19" s="4" customFormat="1" x14ac:dyDescent="0.25">
      <c r="A54" s="5" t="s">
        <v>39</v>
      </c>
      <c r="B54" s="6" t="s">
        <v>20</v>
      </c>
      <c r="C54" s="5" t="s">
        <v>21</v>
      </c>
      <c r="D54" s="5" t="s">
        <v>22</v>
      </c>
      <c r="E54" s="5">
        <v>25</v>
      </c>
      <c r="F54" s="5">
        <v>1</v>
      </c>
      <c r="G54" s="5">
        <v>0</v>
      </c>
      <c r="H54" s="5">
        <v>0</v>
      </c>
      <c r="I54" s="5">
        <v>77</v>
      </c>
      <c r="J54" s="5">
        <v>71</v>
      </c>
      <c r="K54" s="5">
        <v>0</v>
      </c>
      <c r="L54" s="5">
        <v>8</v>
      </c>
      <c r="M54" s="5">
        <v>25</v>
      </c>
      <c r="N54" s="5">
        <v>48</v>
      </c>
      <c r="O54" s="5">
        <v>50</v>
      </c>
      <c r="P54" s="7">
        <f>O54*E54/1000</f>
        <v>1.25</v>
      </c>
      <c r="Q54" s="5">
        <f>MIN(INT(O54/F54)*F54,ROUNDUP(MAX(0,(N54*0.5+(L54/7*30)*0.3+(K54*30)*0.2)*0.8-I54)/F54,0)*F54)</f>
        <v>0</v>
      </c>
      <c r="R54" s="7">
        <f>Q54*E54/1000</f>
        <v>0</v>
      </c>
      <c r="S54" s="5" t="s">
        <v>23</v>
      </c>
    </row>
    <row r="55" ht="23" customHeight="1" spans="1:19" s="4" customFormat="1" x14ac:dyDescent="0.25">
      <c r="A55" s="5" t="s">
        <v>39</v>
      </c>
      <c r="B55" s="6" t="s">
        <v>37</v>
      </c>
      <c r="C55" s="5" t="s">
        <v>21</v>
      </c>
      <c r="D55" s="5" t="s">
        <v>22</v>
      </c>
      <c r="E55" s="5">
        <v>10</v>
      </c>
      <c r="F55" s="5">
        <v>1</v>
      </c>
      <c r="G55" s="5">
        <v>0</v>
      </c>
      <c r="H55" s="5">
        <v>0</v>
      </c>
      <c r="I55" s="5">
        <v>58</v>
      </c>
      <c r="J55" s="5">
        <v>56</v>
      </c>
      <c r="K55" s="5">
        <v>0</v>
      </c>
      <c r="L55" s="5">
        <v>10</v>
      </c>
      <c r="M55" s="5">
        <v>15</v>
      </c>
      <c r="N55" s="5">
        <v>27</v>
      </c>
      <c r="O55" s="5">
        <v>5</v>
      </c>
      <c r="P55" s="7">
        <f>O55*E55/1000</f>
        <v>0.05</v>
      </c>
      <c r="Q55" s="5">
        <f>MIN(INT(O55/F55)*F55,ROUNDUP(MAX(0,(N55*0.5+(L55/7*30)*0.3+(K55*30)*0.2)*0.8-I55)/F55,0)*F55)</f>
        <v>0</v>
      </c>
      <c r="R55" s="7">
        <f>Q55*E55/1000</f>
        <v>0</v>
      </c>
      <c r="S55" s="5" t="s">
        <v>23</v>
      </c>
    </row>
    <row r="56" ht="23" customHeight="1" spans="1:19" s="4" customFormat="1" x14ac:dyDescent="0.25">
      <c r="A56" s="5" t="s">
        <v>39</v>
      </c>
      <c r="B56" s="6" t="s">
        <v>24</v>
      </c>
      <c r="C56" s="5" t="s">
        <v>21</v>
      </c>
      <c r="D56" s="5" t="s">
        <v>22</v>
      </c>
      <c r="E56" s="5">
        <v>5</v>
      </c>
      <c r="F56" s="5">
        <v>1</v>
      </c>
      <c r="G56" s="5">
        <v>0</v>
      </c>
      <c r="H56" s="5">
        <v>12.15</v>
      </c>
      <c r="I56" s="5">
        <v>103</v>
      </c>
      <c r="J56" s="5">
        <v>103</v>
      </c>
      <c r="K56" s="5">
        <v>0</v>
      </c>
      <c r="L56" s="5">
        <v>8</v>
      </c>
      <c r="M56" s="5">
        <v>17</v>
      </c>
      <c r="N56" s="5">
        <v>43</v>
      </c>
      <c r="O56" s="5">
        <v>33</v>
      </c>
      <c r="P56" s="7">
        <f>O56*E56/1000</f>
        <v>0.165</v>
      </c>
      <c r="Q56" s="5">
        <f>MIN(INT(O56/F56)*F56,ROUNDUP(MAX(0,(N56*0.5+(L56/7*30)*0.3+(K56*30)*0.2)*0.8-I56)/F56,0)*F56)</f>
        <v>0</v>
      </c>
      <c r="R56" s="7">
        <f>Q56*E56/1000</f>
        <v>0</v>
      </c>
      <c r="S56" s="5" t="s">
        <v>23</v>
      </c>
    </row>
    <row r="57" ht="23" customHeight="1" spans="1:19" s="4" customFormat="1" x14ac:dyDescent="0.25">
      <c r="A57" s="5" t="s">
        <v>39</v>
      </c>
      <c r="B57" s="6" t="s">
        <v>30</v>
      </c>
      <c r="C57" s="5" t="s">
        <v>21</v>
      </c>
      <c r="D57" s="5" t="s">
        <v>22</v>
      </c>
      <c r="E57" s="5">
        <v>5</v>
      </c>
      <c r="F57" s="5">
        <v>1</v>
      </c>
      <c r="G57" s="5">
        <v>0</v>
      </c>
      <c r="H57" s="5">
        <v>0</v>
      </c>
      <c r="I57" s="5">
        <v>128</v>
      </c>
      <c r="J57" s="5">
        <v>125</v>
      </c>
      <c r="K57" s="5">
        <v>21</v>
      </c>
      <c r="L57" s="5">
        <v>147</v>
      </c>
      <c r="M57" s="5">
        <v>297</v>
      </c>
      <c r="N57" s="5">
        <v>378</v>
      </c>
      <c r="O57" s="5">
        <v>77</v>
      </c>
      <c r="P57" s="7">
        <f>O57*E57/1000</f>
        <v>0.385</v>
      </c>
      <c r="Q57" s="5">
        <f>MIN(INT(O57/F57)*F57,ROUNDUP(MAX(0,(N57*0.5+(L57/7*30)*0.3+(K57*30)*0.2)*0.8-I57)/F57,0)*F57)</f>
        <v>77</v>
      </c>
      <c r="R57" s="7">
        <f>Q57*E57/1000</f>
        <v>0.385</v>
      </c>
      <c r="S57" s="5" t="s">
        <v>23</v>
      </c>
    </row>
    <row r="58" ht="23" customHeight="1" spans="1:19" s="4" customFormat="1" x14ac:dyDescent="0.25">
      <c r="A58" s="5" t="s">
        <v>39</v>
      </c>
      <c r="B58" s="6" t="s">
        <v>28</v>
      </c>
      <c r="C58" s="5" t="s">
        <v>21</v>
      </c>
      <c r="D58" s="5" t="s">
        <v>22</v>
      </c>
      <c r="E58" s="5">
        <v>10</v>
      </c>
      <c r="F58" s="5">
        <v>1</v>
      </c>
      <c r="G58" s="5">
        <v>0</v>
      </c>
      <c r="H58" s="5">
        <v>0</v>
      </c>
      <c r="I58" s="5">
        <v>108</v>
      </c>
      <c r="J58" s="5">
        <v>103</v>
      </c>
      <c r="K58" s="5">
        <v>1</v>
      </c>
      <c r="L58" s="5">
        <v>24</v>
      </c>
      <c r="M58" s="5">
        <v>39</v>
      </c>
      <c r="N58" s="5">
        <v>91</v>
      </c>
      <c r="O58" s="5">
        <v>12</v>
      </c>
      <c r="P58" s="7">
        <f>O58*E58/1000</f>
        <v>0.12</v>
      </c>
      <c r="Q58" s="5">
        <f>MIN(INT(O58/F58)*F58,ROUNDUP(MAX(0,(N58*0.5+(L58/7*30)*0.3+(K58*30)*0.2)*0.8-I58)/F58,0)*F58)</f>
        <v>0</v>
      </c>
      <c r="R58" s="7">
        <f>Q58*E58/1000</f>
        <v>0</v>
      </c>
      <c r="S58" s="5" t="s">
        <v>23</v>
      </c>
    </row>
    <row r="59" ht="23" customHeight="1" spans="1:19" s="4" customFormat="1" x14ac:dyDescent="0.25">
      <c r="A59" s="5" t="s">
        <v>39</v>
      </c>
      <c r="B59" s="6" t="s">
        <v>29</v>
      </c>
      <c r="C59" s="5" t="s">
        <v>21</v>
      </c>
      <c r="D59" s="5" t="s">
        <v>22</v>
      </c>
      <c r="E59" s="5">
        <v>5</v>
      </c>
      <c r="F59" s="5">
        <v>1</v>
      </c>
      <c r="G59" s="5">
        <v>0</v>
      </c>
      <c r="H59" s="5">
        <v>0</v>
      </c>
      <c r="I59" s="5">
        <v>50</v>
      </c>
      <c r="J59" s="5">
        <v>50</v>
      </c>
      <c r="K59" s="5">
        <v>3</v>
      </c>
      <c r="L59" s="5">
        <v>17</v>
      </c>
      <c r="M59" s="5">
        <v>45</v>
      </c>
      <c r="N59" s="5">
        <v>57</v>
      </c>
      <c r="O59" s="5">
        <v>13</v>
      </c>
      <c r="P59" s="7">
        <f>O59*E59/1000</f>
        <v>0.065</v>
      </c>
      <c r="Q59" s="5">
        <f>MIN(INT(O59/F59)*F59,ROUNDUP(MAX(0,(N59*0.5+(L59/7*30)*0.3+(K59*30)*0.2)*0.8-I59)/F59,0)*F59)</f>
        <v>5</v>
      </c>
      <c r="R59" s="7">
        <f>Q59*E59/1000</f>
        <v>0.025</v>
      </c>
      <c r="S59" s="5" t="s">
        <v>23</v>
      </c>
    </row>
    <row r="60" ht="23" customHeight="1" spans="1:19" s="4" customFormat="1" x14ac:dyDescent="0.25">
      <c r="A60" s="5" t="s">
        <v>39</v>
      </c>
      <c r="B60" s="6" t="s">
        <v>33</v>
      </c>
      <c r="C60" s="5" t="s">
        <v>21</v>
      </c>
      <c r="D60" s="5" t="s">
        <v>22</v>
      </c>
      <c r="E60" s="5">
        <v>10</v>
      </c>
      <c r="F60" s="5">
        <v>1</v>
      </c>
      <c r="G60" s="5">
        <v>0</v>
      </c>
      <c r="H60" s="5">
        <v>0</v>
      </c>
      <c r="I60" s="5">
        <v>20</v>
      </c>
      <c r="J60" s="5">
        <v>20</v>
      </c>
      <c r="K60" s="5">
        <v>0</v>
      </c>
      <c r="L60" s="5">
        <v>12</v>
      </c>
      <c r="M60" s="5">
        <v>21</v>
      </c>
      <c r="N60" s="5">
        <v>34</v>
      </c>
      <c r="O60" s="5">
        <v>4</v>
      </c>
      <c r="P60" s="7">
        <f>O60*E60/1000</f>
        <v>0.04</v>
      </c>
      <c r="Q60" s="5">
        <f>MIN(INT(O60/F60)*F60,ROUNDUP(MAX(0,(N60*0.5+(L60/7*30)*0.3+(K60*30)*0.2)*0.8-I60)/F60,0)*F60)</f>
        <v>4</v>
      </c>
      <c r="R60" s="7">
        <f>Q60*E60/1000</f>
        <v>0.04</v>
      </c>
      <c r="S60" s="5" t="s">
        <v>23</v>
      </c>
    </row>
    <row r="61" ht="23" customHeight="1" spans="1:19" s="4" customFormat="1" x14ac:dyDescent="0.25">
      <c r="A61" s="5" t="s">
        <v>39</v>
      </c>
      <c r="B61" s="6" t="s">
        <v>29</v>
      </c>
      <c r="C61" s="5" t="s">
        <v>21</v>
      </c>
      <c r="D61" s="5" t="s">
        <v>22</v>
      </c>
      <c r="E61" s="5">
        <v>5</v>
      </c>
      <c r="F61" s="5">
        <v>1</v>
      </c>
      <c r="G61" s="5">
        <v>0</v>
      </c>
      <c r="H61" s="5">
        <v>0</v>
      </c>
      <c r="I61" s="5">
        <v>50</v>
      </c>
      <c r="J61" s="5">
        <v>50</v>
      </c>
      <c r="K61" s="5">
        <v>3</v>
      </c>
      <c r="L61" s="5">
        <v>17</v>
      </c>
      <c r="M61" s="5">
        <v>45</v>
      </c>
      <c r="N61" s="5">
        <v>57</v>
      </c>
      <c r="O61" s="5">
        <v>14</v>
      </c>
      <c r="P61" s="7">
        <f>O61*E61/1000</f>
        <v>0.07</v>
      </c>
      <c r="Q61" s="5">
        <f>MIN(INT(O61/F61)*F61,ROUNDUP(MAX(0,(N61*0.5+(L61/7*30)*0.3+(K61*30)*0.2)*0.8-I61)/F61,0)*F61)</f>
        <v>5</v>
      </c>
      <c r="R61" s="7">
        <f>Q61*E61/1000</f>
        <v>0.025</v>
      </c>
      <c r="S61" s="5" t="s">
        <v>23</v>
      </c>
    </row>
    <row r="62" ht="23" customHeight="1" spans="1:19" s="4" customFormat="1" x14ac:dyDescent="0.25">
      <c r="A62" s="5" t="s">
        <v>39</v>
      </c>
      <c r="B62" s="6" t="s">
        <v>20</v>
      </c>
      <c r="C62" s="5" t="s">
        <v>21</v>
      </c>
      <c r="D62" s="5" t="s">
        <v>22</v>
      </c>
      <c r="E62" s="5">
        <v>25</v>
      </c>
      <c r="F62" s="5">
        <v>1</v>
      </c>
      <c r="G62" s="5">
        <v>0</v>
      </c>
      <c r="H62" s="5">
        <v>0</v>
      </c>
      <c r="I62" s="5">
        <v>77</v>
      </c>
      <c r="J62" s="5">
        <v>71</v>
      </c>
      <c r="K62" s="5">
        <v>0</v>
      </c>
      <c r="L62" s="5">
        <v>8</v>
      </c>
      <c r="M62" s="5">
        <v>25</v>
      </c>
      <c r="N62" s="5">
        <v>48</v>
      </c>
      <c r="O62" s="5">
        <v>35</v>
      </c>
      <c r="P62" s="7">
        <f>O62*E62/1000</f>
        <v>0.875</v>
      </c>
      <c r="Q62" s="5">
        <f>MIN(INT(O62/F62)*F62,ROUNDUP(MAX(0,(N62*0.5+(L62/7*30)*0.3+(K62*30)*0.2)*0.8-I62)/F62,0)*F62)</f>
        <v>0</v>
      </c>
      <c r="R62" s="7">
        <f>Q62*E62/1000</f>
        <v>0</v>
      </c>
      <c r="S62" s="5" t="s">
        <v>23</v>
      </c>
    </row>
    <row r="63" ht="23" customHeight="1" spans="1:19" s="4" customFormat="1" x14ac:dyDescent="0.25">
      <c r="A63" s="5" t="s">
        <v>39</v>
      </c>
      <c r="B63" s="6" t="s">
        <v>28</v>
      </c>
      <c r="C63" s="5" t="s">
        <v>21</v>
      </c>
      <c r="D63" s="5" t="s">
        <v>22</v>
      </c>
      <c r="E63" s="5">
        <v>10</v>
      </c>
      <c r="F63" s="5">
        <v>1</v>
      </c>
      <c r="G63" s="5">
        <v>0</v>
      </c>
      <c r="H63" s="5">
        <v>0</v>
      </c>
      <c r="I63" s="5">
        <v>108</v>
      </c>
      <c r="J63" s="5">
        <v>103</v>
      </c>
      <c r="K63" s="5">
        <v>1</v>
      </c>
      <c r="L63" s="5">
        <v>24</v>
      </c>
      <c r="M63" s="5">
        <v>39</v>
      </c>
      <c r="N63" s="5">
        <v>91</v>
      </c>
      <c r="O63" s="5">
        <v>21</v>
      </c>
      <c r="P63" s="7">
        <f>O63*E63/1000</f>
        <v>0.21</v>
      </c>
      <c r="Q63" s="5">
        <f>MIN(INT(O63/F63)*F63,ROUNDUP(MAX(0,(N63*0.5+(L63/7*30)*0.3+(K63*30)*0.2)*0.8-I63)/F63,0)*F63)</f>
        <v>0</v>
      </c>
      <c r="R63" s="7">
        <f>Q63*E63/1000</f>
        <v>0</v>
      </c>
      <c r="S63" s="5" t="s">
        <v>23</v>
      </c>
    </row>
    <row r="64" ht="23" customHeight="1" spans="1:19" s="4" customFormat="1" x14ac:dyDescent="0.25">
      <c r="A64" s="5" t="s">
        <v>39</v>
      </c>
      <c r="B64" s="6" t="s">
        <v>30</v>
      </c>
      <c r="C64" s="5" t="s">
        <v>21</v>
      </c>
      <c r="D64" s="5" t="s">
        <v>22</v>
      </c>
      <c r="E64" s="5">
        <v>5</v>
      </c>
      <c r="F64" s="5">
        <v>1</v>
      </c>
      <c r="G64" s="5">
        <v>0</v>
      </c>
      <c r="H64" s="5">
        <v>0</v>
      </c>
      <c r="I64" s="5">
        <v>128</v>
      </c>
      <c r="J64" s="5">
        <v>125</v>
      </c>
      <c r="K64" s="5">
        <v>21</v>
      </c>
      <c r="L64" s="5">
        <v>147</v>
      </c>
      <c r="M64" s="5">
        <v>297</v>
      </c>
      <c r="N64" s="5">
        <v>378</v>
      </c>
      <c r="O64" s="5">
        <v>304</v>
      </c>
      <c r="P64" s="7">
        <f>O64*E64/1000</f>
        <v>1.52</v>
      </c>
      <c r="Q64" s="5">
        <f>MIN(INT(O64/F64)*F64,ROUNDUP(MAX(0,(N64*0.5+(L64/7*30)*0.3+(K64*30)*0.2)*0.8-I64)/F64,0)*F64)</f>
        <v>276</v>
      </c>
      <c r="R64" s="7">
        <f>Q64*E64/1000</f>
        <v>1.38</v>
      </c>
      <c r="S64" s="5" t="s">
        <v>23</v>
      </c>
    </row>
    <row r="65" ht="23" customHeight="1" spans="1:19" s="4" customFormat="1" x14ac:dyDescent="0.25">
      <c r="A65" s="5" t="s">
        <v>39</v>
      </c>
      <c r="B65" s="6" t="s">
        <v>26</v>
      </c>
      <c r="C65" s="5" t="s">
        <v>21</v>
      </c>
      <c r="D65" s="5" t="s">
        <v>22</v>
      </c>
      <c r="E65" s="5">
        <v>5</v>
      </c>
      <c r="F65" s="5">
        <v>5</v>
      </c>
      <c r="G65" s="5">
        <v>0</v>
      </c>
      <c r="H65" s="5">
        <v>9.55</v>
      </c>
      <c r="I65" s="5">
        <v>38</v>
      </c>
      <c r="J65" s="5">
        <v>38</v>
      </c>
      <c r="K65" s="5">
        <v>0</v>
      </c>
      <c r="L65" s="5">
        <v>3</v>
      </c>
      <c r="M65" s="5">
        <v>4</v>
      </c>
      <c r="N65" s="5">
        <v>14</v>
      </c>
      <c r="O65" s="5">
        <v>15</v>
      </c>
      <c r="P65" s="7">
        <f>O65*E65/1000</f>
        <v>0.075</v>
      </c>
      <c r="Q65" s="5">
        <f>MIN(INT(O65/F65)*F65,ROUNDUP(MAX(0,(N65*0.5+(L65/7*30)*0.3+(K65*30)*0.2)*0.8-I65)/F65,0)*F65)</f>
        <v>0</v>
      </c>
      <c r="R65" s="7">
        <f>Q65*E65/1000</f>
        <v>0</v>
      </c>
      <c r="S65" s="5" t="s">
        <v>23</v>
      </c>
    </row>
    <row r="66" ht="23" customHeight="1" spans="1:19" s="4" customFormat="1" x14ac:dyDescent="0.25">
      <c r="A66" s="5" t="s">
        <v>39</v>
      </c>
      <c r="B66" s="6" t="s">
        <v>33</v>
      </c>
      <c r="C66" s="5" t="s">
        <v>21</v>
      </c>
      <c r="D66" s="5" t="s">
        <v>22</v>
      </c>
      <c r="E66" s="5">
        <v>10</v>
      </c>
      <c r="F66" s="5">
        <v>1</v>
      </c>
      <c r="G66" s="5">
        <v>0</v>
      </c>
      <c r="H66" s="5">
        <v>0</v>
      </c>
      <c r="I66" s="5">
        <v>20</v>
      </c>
      <c r="J66" s="5">
        <v>20</v>
      </c>
      <c r="K66" s="5">
        <v>0</v>
      </c>
      <c r="L66" s="5">
        <v>12</v>
      </c>
      <c r="M66" s="5">
        <v>21</v>
      </c>
      <c r="N66" s="5">
        <v>34</v>
      </c>
      <c r="O66" s="5">
        <v>4</v>
      </c>
      <c r="P66" s="7">
        <f>O66*E66/1000</f>
        <v>0.04</v>
      </c>
      <c r="Q66" s="5">
        <f>MIN(INT(O66/F66)*F66,ROUNDUP(MAX(0,(N66*0.5+(L66/7*30)*0.3+(K66*30)*0.2)*0.8-I66)/F66,0)*F66)</f>
        <v>4</v>
      </c>
      <c r="R66" s="7">
        <f>Q66*E66/1000</f>
        <v>0.04</v>
      </c>
      <c r="S66" s="5" t="s">
        <v>23</v>
      </c>
    </row>
    <row r="67" ht="23" customHeight="1" spans="1:19" s="8" customFormat="1" x14ac:dyDescent="0.25">
      <c r="A67" s="9" t="s">
        <v>40</v>
      </c>
      <c r="B67" s="9" t="s">
        <v>23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  <c r="L67" s="9" t="s">
        <v>23</v>
      </c>
      <c r="M67" s="9" t="s">
        <v>23</v>
      </c>
      <c r="N67" s="9" t="s">
        <v>23</v>
      </c>
      <c r="O67" s="9">
        <f>SUM(O52:O66)</f>
        <v>601</v>
      </c>
      <c r="P67" s="10">
        <f>SUM(P52:P66)</f>
        <v>4.9225</v>
      </c>
      <c r="Q67" s="9">
        <f>SUM(Q52:Q66)</f>
        <v>371</v>
      </c>
      <c r="R67" s="10">
        <f>SUM(R52:R66)</f>
        <v>1.895</v>
      </c>
      <c r="S67" s="9" t="s">
        <v>23</v>
      </c>
    </row>
    <row r="68" ht="23" customHeight="1" spans="1:19" s="4" customFormat="1" x14ac:dyDescent="0.25">
      <c r="A68" s="5" t="s">
        <v>41</v>
      </c>
      <c r="B68" s="6" t="s">
        <v>30</v>
      </c>
      <c r="C68" s="5" t="s">
        <v>21</v>
      </c>
      <c r="D68" s="5" t="s">
        <v>22</v>
      </c>
      <c r="E68" s="5">
        <v>5</v>
      </c>
      <c r="F68" s="5">
        <v>1</v>
      </c>
      <c r="G68" s="5">
        <v>0</v>
      </c>
      <c r="H68" s="5">
        <v>0</v>
      </c>
      <c r="I68" s="5">
        <v>522</v>
      </c>
      <c r="J68" s="5">
        <v>522</v>
      </c>
      <c r="K68" s="5">
        <v>6</v>
      </c>
      <c r="L68" s="5">
        <v>102</v>
      </c>
      <c r="M68" s="5">
        <v>410</v>
      </c>
      <c r="N68" s="5">
        <v>635</v>
      </c>
      <c r="O68" s="5">
        <v>56</v>
      </c>
      <c r="P68" s="7">
        <f>O68*E68/1000</f>
        <v>0.28</v>
      </c>
      <c r="Q68" s="5">
        <f>MIN(INT(O68/F68)*F68,ROUNDUP(MAX(0,(N68*0.5+(L68/7*30)*0.3+(K68*30)*0.2)*0.8-I68)/F68,0)*F68)</f>
        <v>0</v>
      </c>
      <c r="R68" s="7">
        <f>Q68*E68/1000</f>
        <v>0</v>
      </c>
      <c r="S68" s="5" t="s">
        <v>23</v>
      </c>
    </row>
    <row r="69" ht="23" customHeight="1" spans="1:19" s="8" customFormat="1" x14ac:dyDescent="0.25">
      <c r="A69" s="9" t="s">
        <v>42</v>
      </c>
      <c r="B69" s="9" t="s">
        <v>23</v>
      </c>
      <c r="C69" s="9" t="s">
        <v>23</v>
      </c>
      <c r="D69" s="9" t="s">
        <v>23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23</v>
      </c>
      <c r="L69" s="9" t="s">
        <v>23</v>
      </c>
      <c r="M69" s="9" t="s">
        <v>23</v>
      </c>
      <c r="N69" s="9" t="s">
        <v>23</v>
      </c>
      <c r="O69" s="9">
        <f>SUM(O68:O68)</f>
        <v>56</v>
      </c>
      <c r="P69" s="10">
        <f>SUM(P68:P68)</f>
        <v>0.28</v>
      </c>
      <c r="Q69" s="9">
        <f>SUM(Q68:Q68)</f>
        <v>0</v>
      </c>
      <c r="R69" s="10">
        <f>SUM(R68:R68)</f>
        <v>0</v>
      </c>
      <c r="S69" s="9" t="s">
        <v>23</v>
      </c>
    </row>
    <row r="70" ht="23" customHeight="1" spans="1:19" s="4" customFormat="1" x14ac:dyDescent="0.25">
      <c r="A70" s="5" t="s">
        <v>43</v>
      </c>
      <c r="B70" s="6" t="s">
        <v>27</v>
      </c>
      <c r="C70" s="5" t="s">
        <v>21</v>
      </c>
      <c r="D70" s="5" t="s">
        <v>22</v>
      </c>
      <c r="E70" s="5">
        <v>2.5</v>
      </c>
      <c r="F70" s="5">
        <v>1</v>
      </c>
      <c r="G70" s="5">
        <v>0</v>
      </c>
      <c r="H70" s="5">
        <v>0</v>
      </c>
      <c r="I70" s="5">
        <v>56</v>
      </c>
      <c r="J70" s="5">
        <v>56</v>
      </c>
      <c r="K70" s="5">
        <v>1</v>
      </c>
      <c r="L70" s="5">
        <v>12</v>
      </c>
      <c r="M70" s="5">
        <v>14</v>
      </c>
      <c r="N70" s="5">
        <v>63</v>
      </c>
      <c r="O70" s="5">
        <v>12</v>
      </c>
      <c r="P70" s="7">
        <f>O70*E70/1000</f>
        <v>0.03</v>
      </c>
      <c r="Q70" s="5">
        <f>MIN(INT(O70/F70)*F70,ROUNDUP(MAX(0,(N70*0.5+(L70/7*30)*0.3+(K70*30)*0.2)*0.8-I70)/F70,0)*F70)</f>
        <v>0</v>
      </c>
      <c r="R70" s="7">
        <f>Q70*E70/1000</f>
        <v>0</v>
      </c>
      <c r="S70" s="5" t="s">
        <v>23</v>
      </c>
    </row>
    <row r="71" ht="23" customHeight="1" spans="1:19" s="4" customFormat="1" x14ac:dyDescent="0.25">
      <c r="A71" s="5" t="s">
        <v>43</v>
      </c>
      <c r="B71" s="6" t="s">
        <v>29</v>
      </c>
      <c r="C71" s="5" t="s">
        <v>21</v>
      </c>
      <c r="D71" s="5" t="s">
        <v>22</v>
      </c>
      <c r="E71" s="5">
        <v>5</v>
      </c>
      <c r="F71" s="5">
        <v>1</v>
      </c>
      <c r="G71" s="5">
        <v>0</v>
      </c>
      <c r="H71" s="5">
        <v>0</v>
      </c>
      <c r="I71" s="5">
        <v>85</v>
      </c>
      <c r="J71" s="5">
        <v>85</v>
      </c>
      <c r="K71" s="5">
        <v>1</v>
      </c>
      <c r="L71" s="5">
        <v>11</v>
      </c>
      <c r="M71" s="5">
        <v>15</v>
      </c>
      <c r="N71" s="5">
        <v>69</v>
      </c>
      <c r="O71" s="5">
        <v>26</v>
      </c>
      <c r="P71" s="7">
        <f>O71*E71/1000</f>
        <v>0.13</v>
      </c>
      <c r="Q71" s="5">
        <f>MIN(INT(O71/F71)*F71,ROUNDUP(MAX(0,(N71*0.5+(L71/7*30)*0.3+(K71*30)*0.2)*0.8-I71)/F71,0)*F71)</f>
        <v>0</v>
      </c>
      <c r="R71" s="7">
        <f>Q71*E71/1000</f>
        <v>0</v>
      </c>
      <c r="S71" s="5" t="s">
        <v>23</v>
      </c>
    </row>
    <row r="72" ht="23" customHeight="1" spans="1:19" s="4" customFormat="1" x14ac:dyDescent="0.25">
      <c r="A72" s="5" t="s">
        <v>43</v>
      </c>
      <c r="B72" s="6" t="s">
        <v>28</v>
      </c>
      <c r="C72" s="5" t="s">
        <v>21</v>
      </c>
      <c r="D72" s="5" t="s">
        <v>22</v>
      </c>
      <c r="E72" s="5">
        <v>10</v>
      </c>
      <c r="F72" s="5">
        <v>1</v>
      </c>
      <c r="G72" s="5">
        <v>0</v>
      </c>
      <c r="H72" s="5">
        <v>0</v>
      </c>
      <c r="I72" s="5">
        <v>40</v>
      </c>
      <c r="J72" s="5">
        <v>37</v>
      </c>
      <c r="K72" s="5">
        <v>1</v>
      </c>
      <c r="L72" s="5">
        <v>15</v>
      </c>
      <c r="M72" s="5">
        <v>17</v>
      </c>
      <c r="N72" s="5">
        <v>32</v>
      </c>
      <c r="O72" s="5">
        <v>12</v>
      </c>
      <c r="P72" s="7">
        <f>O72*E72/1000</f>
        <v>0.12</v>
      </c>
      <c r="Q72" s="5">
        <f>MIN(INT(O72/F72)*F72,ROUNDUP(MAX(0,(N72*0.5+(L72/7*30)*0.3+(K72*30)*0.2)*0.8-I72)/F72,0)*F72)</f>
        <v>0</v>
      </c>
      <c r="R72" s="7">
        <f>Q72*E72/1000</f>
        <v>0</v>
      </c>
      <c r="S72" s="5" t="s">
        <v>23</v>
      </c>
    </row>
    <row r="73" ht="23" customHeight="1" spans="1:19" s="4" customFormat="1" x14ac:dyDescent="0.25">
      <c r="A73" s="5" t="s">
        <v>43</v>
      </c>
      <c r="B73" s="6" t="s">
        <v>20</v>
      </c>
      <c r="C73" s="5" t="s">
        <v>21</v>
      </c>
      <c r="D73" s="5" t="s">
        <v>22</v>
      </c>
      <c r="E73" s="5">
        <v>25</v>
      </c>
      <c r="F73" s="5">
        <v>1</v>
      </c>
      <c r="G73" s="5">
        <v>0</v>
      </c>
      <c r="H73" s="5">
        <v>0</v>
      </c>
      <c r="I73" s="5">
        <v>56</v>
      </c>
      <c r="J73" s="5">
        <v>53</v>
      </c>
      <c r="K73" s="5">
        <v>1</v>
      </c>
      <c r="L73" s="5">
        <v>27</v>
      </c>
      <c r="M73" s="5">
        <v>48</v>
      </c>
      <c r="N73" s="5">
        <v>66</v>
      </c>
      <c r="O73" s="5">
        <v>67</v>
      </c>
      <c r="P73" s="7">
        <f>O73*E73/1000</f>
        <v>1.675</v>
      </c>
      <c r="Q73" s="5">
        <f>MIN(INT(O73/F73)*F73,ROUNDUP(MAX(0,(N73*0.5+(L73/7*30)*0.3+(K73*30)*0.2)*0.8-I73)/F73,0)*F73)</f>
        <v>3</v>
      </c>
      <c r="R73" s="7">
        <f>Q73*E73/1000</f>
        <v>0.075</v>
      </c>
      <c r="S73" s="5" t="s">
        <v>23</v>
      </c>
    </row>
    <row r="74" ht="23" customHeight="1" spans="1:19" s="4" customFormat="1" x14ac:dyDescent="0.25">
      <c r="A74" s="5" t="s">
        <v>43</v>
      </c>
      <c r="B74" s="6" t="s">
        <v>24</v>
      </c>
      <c r="C74" s="5" t="s">
        <v>21</v>
      </c>
      <c r="D74" s="5" t="s">
        <v>22</v>
      </c>
      <c r="E74" s="5">
        <v>5</v>
      </c>
      <c r="F74" s="5">
        <v>1</v>
      </c>
      <c r="G74" s="5">
        <v>0</v>
      </c>
      <c r="H74" s="5">
        <v>5.73</v>
      </c>
      <c r="I74" s="5">
        <v>87</v>
      </c>
      <c r="J74" s="5">
        <v>85</v>
      </c>
      <c r="K74" s="5">
        <v>1</v>
      </c>
      <c r="L74" s="5">
        <v>12</v>
      </c>
      <c r="M74" s="5">
        <v>22</v>
      </c>
      <c r="N74" s="5">
        <v>44</v>
      </c>
      <c r="O74" s="5">
        <v>12</v>
      </c>
      <c r="P74" s="7">
        <f>O74*E74/1000</f>
        <v>0.06</v>
      </c>
      <c r="Q74" s="5">
        <f>MIN(INT(O74/F74)*F74,ROUNDUP(MAX(0,(N74*0.5+(L74/7*30)*0.3+(K74*30)*0.2)*0.8-I74)/F74,0)*F74)</f>
        <v>0</v>
      </c>
      <c r="R74" s="7">
        <f>Q74*E74/1000</f>
        <v>0</v>
      </c>
      <c r="S74" s="5" t="s">
        <v>23</v>
      </c>
    </row>
    <row r="75" ht="23" customHeight="1" spans="1:19" s="4" customFormat="1" x14ac:dyDescent="0.25">
      <c r="A75" s="5" t="s">
        <v>43</v>
      </c>
      <c r="B75" s="6" t="s">
        <v>33</v>
      </c>
      <c r="C75" s="5" t="s">
        <v>21</v>
      </c>
      <c r="D75" s="5" t="s">
        <v>22</v>
      </c>
      <c r="E75" s="5">
        <v>10</v>
      </c>
      <c r="F75" s="5">
        <v>1</v>
      </c>
      <c r="G75" s="5">
        <v>0</v>
      </c>
      <c r="H75" s="5">
        <v>0</v>
      </c>
      <c r="I75" s="5">
        <v>51</v>
      </c>
      <c r="J75" s="5">
        <v>51</v>
      </c>
      <c r="K75" s="5">
        <v>3</v>
      </c>
      <c r="L75" s="5">
        <v>11</v>
      </c>
      <c r="M75" s="5">
        <v>20</v>
      </c>
      <c r="N75" s="5">
        <v>45</v>
      </c>
      <c r="O75" s="5">
        <v>9</v>
      </c>
      <c r="P75" s="7">
        <f>O75*E75/1000</f>
        <v>0.09</v>
      </c>
      <c r="Q75" s="5">
        <f>MIN(INT(O75/F75)*F75,ROUNDUP(MAX(0,(N75*0.5+(L75/7*30)*0.3+(K75*30)*0.2)*0.8-I75)/F75,0)*F75)</f>
        <v>0</v>
      </c>
      <c r="R75" s="7">
        <f>Q75*E75/1000</f>
        <v>0</v>
      </c>
      <c r="S75" s="5" t="s">
        <v>23</v>
      </c>
    </row>
    <row r="76" ht="23" customHeight="1" spans="1:19" s="4" customFormat="1" x14ac:dyDescent="0.25">
      <c r="A76" s="5" t="s">
        <v>43</v>
      </c>
      <c r="B76" s="6" t="s">
        <v>26</v>
      </c>
      <c r="C76" s="5" t="s">
        <v>21</v>
      </c>
      <c r="D76" s="5" t="s">
        <v>22</v>
      </c>
      <c r="E76" s="5">
        <v>5</v>
      </c>
      <c r="F76" s="5">
        <v>5</v>
      </c>
      <c r="G76" s="5">
        <v>0</v>
      </c>
      <c r="H76" s="5">
        <v>0</v>
      </c>
      <c r="I76" s="5">
        <v>29</v>
      </c>
      <c r="J76" s="5">
        <v>28</v>
      </c>
      <c r="K76" s="5">
        <v>0</v>
      </c>
      <c r="L76" s="5">
        <v>10</v>
      </c>
      <c r="M76" s="5">
        <v>32</v>
      </c>
      <c r="N76" s="5">
        <v>47</v>
      </c>
      <c r="O76" s="5">
        <v>10</v>
      </c>
      <c r="P76" s="7">
        <f>O76*E76/1000</f>
        <v>0.05</v>
      </c>
      <c r="Q76" s="5">
        <f>MIN(INT(O76/F76)*F76,ROUNDUP(MAX(0,(N76*0.5+(L76/7*30)*0.3+(K76*30)*0.2)*0.8-I76)/F76,0)*F76)</f>
        <v>5</v>
      </c>
      <c r="R76" s="7">
        <f>Q76*E76/1000</f>
        <v>0.025</v>
      </c>
      <c r="S76" s="5" t="s">
        <v>23</v>
      </c>
    </row>
    <row r="77" ht="23" customHeight="1" spans="1:19" s="4" customFormat="1" x14ac:dyDescent="0.25">
      <c r="A77" s="5" t="s">
        <v>43</v>
      </c>
      <c r="B77" s="6" t="s">
        <v>27</v>
      </c>
      <c r="C77" s="5" t="s">
        <v>21</v>
      </c>
      <c r="D77" s="5" t="s">
        <v>22</v>
      </c>
      <c r="E77" s="5">
        <v>2.5</v>
      </c>
      <c r="F77" s="5">
        <v>1</v>
      </c>
      <c r="G77" s="5">
        <v>0</v>
      </c>
      <c r="H77" s="5">
        <v>0</v>
      </c>
      <c r="I77" s="5">
        <v>56</v>
      </c>
      <c r="J77" s="5">
        <v>56</v>
      </c>
      <c r="K77" s="5">
        <v>1</v>
      </c>
      <c r="L77" s="5">
        <v>12</v>
      </c>
      <c r="M77" s="5">
        <v>14</v>
      </c>
      <c r="N77" s="5">
        <v>63</v>
      </c>
      <c r="O77" s="5">
        <v>7</v>
      </c>
      <c r="P77" s="7">
        <f>O77*E77/1000</f>
        <v>0.0175</v>
      </c>
      <c r="Q77" s="5">
        <f>MIN(INT(O77/F77)*F77,ROUNDUP(MAX(0,(N77*0.5+(L77/7*30)*0.3+(K77*30)*0.2)*0.8-I77)/F77,0)*F77)</f>
        <v>0</v>
      </c>
      <c r="R77" s="7">
        <f>Q77*E77/1000</f>
        <v>0</v>
      </c>
      <c r="S77" s="5" t="s">
        <v>23</v>
      </c>
    </row>
    <row r="78" ht="23" customHeight="1" spans="1:19" s="4" customFormat="1" x14ac:dyDescent="0.25">
      <c r="A78" s="5" t="s">
        <v>43</v>
      </c>
      <c r="B78" s="6" t="s">
        <v>25</v>
      </c>
      <c r="C78" s="5" t="s">
        <v>21</v>
      </c>
      <c r="D78" s="5" t="s">
        <v>22</v>
      </c>
      <c r="E78" s="5">
        <v>10</v>
      </c>
      <c r="F78" s="5">
        <v>1</v>
      </c>
      <c r="G78" s="5">
        <v>0</v>
      </c>
      <c r="H78" s="5">
        <v>0</v>
      </c>
      <c r="I78" s="5">
        <v>39</v>
      </c>
      <c r="J78" s="5">
        <v>39</v>
      </c>
      <c r="K78" s="5">
        <v>1</v>
      </c>
      <c r="L78" s="5">
        <v>9</v>
      </c>
      <c r="M78" s="5">
        <v>18</v>
      </c>
      <c r="N78" s="5">
        <v>36</v>
      </c>
      <c r="O78" s="5">
        <v>8</v>
      </c>
      <c r="P78" s="7">
        <f>O78*E78/1000</f>
        <v>0.08</v>
      </c>
      <c r="Q78" s="5">
        <f>MIN(INT(O78/F78)*F78,ROUNDUP(MAX(0,(N78*0.5+(L78/7*30)*0.3+(K78*30)*0.2)*0.8-I78)/F78,0)*F78)</f>
        <v>0</v>
      </c>
      <c r="R78" s="7">
        <f>Q78*E78/1000</f>
        <v>0</v>
      </c>
      <c r="S78" s="5" t="s">
        <v>23</v>
      </c>
    </row>
    <row r="79" ht="23" customHeight="1" spans="1:19" s="4" customFormat="1" x14ac:dyDescent="0.25">
      <c r="A79" s="5" t="s">
        <v>43</v>
      </c>
      <c r="B79" s="6" t="s">
        <v>37</v>
      </c>
      <c r="C79" s="5" t="s">
        <v>21</v>
      </c>
      <c r="D79" s="5" t="s">
        <v>22</v>
      </c>
      <c r="E79" s="5">
        <v>10</v>
      </c>
      <c r="F79" s="5">
        <v>1</v>
      </c>
      <c r="G79" s="5">
        <v>0</v>
      </c>
      <c r="H79" s="5">
        <v>0</v>
      </c>
      <c r="I79" s="5">
        <v>13</v>
      </c>
      <c r="J79" s="5">
        <v>13</v>
      </c>
      <c r="K79" s="5">
        <v>1</v>
      </c>
      <c r="L79" s="5">
        <v>26</v>
      </c>
      <c r="M79" s="5">
        <v>33</v>
      </c>
      <c r="N79" s="5">
        <v>47</v>
      </c>
      <c r="O79" s="5">
        <v>31</v>
      </c>
      <c r="P79" s="7">
        <f>O79*E79/1000</f>
        <v>0.31</v>
      </c>
      <c r="Q79" s="5">
        <f>MIN(INT(O79/F79)*F79,ROUNDUP(MAX(0,(N79*0.5+(L79/7*30)*0.3+(K79*30)*0.2)*0.8-I79)/F79,0)*F79)</f>
        <v>31</v>
      </c>
      <c r="R79" s="7">
        <f>Q79*E79/1000</f>
        <v>0.31</v>
      </c>
      <c r="S79" s="5" t="s">
        <v>23</v>
      </c>
    </row>
    <row r="80" ht="23" customHeight="1" spans="1:19" s="4" customFormat="1" x14ac:dyDescent="0.25">
      <c r="A80" s="5" t="s">
        <v>43</v>
      </c>
      <c r="B80" s="6" t="s">
        <v>33</v>
      </c>
      <c r="C80" s="5" t="s">
        <v>21</v>
      </c>
      <c r="D80" s="5" t="s">
        <v>22</v>
      </c>
      <c r="E80" s="5">
        <v>10</v>
      </c>
      <c r="F80" s="5">
        <v>1</v>
      </c>
      <c r="G80" s="5">
        <v>0</v>
      </c>
      <c r="H80" s="5">
        <v>0</v>
      </c>
      <c r="I80" s="5">
        <v>51</v>
      </c>
      <c r="J80" s="5">
        <v>51</v>
      </c>
      <c r="K80" s="5">
        <v>3</v>
      </c>
      <c r="L80" s="5">
        <v>11</v>
      </c>
      <c r="M80" s="5">
        <v>20</v>
      </c>
      <c r="N80" s="5">
        <v>45</v>
      </c>
      <c r="O80" s="5">
        <v>3</v>
      </c>
      <c r="P80" s="7">
        <f>O80*E80/1000</f>
        <v>0.03</v>
      </c>
      <c r="Q80" s="5">
        <f>MIN(INT(O80/F80)*F80,ROUNDUP(MAX(0,(N80*0.5+(L80/7*30)*0.3+(K80*30)*0.2)*0.8-I80)/F80,0)*F80)</f>
        <v>0</v>
      </c>
      <c r="R80" s="7">
        <f>Q80*E80/1000</f>
        <v>0</v>
      </c>
      <c r="S80" s="5" t="s">
        <v>23</v>
      </c>
    </row>
    <row r="81" ht="23" customHeight="1" spans="1:19" s="4" customFormat="1" x14ac:dyDescent="0.25">
      <c r="A81" s="5" t="s">
        <v>43</v>
      </c>
      <c r="B81" s="6" t="s">
        <v>20</v>
      </c>
      <c r="C81" s="5" t="s">
        <v>21</v>
      </c>
      <c r="D81" s="5" t="s">
        <v>22</v>
      </c>
      <c r="E81" s="5">
        <v>25</v>
      </c>
      <c r="F81" s="5">
        <v>1</v>
      </c>
      <c r="G81" s="5">
        <v>0</v>
      </c>
      <c r="H81" s="5">
        <v>0</v>
      </c>
      <c r="I81" s="5">
        <v>56</v>
      </c>
      <c r="J81" s="5">
        <v>53</v>
      </c>
      <c r="K81" s="5">
        <v>1</v>
      </c>
      <c r="L81" s="5">
        <v>27</v>
      </c>
      <c r="M81" s="5">
        <v>48</v>
      </c>
      <c r="N81" s="5">
        <v>66</v>
      </c>
      <c r="O81" s="5">
        <v>27</v>
      </c>
      <c r="P81" s="7">
        <f>O81*E81/1000</f>
        <v>0.675</v>
      </c>
      <c r="Q81" s="5">
        <f>MIN(INT(O81/F81)*F81,ROUNDUP(MAX(0,(N81*0.5+(L81/7*30)*0.3+(K81*30)*0.2)*0.8-I81)/F81,0)*F81)</f>
        <v>3</v>
      </c>
      <c r="R81" s="7">
        <f>Q81*E81/1000</f>
        <v>0.075</v>
      </c>
      <c r="S81" s="5" t="s">
        <v>23</v>
      </c>
    </row>
    <row r="82" ht="23" customHeight="1" spans="1:19" s="4" customFormat="1" x14ac:dyDescent="0.25">
      <c r="A82" s="5" t="s">
        <v>43</v>
      </c>
      <c r="B82" s="6" t="s">
        <v>29</v>
      </c>
      <c r="C82" s="5" t="s">
        <v>21</v>
      </c>
      <c r="D82" s="5" t="s">
        <v>22</v>
      </c>
      <c r="E82" s="5">
        <v>5</v>
      </c>
      <c r="F82" s="5">
        <v>1</v>
      </c>
      <c r="G82" s="5">
        <v>0</v>
      </c>
      <c r="H82" s="5">
        <v>0</v>
      </c>
      <c r="I82" s="5">
        <v>85</v>
      </c>
      <c r="J82" s="5">
        <v>85</v>
      </c>
      <c r="K82" s="5">
        <v>1</v>
      </c>
      <c r="L82" s="5">
        <v>11</v>
      </c>
      <c r="M82" s="5">
        <v>15</v>
      </c>
      <c r="N82" s="5">
        <v>69</v>
      </c>
      <c r="O82" s="5">
        <v>11</v>
      </c>
      <c r="P82" s="7">
        <f>O82*E82/1000</f>
        <v>0.055</v>
      </c>
      <c r="Q82" s="5">
        <f>MIN(INT(O82/F82)*F82,ROUNDUP(MAX(0,(N82*0.5+(L82/7*30)*0.3+(K82*30)*0.2)*0.8-I82)/F82,0)*F82)</f>
        <v>0</v>
      </c>
      <c r="R82" s="7">
        <f>Q82*E82/1000</f>
        <v>0</v>
      </c>
      <c r="S82" s="5" t="s">
        <v>23</v>
      </c>
    </row>
    <row r="83" ht="23" customHeight="1" spans="1:19" s="4" customFormat="1" x14ac:dyDescent="0.25">
      <c r="A83" s="5" t="s">
        <v>43</v>
      </c>
      <c r="B83" s="6" t="s">
        <v>26</v>
      </c>
      <c r="C83" s="5" t="s">
        <v>21</v>
      </c>
      <c r="D83" s="5" t="s">
        <v>22</v>
      </c>
      <c r="E83" s="5">
        <v>5</v>
      </c>
      <c r="F83" s="5">
        <v>5</v>
      </c>
      <c r="G83" s="5">
        <v>0</v>
      </c>
      <c r="H83" s="5">
        <v>0</v>
      </c>
      <c r="I83" s="5">
        <v>29</v>
      </c>
      <c r="J83" s="5">
        <v>28</v>
      </c>
      <c r="K83" s="5">
        <v>0</v>
      </c>
      <c r="L83" s="5">
        <v>10</v>
      </c>
      <c r="M83" s="5">
        <v>32</v>
      </c>
      <c r="N83" s="5">
        <v>47</v>
      </c>
      <c r="O83" s="5">
        <v>10</v>
      </c>
      <c r="P83" s="7">
        <f>O83*E83/1000</f>
        <v>0.05</v>
      </c>
      <c r="Q83" s="5">
        <f>MIN(INT(O83/F83)*F83,ROUNDUP(MAX(0,(N83*0.5+(L83/7*30)*0.3+(K83*30)*0.2)*0.8-I83)/F83,0)*F83)</f>
        <v>5</v>
      </c>
      <c r="R83" s="7">
        <f>Q83*E83/1000</f>
        <v>0.025</v>
      </c>
      <c r="S83" s="5" t="s">
        <v>23</v>
      </c>
    </row>
    <row r="84" ht="23" customHeight="1" spans="1:19" s="4" customFormat="1" x14ac:dyDescent="0.25">
      <c r="A84" s="5" t="s">
        <v>43</v>
      </c>
      <c r="B84" s="6" t="s">
        <v>37</v>
      </c>
      <c r="C84" s="5" t="s">
        <v>21</v>
      </c>
      <c r="D84" s="5" t="s">
        <v>22</v>
      </c>
      <c r="E84" s="5">
        <v>10</v>
      </c>
      <c r="F84" s="5">
        <v>1</v>
      </c>
      <c r="G84" s="5">
        <v>0</v>
      </c>
      <c r="H84" s="5">
        <v>0</v>
      </c>
      <c r="I84" s="5">
        <v>13</v>
      </c>
      <c r="J84" s="5">
        <v>13</v>
      </c>
      <c r="K84" s="5">
        <v>1</v>
      </c>
      <c r="L84" s="5">
        <v>26</v>
      </c>
      <c r="M84" s="5">
        <v>33</v>
      </c>
      <c r="N84" s="5">
        <v>47</v>
      </c>
      <c r="O84" s="5">
        <v>5</v>
      </c>
      <c r="P84" s="7">
        <f>O84*E84/1000</f>
        <v>0.05</v>
      </c>
      <c r="Q84" s="5">
        <f>MIN(INT(O84/F84)*F84,ROUNDUP(MAX(0,(N84*0.5+(L84/7*30)*0.3+(K84*30)*0.2)*0.8-I84)/F84,0)*F84)</f>
        <v>5</v>
      </c>
      <c r="R84" s="7">
        <f>Q84*E84/1000</f>
        <v>0.05</v>
      </c>
      <c r="S84" s="5" t="s">
        <v>23</v>
      </c>
    </row>
    <row r="85" ht="23" customHeight="1" spans="1:19" s="4" customFormat="1" x14ac:dyDescent="0.25">
      <c r="A85" s="5" t="s">
        <v>43</v>
      </c>
      <c r="B85" s="6" t="s">
        <v>30</v>
      </c>
      <c r="C85" s="5" t="s">
        <v>21</v>
      </c>
      <c r="D85" s="5" t="s">
        <v>22</v>
      </c>
      <c r="E85" s="5">
        <v>5</v>
      </c>
      <c r="F85" s="5">
        <v>1</v>
      </c>
      <c r="G85" s="5">
        <v>0</v>
      </c>
      <c r="H85" s="5">
        <v>0</v>
      </c>
      <c r="I85" s="5">
        <v>105</v>
      </c>
      <c r="J85" s="5">
        <v>104</v>
      </c>
      <c r="K85" s="5">
        <v>11</v>
      </c>
      <c r="L85" s="5">
        <v>90</v>
      </c>
      <c r="M85" s="5">
        <v>216</v>
      </c>
      <c r="N85" s="5">
        <v>366</v>
      </c>
      <c r="O85" s="5">
        <v>394</v>
      </c>
      <c r="P85" s="7">
        <f>O85*E85/1000</f>
        <v>1.97</v>
      </c>
      <c r="Q85" s="5">
        <f>MIN(INT(O85/F85)*F85,ROUNDUP(MAX(0,(N85*0.5+(L85/7*30)*0.3+(K85*30)*0.2)*0.8-I85)/F85,0)*F85)</f>
        <v>187</v>
      </c>
      <c r="R85" s="7">
        <f>Q85*E85/1000</f>
        <v>0.935</v>
      </c>
      <c r="S85" s="5" t="s">
        <v>23</v>
      </c>
    </row>
    <row r="86" ht="23" customHeight="1" spans="1:19" s="4" customFormat="1" x14ac:dyDescent="0.25">
      <c r="A86" s="5" t="s">
        <v>43</v>
      </c>
      <c r="B86" s="6" t="s">
        <v>29</v>
      </c>
      <c r="C86" s="5" t="s">
        <v>21</v>
      </c>
      <c r="D86" s="5" t="s">
        <v>22</v>
      </c>
      <c r="E86" s="5">
        <v>5</v>
      </c>
      <c r="F86" s="5">
        <v>1</v>
      </c>
      <c r="G86" s="5">
        <v>0</v>
      </c>
      <c r="H86" s="5">
        <v>0</v>
      </c>
      <c r="I86" s="5">
        <v>85</v>
      </c>
      <c r="J86" s="5">
        <v>85</v>
      </c>
      <c r="K86" s="5">
        <v>1</v>
      </c>
      <c r="L86" s="5">
        <v>11</v>
      </c>
      <c r="M86" s="5">
        <v>15</v>
      </c>
      <c r="N86" s="5">
        <v>69</v>
      </c>
      <c r="O86" s="5">
        <v>37</v>
      </c>
      <c r="P86" s="7">
        <f>O86*E86/1000</f>
        <v>0.185</v>
      </c>
      <c r="Q86" s="5">
        <f>MIN(INT(O86/F86)*F86,ROUNDUP(MAX(0,(N86*0.5+(L86/7*30)*0.3+(K86*30)*0.2)*0.8-I86)/F86,0)*F86)</f>
        <v>0</v>
      </c>
      <c r="R86" s="7">
        <f>Q86*E86/1000</f>
        <v>0</v>
      </c>
      <c r="S86" s="5" t="s">
        <v>23</v>
      </c>
    </row>
    <row r="87" ht="23" customHeight="1" spans="1:19" s="4" customFormat="1" x14ac:dyDescent="0.25">
      <c r="A87" s="5" t="s">
        <v>43</v>
      </c>
      <c r="B87" s="6" t="s">
        <v>20</v>
      </c>
      <c r="C87" s="5" t="s">
        <v>21</v>
      </c>
      <c r="D87" s="5" t="s">
        <v>22</v>
      </c>
      <c r="E87" s="5">
        <v>25</v>
      </c>
      <c r="F87" s="5">
        <v>1</v>
      </c>
      <c r="G87" s="5">
        <v>0</v>
      </c>
      <c r="H87" s="5">
        <v>0</v>
      </c>
      <c r="I87" s="5">
        <v>56</v>
      </c>
      <c r="J87" s="5">
        <v>53</v>
      </c>
      <c r="K87" s="5">
        <v>1</v>
      </c>
      <c r="L87" s="5">
        <v>27</v>
      </c>
      <c r="M87" s="5">
        <v>48</v>
      </c>
      <c r="N87" s="5">
        <v>66</v>
      </c>
      <c r="O87" s="5">
        <v>102</v>
      </c>
      <c r="P87" s="7">
        <f>O87*E87/1000</f>
        <v>2.55</v>
      </c>
      <c r="Q87" s="5">
        <f>MIN(INT(O87/F87)*F87,ROUNDUP(MAX(0,(N87*0.5+(L87/7*30)*0.3+(K87*30)*0.2)*0.8-I87)/F87,0)*F87)</f>
        <v>3</v>
      </c>
      <c r="R87" s="7">
        <f>Q87*E87/1000</f>
        <v>0.075</v>
      </c>
      <c r="S87" s="5" t="s">
        <v>23</v>
      </c>
    </row>
    <row r="88" ht="23" customHeight="1" spans="1:19" s="8" customFormat="1" x14ac:dyDescent="0.25">
      <c r="A88" s="9" t="s">
        <v>44</v>
      </c>
      <c r="B88" s="9" t="s">
        <v>23</v>
      </c>
      <c r="C88" s="9" t="s">
        <v>23</v>
      </c>
      <c r="D88" s="9" t="s">
        <v>23</v>
      </c>
      <c r="E88" s="9" t="s">
        <v>23</v>
      </c>
      <c r="F88" s="9" t="s">
        <v>23</v>
      </c>
      <c r="G88" s="9" t="s">
        <v>23</v>
      </c>
      <c r="H88" s="9" t="s">
        <v>23</v>
      </c>
      <c r="I88" s="9" t="s">
        <v>23</v>
      </c>
      <c r="J88" s="9" t="s">
        <v>23</v>
      </c>
      <c r="K88" s="9" t="s">
        <v>23</v>
      </c>
      <c r="L88" s="9" t="s">
        <v>23</v>
      </c>
      <c r="M88" s="9" t="s">
        <v>23</v>
      </c>
      <c r="N88" s="9" t="s">
        <v>23</v>
      </c>
      <c r="O88" s="9">
        <f>SUM(O70:O87)</f>
        <v>783</v>
      </c>
      <c r="P88" s="10">
        <f>SUM(P70:P87)</f>
        <v>8.1275</v>
      </c>
      <c r="Q88" s="9">
        <f>SUM(Q70:Q87)</f>
        <v>242</v>
      </c>
      <c r="R88" s="10">
        <f>SUM(R70:R87)</f>
        <v>1.57</v>
      </c>
      <c r="S88" s="9" t="s">
        <v>23</v>
      </c>
    </row>
    <row r="89" ht="23" customHeight="1" spans="1:19" s="4" customFormat="1" x14ac:dyDescent="0.25">
      <c r="A89" s="5" t="s">
        <v>45</v>
      </c>
      <c r="B89" s="6" t="s">
        <v>28</v>
      </c>
      <c r="C89" s="5" t="s">
        <v>21</v>
      </c>
      <c r="D89" s="5" t="s">
        <v>22</v>
      </c>
      <c r="E89" s="5">
        <v>10</v>
      </c>
      <c r="F89" s="5">
        <v>1</v>
      </c>
      <c r="G89" s="5">
        <v>0</v>
      </c>
      <c r="H89" s="5">
        <v>59.11</v>
      </c>
      <c r="I89" s="5">
        <v>152</v>
      </c>
      <c r="J89" s="5">
        <v>0</v>
      </c>
      <c r="K89" s="5">
        <v>0</v>
      </c>
      <c r="L89" s="5">
        <v>5</v>
      </c>
      <c r="M89" s="5">
        <v>19</v>
      </c>
      <c r="N89" s="5">
        <v>60</v>
      </c>
      <c r="O89" s="5">
        <v>80</v>
      </c>
      <c r="P89" s="7">
        <f>O89*E89/1000</f>
        <v>0.8</v>
      </c>
      <c r="Q89" s="5">
        <f>MIN(INT(O89/F89)*F89,ROUNDUP(MAX(0,(N89*0.5+(L89/7*30)*0.3+(K89*30)*0.2)*0.8-I89)/F89,0)*F89)</f>
        <v>0</v>
      </c>
      <c r="R89" s="7">
        <f>Q89*E89/1000</f>
        <v>0</v>
      </c>
      <c r="S89" s="5" t="s">
        <v>23</v>
      </c>
    </row>
    <row r="90" ht="23" customHeight="1" spans="1:19" s="8" customFormat="1" x14ac:dyDescent="0.25">
      <c r="A90" s="9" t="s">
        <v>46</v>
      </c>
      <c r="B90" s="9" t="s">
        <v>23</v>
      </c>
      <c r="C90" s="9" t="s">
        <v>23</v>
      </c>
      <c r="D90" s="9" t="s">
        <v>23</v>
      </c>
      <c r="E90" s="9" t="s">
        <v>23</v>
      </c>
      <c r="F90" s="9" t="s">
        <v>23</v>
      </c>
      <c r="G90" s="9" t="s">
        <v>23</v>
      </c>
      <c r="H90" s="9" t="s">
        <v>23</v>
      </c>
      <c r="I90" s="9" t="s">
        <v>23</v>
      </c>
      <c r="J90" s="9" t="s">
        <v>23</v>
      </c>
      <c r="K90" s="9" t="s">
        <v>23</v>
      </c>
      <c r="L90" s="9" t="s">
        <v>23</v>
      </c>
      <c r="M90" s="9" t="s">
        <v>23</v>
      </c>
      <c r="N90" s="9" t="s">
        <v>23</v>
      </c>
      <c r="O90" s="9">
        <f>SUM(O89:O89)</f>
        <v>80</v>
      </c>
      <c r="P90" s="10">
        <f>SUM(P89:P89)</f>
        <v>0.8</v>
      </c>
      <c r="Q90" s="9">
        <f>SUM(Q89:Q89)</f>
        <v>0</v>
      </c>
      <c r="R90" s="10">
        <f>SUM(R89:R89)</f>
        <v>0</v>
      </c>
      <c r="S90" s="9" t="s">
        <v>23</v>
      </c>
    </row>
    <row r="91" ht="23" customHeight="1" spans="1:19" s="4" customFormat="1" x14ac:dyDescent="0.25">
      <c r="A91" s="5" t="s">
        <v>47</v>
      </c>
      <c r="B91" s="6" t="s">
        <v>37</v>
      </c>
      <c r="C91" s="5" t="s">
        <v>21</v>
      </c>
      <c r="D91" s="5" t="s">
        <v>22</v>
      </c>
      <c r="E91" s="5">
        <v>10</v>
      </c>
      <c r="F91" s="5">
        <v>1</v>
      </c>
      <c r="G91" s="5">
        <v>0</v>
      </c>
      <c r="H91" s="5">
        <v>0</v>
      </c>
      <c r="I91" s="5">
        <v>41</v>
      </c>
      <c r="J91" s="5">
        <v>40</v>
      </c>
      <c r="K91" s="5">
        <v>3</v>
      </c>
      <c r="L91" s="5">
        <v>10</v>
      </c>
      <c r="M91" s="5">
        <v>20</v>
      </c>
      <c r="N91" s="5">
        <v>46</v>
      </c>
      <c r="O91" s="5">
        <v>20</v>
      </c>
      <c r="P91" s="7">
        <f>O91*E91/1000</f>
        <v>0.2</v>
      </c>
      <c r="Q91" s="5">
        <f>MIN(INT(O91/F91)*F91,ROUNDUP(MAX(0,(N91*0.5+(L91/7*30)*0.3+(K91*30)*0.2)*0.8-I91)/F91,0)*F91)</f>
        <v>3</v>
      </c>
      <c r="R91" s="7">
        <f>Q91*E91/1000</f>
        <v>0.03</v>
      </c>
      <c r="S91" s="5" t="s">
        <v>23</v>
      </c>
    </row>
    <row r="92" ht="23" customHeight="1" spans="1:19" s="4" customFormat="1" x14ac:dyDescent="0.25">
      <c r="A92" s="5" t="s">
        <v>47</v>
      </c>
      <c r="B92" s="6" t="s">
        <v>24</v>
      </c>
      <c r="C92" s="5" t="s">
        <v>21</v>
      </c>
      <c r="D92" s="5" t="s">
        <v>22</v>
      </c>
      <c r="E92" s="5">
        <v>5</v>
      </c>
      <c r="F92" s="5">
        <v>1</v>
      </c>
      <c r="G92" s="5">
        <v>0</v>
      </c>
      <c r="H92" s="5">
        <v>0</v>
      </c>
      <c r="I92" s="5">
        <v>192</v>
      </c>
      <c r="J92" s="5">
        <v>192</v>
      </c>
      <c r="K92" s="5">
        <v>4</v>
      </c>
      <c r="L92" s="5">
        <v>45</v>
      </c>
      <c r="M92" s="5">
        <v>113</v>
      </c>
      <c r="N92" s="5">
        <v>230</v>
      </c>
      <c r="O92" s="5">
        <v>51</v>
      </c>
      <c r="P92" s="7">
        <f>O92*E92/1000</f>
        <v>0.255</v>
      </c>
      <c r="Q92" s="5">
        <f>MIN(INT(O92/F92)*F92,ROUNDUP(MAX(0,(N92*0.5+(L92/7*30)*0.3+(K92*30)*0.2)*0.8-I92)/F92,0)*F92)</f>
        <v>0</v>
      </c>
      <c r="R92" s="7">
        <f>Q92*E92/1000</f>
        <v>0</v>
      </c>
      <c r="S92" s="5" t="s">
        <v>23</v>
      </c>
    </row>
    <row r="93" ht="23" customHeight="1" spans="1:19" s="4" customFormat="1" x14ac:dyDescent="0.25">
      <c r="A93" s="5" t="s">
        <v>47</v>
      </c>
      <c r="B93" s="6" t="s">
        <v>29</v>
      </c>
      <c r="C93" s="5" t="s">
        <v>21</v>
      </c>
      <c r="D93" s="5" t="s">
        <v>22</v>
      </c>
      <c r="E93" s="5">
        <v>5</v>
      </c>
      <c r="F93" s="5">
        <v>1</v>
      </c>
      <c r="G93" s="5">
        <v>0</v>
      </c>
      <c r="H93" s="5">
        <v>0</v>
      </c>
      <c r="I93" s="5">
        <v>171</v>
      </c>
      <c r="J93" s="5">
        <v>166</v>
      </c>
      <c r="K93" s="5">
        <v>7</v>
      </c>
      <c r="L93" s="5">
        <v>32</v>
      </c>
      <c r="M93" s="5">
        <v>68</v>
      </c>
      <c r="N93" s="5">
        <v>199</v>
      </c>
      <c r="O93" s="5">
        <v>29</v>
      </c>
      <c r="P93" s="7">
        <f>O93*E93/1000</f>
        <v>0.145</v>
      </c>
      <c r="Q93" s="5">
        <f>MIN(INT(O93/F93)*F93,ROUNDUP(MAX(0,(N93*0.5+(L93/7*30)*0.3+(K93*30)*0.2)*0.8-I93)/F93,0)*F93)</f>
        <v>0</v>
      </c>
      <c r="R93" s="7">
        <f>Q93*E93/1000</f>
        <v>0</v>
      </c>
      <c r="S93" s="5" t="s">
        <v>23</v>
      </c>
    </row>
    <row r="94" ht="23" customHeight="1" spans="1:19" s="4" customFormat="1" x14ac:dyDescent="0.25">
      <c r="A94" s="5" t="s">
        <v>47</v>
      </c>
      <c r="B94" s="6" t="s">
        <v>20</v>
      </c>
      <c r="C94" s="5" t="s">
        <v>21</v>
      </c>
      <c r="D94" s="5" t="s">
        <v>22</v>
      </c>
      <c r="E94" s="5">
        <v>25</v>
      </c>
      <c r="F94" s="5">
        <v>1</v>
      </c>
      <c r="G94" s="5">
        <v>0</v>
      </c>
      <c r="H94" s="5">
        <v>0</v>
      </c>
      <c r="I94" s="5">
        <v>101</v>
      </c>
      <c r="J94" s="5">
        <v>101</v>
      </c>
      <c r="K94" s="5">
        <v>4</v>
      </c>
      <c r="L94" s="5">
        <v>36</v>
      </c>
      <c r="M94" s="5">
        <v>68</v>
      </c>
      <c r="N94" s="5">
        <v>120</v>
      </c>
      <c r="O94" s="5">
        <v>10</v>
      </c>
      <c r="P94" s="7">
        <f>O94*E94/1000</f>
        <v>0.25</v>
      </c>
      <c r="Q94" s="5">
        <f>MIN(INT(O94/F94)*F94,ROUNDUP(MAX(0,(N94*0.5+(L94/7*30)*0.3+(K94*30)*0.2)*0.8-I94)/F94,0)*F94)</f>
        <v>4</v>
      </c>
      <c r="R94" s="7">
        <f>Q94*E94/1000</f>
        <v>0.1</v>
      </c>
      <c r="S94" s="5" t="s">
        <v>23</v>
      </c>
    </row>
    <row r="95" ht="23" customHeight="1" spans="1:19" s="4" customFormat="1" x14ac:dyDescent="0.25">
      <c r="A95" s="5" t="s">
        <v>47</v>
      </c>
      <c r="B95" s="6" t="s">
        <v>27</v>
      </c>
      <c r="C95" s="5" t="s">
        <v>21</v>
      </c>
      <c r="D95" s="5" t="s">
        <v>22</v>
      </c>
      <c r="E95" s="5">
        <v>2.5</v>
      </c>
      <c r="F95" s="5">
        <v>1</v>
      </c>
      <c r="G95" s="5">
        <v>0</v>
      </c>
      <c r="H95" s="5">
        <v>0</v>
      </c>
      <c r="I95" s="5">
        <v>190</v>
      </c>
      <c r="J95" s="5">
        <v>188</v>
      </c>
      <c r="K95" s="5">
        <v>3</v>
      </c>
      <c r="L95" s="5">
        <v>39</v>
      </c>
      <c r="M95" s="5">
        <v>56</v>
      </c>
      <c r="N95" s="5">
        <v>155</v>
      </c>
      <c r="O95" s="5">
        <v>61</v>
      </c>
      <c r="P95" s="7">
        <f>O95*E95/1000</f>
        <v>0.1525</v>
      </c>
      <c r="Q95" s="5">
        <f>MIN(INT(O95/F95)*F95,ROUNDUP(MAX(0,(N95*0.5+(L95/7*30)*0.3+(K95*30)*0.2)*0.8-I95)/F95,0)*F95)</f>
        <v>0</v>
      </c>
      <c r="R95" s="7">
        <f>Q95*E95/1000</f>
        <v>0</v>
      </c>
      <c r="S95" s="5" t="s">
        <v>23</v>
      </c>
    </row>
    <row r="96" ht="23" customHeight="1" spans="1:19" s="4" customFormat="1" x14ac:dyDescent="0.25">
      <c r="A96" s="5" t="s">
        <v>47</v>
      </c>
      <c r="B96" s="6" t="s">
        <v>25</v>
      </c>
      <c r="C96" s="5" t="s">
        <v>21</v>
      </c>
      <c r="D96" s="5" t="s">
        <v>22</v>
      </c>
      <c r="E96" s="5">
        <v>10</v>
      </c>
      <c r="F96" s="5">
        <v>1</v>
      </c>
      <c r="G96" s="5">
        <v>0</v>
      </c>
      <c r="H96" s="5">
        <v>0</v>
      </c>
      <c r="I96" s="5">
        <v>33</v>
      </c>
      <c r="J96" s="5">
        <v>32</v>
      </c>
      <c r="K96" s="5">
        <v>2</v>
      </c>
      <c r="L96" s="5">
        <v>32</v>
      </c>
      <c r="M96" s="5">
        <v>56</v>
      </c>
      <c r="N96" s="5">
        <v>86</v>
      </c>
      <c r="O96" s="5">
        <v>26</v>
      </c>
      <c r="P96" s="7">
        <f>O96*E96/1000</f>
        <v>0.26</v>
      </c>
      <c r="Q96" s="5">
        <f>MIN(INT(O96/F96)*F96,ROUNDUP(MAX(0,(N96*0.5+(L96/7*30)*0.3+(K96*30)*0.2)*0.8-I96)/F96,0)*F96)</f>
        <v>26</v>
      </c>
      <c r="R96" s="7">
        <f>Q96*E96/1000</f>
        <v>0.26</v>
      </c>
      <c r="S96" s="5" t="s">
        <v>23</v>
      </c>
    </row>
    <row r="97" ht="23" customHeight="1" spans="1:19" s="4" customFormat="1" x14ac:dyDescent="0.25">
      <c r="A97" s="5" t="s">
        <v>47</v>
      </c>
      <c r="B97" s="6" t="s">
        <v>24</v>
      </c>
      <c r="C97" s="5" t="s">
        <v>21</v>
      </c>
      <c r="D97" s="5" t="s">
        <v>22</v>
      </c>
      <c r="E97" s="5">
        <v>5</v>
      </c>
      <c r="F97" s="5">
        <v>1</v>
      </c>
      <c r="G97" s="5">
        <v>0</v>
      </c>
      <c r="H97" s="5">
        <v>0</v>
      </c>
      <c r="I97" s="5">
        <v>192</v>
      </c>
      <c r="J97" s="5">
        <v>192</v>
      </c>
      <c r="K97" s="5">
        <v>4</v>
      </c>
      <c r="L97" s="5">
        <v>45</v>
      </c>
      <c r="M97" s="5">
        <v>113</v>
      </c>
      <c r="N97" s="5">
        <v>230</v>
      </c>
      <c r="O97" s="5">
        <v>35</v>
      </c>
      <c r="P97" s="7">
        <f>O97*E97/1000</f>
        <v>0.175</v>
      </c>
      <c r="Q97" s="5">
        <f>MIN(INT(O97/F97)*F97,ROUNDUP(MAX(0,(N97*0.5+(L97/7*30)*0.3+(K97*30)*0.2)*0.8-I97)/F97,0)*F97)</f>
        <v>0</v>
      </c>
      <c r="R97" s="7">
        <f>Q97*E97/1000</f>
        <v>0</v>
      </c>
      <c r="S97" s="5" t="s">
        <v>23</v>
      </c>
    </row>
    <row r="98" ht="23" customHeight="1" spans="1:19" s="4" customFormat="1" x14ac:dyDescent="0.25">
      <c r="A98" s="5" t="s">
        <v>47</v>
      </c>
      <c r="B98" s="6" t="s">
        <v>26</v>
      </c>
      <c r="C98" s="5" t="s">
        <v>21</v>
      </c>
      <c r="D98" s="5" t="s">
        <v>22</v>
      </c>
      <c r="E98" s="5">
        <v>5</v>
      </c>
      <c r="F98" s="5">
        <v>5</v>
      </c>
      <c r="G98" s="5">
        <v>0</v>
      </c>
      <c r="H98" s="5">
        <v>0</v>
      </c>
      <c r="I98" s="5">
        <v>35</v>
      </c>
      <c r="J98" s="5">
        <v>35</v>
      </c>
      <c r="K98" s="5">
        <v>1</v>
      </c>
      <c r="L98" s="5">
        <v>8</v>
      </c>
      <c r="M98" s="5">
        <v>22</v>
      </c>
      <c r="N98" s="5">
        <v>54</v>
      </c>
      <c r="O98" s="5">
        <v>35</v>
      </c>
      <c r="P98" s="7">
        <f>O98*E98/1000</f>
        <v>0.175</v>
      </c>
      <c r="Q98" s="5">
        <f>MIN(INT(O98/F98)*F98,ROUNDUP(MAX(0,(N98*0.5+(L98/7*30)*0.3+(K98*30)*0.2)*0.8-I98)/F98,0)*F98)</f>
        <v>0</v>
      </c>
      <c r="R98" s="7">
        <f>Q98*E98/1000</f>
        <v>0</v>
      </c>
      <c r="S98" s="5" t="s">
        <v>23</v>
      </c>
    </row>
    <row r="99" ht="23" customHeight="1" spans="1:19" s="4" customFormat="1" x14ac:dyDescent="0.25">
      <c r="A99" s="5" t="s">
        <v>47</v>
      </c>
      <c r="B99" s="6" t="s">
        <v>29</v>
      </c>
      <c r="C99" s="5" t="s">
        <v>21</v>
      </c>
      <c r="D99" s="5" t="s">
        <v>22</v>
      </c>
      <c r="E99" s="5">
        <v>5</v>
      </c>
      <c r="F99" s="5">
        <v>1</v>
      </c>
      <c r="G99" s="5">
        <v>0</v>
      </c>
      <c r="H99" s="5">
        <v>0</v>
      </c>
      <c r="I99" s="5">
        <v>171</v>
      </c>
      <c r="J99" s="5">
        <v>166</v>
      </c>
      <c r="K99" s="5">
        <v>7</v>
      </c>
      <c r="L99" s="5">
        <v>32</v>
      </c>
      <c r="M99" s="5">
        <v>68</v>
      </c>
      <c r="N99" s="5">
        <v>199</v>
      </c>
      <c r="O99" s="5">
        <v>41</v>
      </c>
      <c r="P99" s="7">
        <f>O99*E99/1000</f>
        <v>0.205</v>
      </c>
      <c r="Q99" s="5">
        <f>MIN(INT(O99/F99)*F99,ROUNDUP(MAX(0,(N99*0.5+(L99/7*30)*0.3+(K99*30)*0.2)*0.8-I99)/F99,0)*F99)</f>
        <v>0</v>
      </c>
      <c r="R99" s="7">
        <f>Q99*E99/1000</f>
        <v>0</v>
      </c>
      <c r="S99" s="5" t="s">
        <v>23</v>
      </c>
    </row>
    <row r="100" ht="23" customHeight="1" spans="1:19" s="4" customFormat="1" x14ac:dyDescent="0.25">
      <c r="A100" s="5" t="s">
        <v>47</v>
      </c>
      <c r="B100" s="6" t="s">
        <v>28</v>
      </c>
      <c r="C100" s="5" t="s">
        <v>21</v>
      </c>
      <c r="D100" s="5" t="s">
        <v>22</v>
      </c>
      <c r="E100" s="5">
        <v>10</v>
      </c>
      <c r="F100" s="5">
        <v>1</v>
      </c>
      <c r="G100" s="5">
        <v>0</v>
      </c>
      <c r="H100" s="5">
        <v>0</v>
      </c>
      <c r="I100" s="5">
        <v>89</v>
      </c>
      <c r="J100" s="5">
        <v>71</v>
      </c>
      <c r="K100" s="5">
        <v>5</v>
      </c>
      <c r="L100" s="5">
        <v>20</v>
      </c>
      <c r="M100" s="5">
        <v>44</v>
      </c>
      <c r="N100" s="5">
        <v>103</v>
      </c>
      <c r="O100" s="5">
        <v>12</v>
      </c>
      <c r="P100" s="7">
        <f>O100*E100/1000</f>
        <v>0.12</v>
      </c>
      <c r="Q100" s="5">
        <f>MIN(INT(O100/F100)*F100,ROUNDUP(MAX(0,(N100*0.5+(L100/7*30)*0.3+(K100*30)*0.2)*0.8-I100)/F100,0)*F100)</f>
        <v>0</v>
      </c>
      <c r="R100" s="7">
        <f>Q100*E100/1000</f>
        <v>0</v>
      </c>
      <c r="S100" s="5" t="s">
        <v>23</v>
      </c>
    </row>
    <row r="101" ht="23" customHeight="1" spans="1:19" s="4" customFormat="1" x14ac:dyDescent="0.25">
      <c r="A101" s="5" t="s">
        <v>47</v>
      </c>
      <c r="B101" s="6" t="s">
        <v>37</v>
      </c>
      <c r="C101" s="5" t="s">
        <v>21</v>
      </c>
      <c r="D101" s="5" t="s">
        <v>22</v>
      </c>
      <c r="E101" s="5">
        <v>10</v>
      </c>
      <c r="F101" s="5">
        <v>1</v>
      </c>
      <c r="G101" s="5">
        <v>0</v>
      </c>
      <c r="H101" s="5">
        <v>0</v>
      </c>
      <c r="I101" s="5">
        <v>41</v>
      </c>
      <c r="J101" s="5">
        <v>40</v>
      </c>
      <c r="K101" s="5">
        <v>3</v>
      </c>
      <c r="L101" s="5">
        <v>10</v>
      </c>
      <c r="M101" s="5">
        <v>20</v>
      </c>
      <c r="N101" s="5">
        <v>46</v>
      </c>
      <c r="O101" s="5">
        <v>11</v>
      </c>
      <c r="P101" s="7">
        <f>O101*E101/1000</f>
        <v>0.11</v>
      </c>
      <c r="Q101" s="5">
        <f>MIN(INT(O101/F101)*F101,ROUNDUP(MAX(0,(N101*0.5+(L101/7*30)*0.3+(K101*30)*0.2)*0.8-I101)/F101,0)*F101)</f>
        <v>3</v>
      </c>
      <c r="R101" s="7">
        <f>Q101*E101/1000</f>
        <v>0.03</v>
      </c>
      <c r="S101" s="5" t="s">
        <v>23</v>
      </c>
    </row>
    <row r="102" ht="23" customHeight="1" spans="1:19" s="4" customFormat="1" x14ac:dyDescent="0.25">
      <c r="A102" s="5" t="s">
        <v>47</v>
      </c>
      <c r="B102" s="6" t="s">
        <v>28</v>
      </c>
      <c r="C102" s="5" t="s">
        <v>21</v>
      </c>
      <c r="D102" s="5" t="s">
        <v>22</v>
      </c>
      <c r="E102" s="5">
        <v>10</v>
      </c>
      <c r="F102" s="5">
        <v>1</v>
      </c>
      <c r="G102" s="5">
        <v>0</v>
      </c>
      <c r="H102" s="5">
        <v>0</v>
      </c>
      <c r="I102" s="5">
        <v>89</v>
      </c>
      <c r="J102" s="5">
        <v>71</v>
      </c>
      <c r="K102" s="5">
        <v>5</v>
      </c>
      <c r="L102" s="5">
        <v>20</v>
      </c>
      <c r="M102" s="5">
        <v>44</v>
      </c>
      <c r="N102" s="5">
        <v>103</v>
      </c>
      <c r="O102" s="5">
        <v>30</v>
      </c>
      <c r="P102" s="7">
        <f>O102*E102/1000</f>
        <v>0.3</v>
      </c>
      <c r="Q102" s="5">
        <f>MIN(INT(O102/F102)*F102,ROUNDUP(MAX(0,(N102*0.5+(L102/7*30)*0.3+(K102*30)*0.2)*0.8-I102)/F102,0)*F102)</f>
        <v>0</v>
      </c>
      <c r="R102" s="7">
        <f>Q102*E102/1000</f>
        <v>0</v>
      </c>
      <c r="S102" s="5" t="s">
        <v>23</v>
      </c>
    </row>
    <row r="103" ht="23" customHeight="1" spans="1:19" s="4" customFormat="1" x14ac:dyDescent="0.25">
      <c r="A103" s="5" t="s">
        <v>47</v>
      </c>
      <c r="B103" s="6" t="s">
        <v>26</v>
      </c>
      <c r="C103" s="5" t="s">
        <v>21</v>
      </c>
      <c r="D103" s="5" t="s">
        <v>22</v>
      </c>
      <c r="E103" s="5">
        <v>5</v>
      </c>
      <c r="F103" s="5">
        <v>5</v>
      </c>
      <c r="G103" s="5">
        <v>0</v>
      </c>
      <c r="H103" s="5">
        <v>0</v>
      </c>
      <c r="I103" s="5">
        <v>35</v>
      </c>
      <c r="J103" s="5">
        <v>35</v>
      </c>
      <c r="K103" s="5">
        <v>1</v>
      </c>
      <c r="L103" s="5">
        <v>8</v>
      </c>
      <c r="M103" s="5">
        <v>22</v>
      </c>
      <c r="N103" s="5">
        <v>54</v>
      </c>
      <c r="O103" s="5">
        <v>55</v>
      </c>
      <c r="P103" s="7">
        <f>O103*E103/1000</f>
        <v>0.275</v>
      </c>
      <c r="Q103" s="5">
        <f>MIN(INT(O103/F103)*F103,ROUNDUP(MAX(0,(N103*0.5+(L103/7*30)*0.3+(K103*30)*0.2)*0.8-I103)/F103,0)*F103)</f>
        <v>0</v>
      </c>
      <c r="R103" s="7">
        <f>Q103*E103/1000</f>
        <v>0</v>
      </c>
      <c r="S103" s="5" t="s">
        <v>23</v>
      </c>
    </row>
    <row r="104" ht="23" customHeight="1" spans="1:19" s="4" customFormat="1" x14ac:dyDescent="0.25">
      <c r="A104" s="5" t="s">
        <v>47</v>
      </c>
      <c r="B104" s="6" t="s">
        <v>30</v>
      </c>
      <c r="C104" s="5" t="s">
        <v>21</v>
      </c>
      <c r="D104" s="5" t="s">
        <v>22</v>
      </c>
      <c r="E104" s="5">
        <v>5</v>
      </c>
      <c r="F104" s="5">
        <v>1</v>
      </c>
      <c r="G104" s="5">
        <v>0</v>
      </c>
      <c r="H104" s="5">
        <v>0</v>
      </c>
      <c r="I104" s="5">
        <v>830</v>
      </c>
      <c r="J104" s="5">
        <v>806</v>
      </c>
      <c r="K104" s="5">
        <v>74</v>
      </c>
      <c r="L104" s="5">
        <v>361</v>
      </c>
      <c r="M104" s="5">
        <v>726</v>
      </c>
      <c r="N104" s="5">
        <v>1339</v>
      </c>
      <c r="O104" s="5">
        <v>709</v>
      </c>
      <c r="P104" s="7">
        <f>O104*E104/1000</f>
        <v>3.545</v>
      </c>
      <c r="Q104" s="5">
        <f>MIN(INT(O104/F104)*F104,ROUNDUP(MAX(0,(N104*0.5+(L104/7*30)*0.3+(K104*30)*0.2)*0.8-I104)/F104,0)*F104)</f>
        <v>433</v>
      </c>
      <c r="R104" s="7">
        <f>Q104*E104/1000</f>
        <v>2.165</v>
      </c>
      <c r="S104" s="5" t="s">
        <v>23</v>
      </c>
    </row>
    <row r="105" ht="23" customHeight="1" spans="1:19" s="4" customFormat="1" x14ac:dyDescent="0.25">
      <c r="A105" s="5" t="s">
        <v>47</v>
      </c>
      <c r="B105" s="6" t="s">
        <v>24</v>
      </c>
      <c r="C105" s="5" t="s">
        <v>21</v>
      </c>
      <c r="D105" s="5" t="s">
        <v>22</v>
      </c>
      <c r="E105" s="5">
        <v>5</v>
      </c>
      <c r="F105" s="5">
        <v>1</v>
      </c>
      <c r="G105" s="5">
        <v>0</v>
      </c>
      <c r="H105" s="5">
        <v>0</v>
      </c>
      <c r="I105" s="5">
        <v>192</v>
      </c>
      <c r="J105" s="5">
        <v>192</v>
      </c>
      <c r="K105" s="5">
        <v>4</v>
      </c>
      <c r="L105" s="5">
        <v>45</v>
      </c>
      <c r="M105" s="5">
        <v>113</v>
      </c>
      <c r="N105" s="5">
        <v>230</v>
      </c>
      <c r="O105" s="5">
        <v>165</v>
      </c>
      <c r="P105" s="7">
        <f>O105*E105/1000</f>
        <v>0.825</v>
      </c>
      <c r="Q105" s="5">
        <f>MIN(INT(O105/F105)*F105,ROUNDUP(MAX(0,(N105*0.5+(L105/7*30)*0.3+(K105*30)*0.2)*0.8-I105)/F105,0)*F105)</f>
        <v>0</v>
      </c>
      <c r="R105" s="7">
        <f>Q105*E105/1000</f>
        <v>0</v>
      </c>
      <c r="S105" s="5" t="s">
        <v>23</v>
      </c>
    </row>
    <row r="106" ht="23" customHeight="1" spans="1:19" s="4" customFormat="1" x14ac:dyDescent="0.25">
      <c r="A106" s="5" t="s">
        <v>47</v>
      </c>
      <c r="B106" s="6" t="s">
        <v>29</v>
      </c>
      <c r="C106" s="5" t="s">
        <v>21</v>
      </c>
      <c r="D106" s="5" t="s">
        <v>22</v>
      </c>
      <c r="E106" s="5">
        <v>5</v>
      </c>
      <c r="F106" s="5">
        <v>1</v>
      </c>
      <c r="G106" s="5">
        <v>0</v>
      </c>
      <c r="H106" s="5">
        <v>0</v>
      </c>
      <c r="I106" s="5">
        <v>171</v>
      </c>
      <c r="J106" s="5">
        <v>166</v>
      </c>
      <c r="K106" s="5">
        <v>7</v>
      </c>
      <c r="L106" s="5">
        <v>32</v>
      </c>
      <c r="M106" s="5">
        <v>68</v>
      </c>
      <c r="N106" s="5">
        <v>199</v>
      </c>
      <c r="O106" s="5">
        <v>31</v>
      </c>
      <c r="P106" s="7">
        <f>O106*E106/1000</f>
        <v>0.155</v>
      </c>
      <c r="Q106" s="5">
        <f>MIN(INT(O106/F106)*F106,ROUNDUP(MAX(0,(N106*0.5+(L106/7*30)*0.3+(K106*30)*0.2)*0.8-I106)/F106,0)*F106)</f>
        <v>0</v>
      </c>
      <c r="R106" s="7">
        <f>Q106*E106/1000</f>
        <v>0</v>
      </c>
      <c r="S106" s="5" t="s">
        <v>23</v>
      </c>
    </row>
    <row r="107" ht="23" customHeight="1" spans="1:19" s="8" customFormat="1" x14ac:dyDescent="0.25">
      <c r="A107" s="9" t="s">
        <v>48</v>
      </c>
      <c r="B107" s="9" t="s">
        <v>23</v>
      </c>
      <c r="C107" s="9" t="s">
        <v>23</v>
      </c>
      <c r="D107" s="9" t="s">
        <v>23</v>
      </c>
      <c r="E107" s="9" t="s">
        <v>23</v>
      </c>
      <c r="F107" s="9" t="s">
        <v>23</v>
      </c>
      <c r="G107" s="9" t="s">
        <v>23</v>
      </c>
      <c r="H107" s="9" t="s">
        <v>23</v>
      </c>
      <c r="I107" s="9" t="s">
        <v>23</v>
      </c>
      <c r="J107" s="9" t="s">
        <v>23</v>
      </c>
      <c r="K107" s="9" t="s">
        <v>23</v>
      </c>
      <c r="L107" s="9" t="s">
        <v>23</v>
      </c>
      <c r="M107" s="9" t="s">
        <v>23</v>
      </c>
      <c r="N107" s="9" t="s">
        <v>23</v>
      </c>
      <c r="O107" s="9">
        <f>SUM(O91:O106)</f>
        <v>1321</v>
      </c>
      <c r="P107" s="10">
        <f>SUM(P91:P106)</f>
        <v>7.1475</v>
      </c>
      <c r="Q107" s="9">
        <f>SUM(Q91:Q106)</f>
        <v>469</v>
      </c>
      <c r="R107" s="10">
        <f>SUM(R91:R106)</f>
        <v>2.585</v>
      </c>
      <c r="S107" s="9" t="s">
        <v>23</v>
      </c>
    </row>
    <row r="108" ht="23" customHeight="1" spans="1:19" s="4" customFormat="1" x14ac:dyDescent="0.25">
      <c r="A108" s="5" t="s">
        <v>49</v>
      </c>
      <c r="B108" s="6" t="s">
        <v>28</v>
      </c>
      <c r="C108" s="5" t="s">
        <v>21</v>
      </c>
      <c r="D108" s="5" t="s">
        <v>22</v>
      </c>
      <c r="E108" s="5">
        <v>10</v>
      </c>
      <c r="F108" s="5">
        <v>1</v>
      </c>
      <c r="G108" s="5">
        <v>0</v>
      </c>
      <c r="H108" s="5">
        <v>0</v>
      </c>
      <c r="I108" s="5">
        <v>104</v>
      </c>
      <c r="J108" s="5">
        <v>104</v>
      </c>
      <c r="K108" s="5">
        <v>6</v>
      </c>
      <c r="L108" s="5">
        <v>19</v>
      </c>
      <c r="M108" s="5">
        <v>35</v>
      </c>
      <c r="N108" s="5">
        <v>85</v>
      </c>
      <c r="O108" s="5">
        <v>33</v>
      </c>
      <c r="P108" s="7">
        <f>O108*E108/1000</f>
        <v>0.33</v>
      </c>
      <c r="Q108" s="5">
        <f>MIN(INT(O108/F108)*F108,ROUNDUP(MAX(0,(N108*0.5+(L108/7*30)*0.3+(K108*30)*0.2)*0.8-I108)/F108,0)*F108)</f>
        <v>0</v>
      </c>
      <c r="R108" s="7">
        <f>Q108*E108/1000</f>
        <v>0</v>
      </c>
      <c r="S108" s="5" t="s">
        <v>23</v>
      </c>
    </row>
    <row r="109" ht="23" customHeight="1" spans="1:19" s="4" customFormat="1" x14ac:dyDescent="0.25">
      <c r="A109" s="5" t="s">
        <v>49</v>
      </c>
      <c r="B109" s="6" t="s">
        <v>29</v>
      </c>
      <c r="C109" s="5" t="s">
        <v>21</v>
      </c>
      <c r="D109" s="5" t="s">
        <v>22</v>
      </c>
      <c r="E109" s="5">
        <v>5</v>
      </c>
      <c r="F109" s="5">
        <v>1</v>
      </c>
      <c r="G109" s="5">
        <v>0</v>
      </c>
      <c r="H109" s="5">
        <v>0</v>
      </c>
      <c r="I109" s="5">
        <v>114</v>
      </c>
      <c r="J109" s="5">
        <v>114</v>
      </c>
      <c r="K109" s="5">
        <v>2</v>
      </c>
      <c r="L109" s="5">
        <v>23</v>
      </c>
      <c r="M109" s="5">
        <v>50</v>
      </c>
      <c r="N109" s="5">
        <v>150</v>
      </c>
      <c r="O109" s="5">
        <v>72</v>
      </c>
      <c r="P109" s="7">
        <f>O109*E109/1000</f>
        <v>0.36</v>
      </c>
      <c r="Q109" s="5">
        <f>MIN(INT(O109/F109)*F109,ROUNDUP(MAX(0,(N109*0.5+(L109/7*30)*0.3+(K109*30)*0.2)*0.8-I109)/F109,0)*F109)</f>
        <v>0</v>
      </c>
      <c r="R109" s="7">
        <f>Q109*E109/1000</f>
        <v>0</v>
      </c>
      <c r="S109" s="5" t="s">
        <v>23</v>
      </c>
    </row>
    <row r="110" ht="23" customHeight="1" spans="1:19" s="4" customFormat="1" x14ac:dyDescent="0.25">
      <c r="A110" s="5" t="s">
        <v>49</v>
      </c>
      <c r="B110" s="6" t="s">
        <v>24</v>
      </c>
      <c r="C110" s="5" t="s">
        <v>21</v>
      </c>
      <c r="D110" s="5" t="s">
        <v>22</v>
      </c>
      <c r="E110" s="5">
        <v>5</v>
      </c>
      <c r="F110" s="5">
        <v>1</v>
      </c>
      <c r="G110" s="5">
        <v>0</v>
      </c>
      <c r="H110" s="5">
        <v>0</v>
      </c>
      <c r="I110" s="5">
        <v>145</v>
      </c>
      <c r="J110" s="5">
        <v>144</v>
      </c>
      <c r="K110" s="5">
        <v>14</v>
      </c>
      <c r="L110" s="5">
        <v>52</v>
      </c>
      <c r="M110" s="5">
        <v>75</v>
      </c>
      <c r="N110" s="5">
        <v>185</v>
      </c>
      <c r="O110" s="5">
        <v>116</v>
      </c>
      <c r="P110" s="7">
        <f>O110*E110/1000</f>
        <v>0.58</v>
      </c>
      <c r="Q110" s="5">
        <f>MIN(INT(O110/F110)*F110,ROUNDUP(MAX(0,(N110*0.5+(L110/7*30)*0.3+(K110*30)*0.2)*0.8-I110)/F110,0)*F110)</f>
        <v>50</v>
      </c>
      <c r="R110" s="7">
        <f>Q110*E110/1000</f>
        <v>0.25</v>
      </c>
      <c r="S110" s="5" t="s">
        <v>23</v>
      </c>
    </row>
    <row r="111" ht="23" customHeight="1" spans="1:19" s="4" customFormat="1" x14ac:dyDescent="0.25">
      <c r="A111" s="5" t="s">
        <v>49</v>
      </c>
      <c r="B111" s="6" t="s">
        <v>20</v>
      </c>
      <c r="C111" s="5" t="s">
        <v>21</v>
      </c>
      <c r="D111" s="5" t="s">
        <v>22</v>
      </c>
      <c r="E111" s="5">
        <v>25</v>
      </c>
      <c r="F111" s="5">
        <v>1</v>
      </c>
      <c r="G111" s="5">
        <v>0</v>
      </c>
      <c r="H111" s="5">
        <v>0</v>
      </c>
      <c r="I111" s="5">
        <v>61</v>
      </c>
      <c r="J111" s="5">
        <v>60</v>
      </c>
      <c r="K111" s="5">
        <v>2</v>
      </c>
      <c r="L111" s="5">
        <v>31</v>
      </c>
      <c r="M111" s="5">
        <v>44</v>
      </c>
      <c r="N111" s="5">
        <v>81</v>
      </c>
      <c r="O111" s="5">
        <v>91</v>
      </c>
      <c r="P111" s="7">
        <f>O111*E111/1000</f>
        <v>2.275</v>
      </c>
      <c r="Q111" s="5">
        <f>MIN(INT(O111/F111)*F111,ROUNDUP(MAX(0,(N111*0.5+(L111/7*30)*0.3+(K111*30)*0.2)*0.8-I111)/F111,0)*F111)</f>
        <v>13</v>
      </c>
      <c r="R111" s="7">
        <f>Q111*E111/1000</f>
        <v>0.325</v>
      </c>
      <c r="S111" s="5" t="s">
        <v>23</v>
      </c>
    </row>
    <row r="112" ht="23" customHeight="1" spans="1:19" s="4" customFormat="1" x14ac:dyDescent="0.25">
      <c r="A112" s="5" t="s">
        <v>49</v>
      </c>
      <c r="B112" s="6" t="s">
        <v>26</v>
      </c>
      <c r="C112" s="5" t="s">
        <v>21</v>
      </c>
      <c r="D112" s="5" t="s">
        <v>22</v>
      </c>
      <c r="E112" s="5">
        <v>5</v>
      </c>
      <c r="F112" s="5">
        <v>5</v>
      </c>
      <c r="G112" s="5">
        <v>0</v>
      </c>
      <c r="H112" s="5">
        <v>0</v>
      </c>
      <c r="I112" s="5">
        <v>66</v>
      </c>
      <c r="J112" s="5">
        <v>66</v>
      </c>
      <c r="K112" s="5">
        <v>4</v>
      </c>
      <c r="L112" s="5">
        <v>14</v>
      </c>
      <c r="M112" s="5">
        <v>25</v>
      </c>
      <c r="N112" s="5">
        <v>86</v>
      </c>
      <c r="O112" s="5">
        <v>50</v>
      </c>
      <c r="P112" s="7">
        <f>O112*E112/1000</f>
        <v>0.25</v>
      </c>
      <c r="Q112" s="5">
        <f>MIN(INT(O112/F112)*F112,ROUNDUP(MAX(0,(N112*0.5+(L112/7*30)*0.3+(K112*30)*0.2)*0.8-I112)/F112,0)*F112)</f>
        <v>5</v>
      </c>
      <c r="R112" s="7">
        <f>Q112*E112/1000</f>
        <v>0.025</v>
      </c>
      <c r="S112" s="5" t="s">
        <v>23</v>
      </c>
    </row>
    <row r="113" ht="23" customHeight="1" spans="1:19" s="4" customFormat="1" x14ac:dyDescent="0.25">
      <c r="A113" s="5" t="s">
        <v>49</v>
      </c>
      <c r="B113" s="6" t="s">
        <v>27</v>
      </c>
      <c r="C113" s="5" t="s">
        <v>21</v>
      </c>
      <c r="D113" s="5" t="s">
        <v>22</v>
      </c>
      <c r="E113" s="5">
        <v>2.5</v>
      </c>
      <c r="F113" s="5">
        <v>1</v>
      </c>
      <c r="G113" s="5">
        <v>0</v>
      </c>
      <c r="H113" s="5">
        <v>0</v>
      </c>
      <c r="I113" s="5">
        <v>132</v>
      </c>
      <c r="J113" s="5">
        <v>132</v>
      </c>
      <c r="K113" s="5">
        <v>10</v>
      </c>
      <c r="L113" s="5">
        <v>95</v>
      </c>
      <c r="M113" s="5">
        <v>147</v>
      </c>
      <c r="N113" s="5">
        <v>196</v>
      </c>
      <c r="O113" s="5">
        <v>99</v>
      </c>
      <c r="P113" s="7">
        <f>O113*E113/1000</f>
        <v>0.2475</v>
      </c>
      <c r="Q113" s="5">
        <f>MIN(INT(O113/F113)*F113,ROUNDUP(MAX(0,(N113*0.5+(L113/7*30)*0.3+(K113*30)*0.2)*0.8-I113)/F113,0)*F113)</f>
        <v>93</v>
      </c>
      <c r="R113" s="7">
        <f>Q113*E113/1000</f>
        <v>0.2325</v>
      </c>
      <c r="S113" s="5" t="s">
        <v>23</v>
      </c>
    </row>
    <row r="114" ht="23" customHeight="1" spans="1:19" s="4" customFormat="1" x14ac:dyDescent="0.25">
      <c r="A114" s="5" t="s">
        <v>49</v>
      </c>
      <c r="B114" s="6" t="s">
        <v>29</v>
      </c>
      <c r="C114" s="5" t="s">
        <v>21</v>
      </c>
      <c r="D114" s="5" t="s">
        <v>22</v>
      </c>
      <c r="E114" s="5">
        <v>5</v>
      </c>
      <c r="F114" s="5">
        <v>1</v>
      </c>
      <c r="G114" s="5">
        <v>0</v>
      </c>
      <c r="H114" s="5">
        <v>0</v>
      </c>
      <c r="I114" s="5">
        <v>114</v>
      </c>
      <c r="J114" s="5">
        <v>114</v>
      </c>
      <c r="K114" s="5">
        <v>2</v>
      </c>
      <c r="L114" s="5">
        <v>23</v>
      </c>
      <c r="M114" s="5">
        <v>50</v>
      </c>
      <c r="N114" s="5">
        <v>150</v>
      </c>
      <c r="O114" s="5">
        <v>58</v>
      </c>
      <c r="P114" s="7">
        <f>O114*E114/1000</f>
        <v>0.29</v>
      </c>
      <c r="Q114" s="5">
        <f>MIN(INT(O114/F114)*F114,ROUNDUP(MAX(0,(N114*0.5+(L114/7*30)*0.3+(K114*30)*0.2)*0.8-I114)/F114,0)*F114)</f>
        <v>0</v>
      </c>
      <c r="R114" s="7">
        <f>Q114*E114/1000</f>
        <v>0</v>
      </c>
      <c r="S114" s="5" t="s">
        <v>23</v>
      </c>
    </row>
    <row r="115" ht="23" customHeight="1" spans="1:19" s="4" customFormat="1" x14ac:dyDescent="0.25">
      <c r="A115" s="5" t="s">
        <v>49</v>
      </c>
      <c r="B115" s="6" t="s">
        <v>33</v>
      </c>
      <c r="C115" s="5" t="s">
        <v>21</v>
      </c>
      <c r="D115" s="5" t="s">
        <v>22</v>
      </c>
      <c r="E115" s="5">
        <v>10</v>
      </c>
      <c r="F115" s="5">
        <v>1</v>
      </c>
      <c r="G115" s="5">
        <v>0</v>
      </c>
      <c r="H115" s="5">
        <v>0</v>
      </c>
      <c r="I115" s="5">
        <v>116</v>
      </c>
      <c r="J115" s="5">
        <v>116</v>
      </c>
      <c r="K115" s="5">
        <v>0</v>
      </c>
      <c r="L115" s="5">
        <v>22</v>
      </c>
      <c r="M115" s="5">
        <v>41</v>
      </c>
      <c r="N115" s="5">
        <v>96</v>
      </c>
      <c r="O115" s="5">
        <v>12</v>
      </c>
      <c r="P115" s="7">
        <f>O115*E115/1000</f>
        <v>0.12</v>
      </c>
      <c r="Q115" s="5">
        <f>MIN(INT(O115/F115)*F115,ROUNDUP(MAX(0,(N115*0.5+(L115/7*30)*0.3+(K115*30)*0.2)*0.8-I115)/F115,0)*F115)</f>
        <v>0</v>
      </c>
      <c r="R115" s="7">
        <f>Q115*E115/1000</f>
        <v>0</v>
      </c>
      <c r="S115" s="5" t="s">
        <v>23</v>
      </c>
    </row>
    <row r="116" ht="23" customHeight="1" spans="1:19" s="4" customFormat="1" x14ac:dyDescent="0.25">
      <c r="A116" s="5" t="s">
        <v>49</v>
      </c>
      <c r="B116" s="6" t="s">
        <v>20</v>
      </c>
      <c r="C116" s="5" t="s">
        <v>21</v>
      </c>
      <c r="D116" s="5" t="s">
        <v>22</v>
      </c>
      <c r="E116" s="5">
        <v>25</v>
      </c>
      <c r="F116" s="5">
        <v>1</v>
      </c>
      <c r="G116" s="5">
        <v>0</v>
      </c>
      <c r="H116" s="5">
        <v>0</v>
      </c>
      <c r="I116" s="5">
        <v>61</v>
      </c>
      <c r="J116" s="5">
        <v>60</v>
      </c>
      <c r="K116" s="5">
        <v>2</v>
      </c>
      <c r="L116" s="5">
        <v>31</v>
      </c>
      <c r="M116" s="5">
        <v>44</v>
      </c>
      <c r="N116" s="5">
        <v>81</v>
      </c>
      <c r="O116" s="5">
        <v>27</v>
      </c>
      <c r="P116" s="7">
        <f>O116*E116/1000</f>
        <v>0.675</v>
      </c>
      <c r="Q116" s="5">
        <f>MIN(INT(O116/F116)*F116,ROUNDUP(MAX(0,(N116*0.5+(L116/7*30)*0.3+(K116*30)*0.2)*0.8-I116)/F116,0)*F116)</f>
        <v>13</v>
      </c>
      <c r="R116" s="7">
        <f>Q116*E116/1000</f>
        <v>0.325</v>
      </c>
      <c r="S116" s="5" t="s">
        <v>23</v>
      </c>
    </row>
    <row r="117" ht="23" customHeight="1" spans="1:19" s="4" customFormat="1" x14ac:dyDescent="0.25">
      <c r="A117" s="5" t="s">
        <v>49</v>
      </c>
      <c r="B117" s="6" t="s">
        <v>26</v>
      </c>
      <c r="C117" s="5" t="s">
        <v>21</v>
      </c>
      <c r="D117" s="5" t="s">
        <v>22</v>
      </c>
      <c r="E117" s="5">
        <v>5</v>
      </c>
      <c r="F117" s="5">
        <v>5</v>
      </c>
      <c r="G117" s="5">
        <v>0</v>
      </c>
      <c r="H117" s="5">
        <v>0</v>
      </c>
      <c r="I117" s="5">
        <v>66</v>
      </c>
      <c r="J117" s="5">
        <v>66</v>
      </c>
      <c r="K117" s="5">
        <v>4</v>
      </c>
      <c r="L117" s="5">
        <v>14</v>
      </c>
      <c r="M117" s="5">
        <v>25</v>
      </c>
      <c r="N117" s="5">
        <v>86</v>
      </c>
      <c r="O117" s="5">
        <v>75</v>
      </c>
      <c r="P117" s="7">
        <f>O117*E117/1000</f>
        <v>0.375</v>
      </c>
      <c r="Q117" s="5">
        <f>MIN(INT(O117/F117)*F117,ROUNDUP(MAX(0,(N117*0.5+(L117/7*30)*0.3+(K117*30)*0.2)*0.8-I117)/F117,0)*F117)</f>
        <v>5</v>
      </c>
      <c r="R117" s="7">
        <f>Q117*E117/1000</f>
        <v>0.025</v>
      </c>
      <c r="S117" s="5" t="s">
        <v>23</v>
      </c>
    </row>
    <row r="118" ht="23" customHeight="1" spans="1:19" s="4" customFormat="1" x14ac:dyDescent="0.25">
      <c r="A118" s="5" t="s">
        <v>49</v>
      </c>
      <c r="B118" s="6" t="s">
        <v>33</v>
      </c>
      <c r="C118" s="5" t="s">
        <v>21</v>
      </c>
      <c r="D118" s="5" t="s">
        <v>22</v>
      </c>
      <c r="E118" s="5">
        <v>10</v>
      </c>
      <c r="F118" s="5">
        <v>1</v>
      </c>
      <c r="G118" s="5">
        <v>0</v>
      </c>
      <c r="H118" s="5">
        <v>0</v>
      </c>
      <c r="I118" s="5">
        <v>116</v>
      </c>
      <c r="J118" s="5">
        <v>116</v>
      </c>
      <c r="K118" s="5">
        <v>0</v>
      </c>
      <c r="L118" s="5">
        <v>22</v>
      </c>
      <c r="M118" s="5">
        <v>41</v>
      </c>
      <c r="N118" s="5">
        <v>96</v>
      </c>
      <c r="O118" s="5">
        <v>22</v>
      </c>
      <c r="P118" s="7">
        <f>O118*E118/1000</f>
        <v>0.22</v>
      </c>
      <c r="Q118" s="5">
        <f>MIN(INT(O118/F118)*F118,ROUNDUP(MAX(0,(N118*0.5+(L118/7*30)*0.3+(K118*30)*0.2)*0.8-I118)/F118,0)*F118)</f>
        <v>0</v>
      </c>
      <c r="R118" s="7">
        <f>Q118*E118/1000</f>
        <v>0</v>
      </c>
      <c r="S118" s="5" t="s">
        <v>23</v>
      </c>
    </row>
    <row r="119" ht="23" customHeight="1" spans="1:19" s="4" customFormat="1" x14ac:dyDescent="0.25">
      <c r="A119" s="5" t="s">
        <v>49</v>
      </c>
      <c r="B119" s="6" t="s">
        <v>28</v>
      </c>
      <c r="C119" s="5" t="s">
        <v>21</v>
      </c>
      <c r="D119" s="5" t="s">
        <v>22</v>
      </c>
      <c r="E119" s="5">
        <v>10</v>
      </c>
      <c r="F119" s="5">
        <v>1</v>
      </c>
      <c r="G119" s="5">
        <v>0</v>
      </c>
      <c r="H119" s="5">
        <v>0</v>
      </c>
      <c r="I119" s="5">
        <v>104</v>
      </c>
      <c r="J119" s="5">
        <v>104</v>
      </c>
      <c r="K119" s="5">
        <v>6</v>
      </c>
      <c r="L119" s="5">
        <v>19</v>
      </c>
      <c r="M119" s="5">
        <v>35</v>
      </c>
      <c r="N119" s="5">
        <v>85</v>
      </c>
      <c r="O119" s="5">
        <v>50</v>
      </c>
      <c r="P119" s="7">
        <f>O119*E119/1000</f>
        <v>0.5</v>
      </c>
      <c r="Q119" s="5">
        <f>MIN(INT(O119/F119)*F119,ROUNDUP(MAX(0,(N119*0.5+(L119/7*30)*0.3+(K119*30)*0.2)*0.8-I119)/F119,0)*F119)</f>
        <v>0</v>
      </c>
      <c r="R119" s="7">
        <f>Q119*E119/1000</f>
        <v>0</v>
      </c>
      <c r="S119" s="5" t="s">
        <v>23</v>
      </c>
    </row>
    <row r="120" ht="23" customHeight="1" spans="1:19" s="4" customFormat="1" x14ac:dyDescent="0.25">
      <c r="A120" s="5" t="s">
        <v>49</v>
      </c>
      <c r="B120" s="6" t="s">
        <v>30</v>
      </c>
      <c r="C120" s="5" t="s">
        <v>21</v>
      </c>
      <c r="D120" s="5" t="s">
        <v>22</v>
      </c>
      <c r="E120" s="5">
        <v>5</v>
      </c>
      <c r="F120" s="5">
        <v>1</v>
      </c>
      <c r="G120" s="5">
        <v>0</v>
      </c>
      <c r="H120" s="5">
        <v>0</v>
      </c>
      <c r="I120" s="5">
        <v>1132</v>
      </c>
      <c r="J120" s="5">
        <v>1122</v>
      </c>
      <c r="K120" s="5">
        <v>21</v>
      </c>
      <c r="L120" s="5">
        <v>220</v>
      </c>
      <c r="M120" s="5">
        <v>639</v>
      </c>
      <c r="N120" s="5">
        <v>1124</v>
      </c>
      <c r="O120" s="5">
        <v>1744</v>
      </c>
      <c r="P120" s="7">
        <f>O120*E120/1000</f>
        <v>8.72</v>
      </c>
      <c r="Q120" s="5">
        <f>MIN(INT(O120/F120)*F120,ROUNDUP(MAX(0,(N120*0.5+(L120/7*30)*0.3+(K120*30)*0.2)*0.8-I120)/F120,0)*F120)</f>
        <v>0</v>
      </c>
      <c r="R120" s="7">
        <f>Q120*E120/1000</f>
        <v>0</v>
      </c>
      <c r="S120" s="5" t="s">
        <v>23</v>
      </c>
    </row>
    <row r="121" ht="23" customHeight="1" spans="1:19" s="4" customFormat="1" x14ac:dyDescent="0.25">
      <c r="A121" s="5" t="s">
        <v>49</v>
      </c>
      <c r="B121" s="6" t="s">
        <v>25</v>
      </c>
      <c r="C121" s="5" t="s">
        <v>21</v>
      </c>
      <c r="D121" s="5" t="s">
        <v>22</v>
      </c>
      <c r="E121" s="5">
        <v>10</v>
      </c>
      <c r="F121" s="5">
        <v>1</v>
      </c>
      <c r="G121" s="5">
        <v>0</v>
      </c>
      <c r="H121" s="5">
        <v>0</v>
      </c>
      <c r="I121" s="5">
        <v>86</v>
      </c>
      <c r="J121" s="5">
        <v>85</v>
      </c>
      <c r="K121" s="5">
        <v>9</v>
      </c>
      <c r="L121" s="5">
        <v>35</v>
      </c>
      <c r="M121" s="5">
        <v>76</v>
      </c>
      <c r="N121" s="5">
        <v>124</v>
      </c>
      <c r="O121" s="5">
        <v>32</v>
      </c>
      <c r="P121" s="7">
        <f>O121*E121/1000</f>
        <v>0.32</v>
      </c>
      <c r="Q121" s="5">
        <f>MIN(INT(O121/F121)*F121,ROUNDUP(MAX(0,(N121*0.5+(L121/7*30)*0.3+(K121*30)*0.2)*0.8-I121)/F121,0)*F121)</f>
        <v>32</v>
      </c>
      <c r="R121" s="7">
        <f>Q121*E121/1000</f>
        <v>0.32</v>
      </c>
      <c r="S121" s="5" t="s">
        <v>23</v>
      </c>
    </row>
    <row r="122" ht="23" customHeight="1" spans="1:19" s="4" customFormat="1" x14ac:dyDescent="0.25">
      <c r="A122" s="5" t="s">
        <v>49</v>
      </c>
      <c r="B122" s="6" t="s">
        <v>29</v>
      </c>
      <c r="C122" s="5" t="s">
        <v>21</v>
      </c>
      <c r="D122" s="5" t="s">
        <v>22</v>
      </c>
      <c r="E122" s="5">
        <v>5</v>
      </c>
      <c r="F122" s="5">
        <v>1</v>
      </c>
      <c r="G122" s="5">
        <v>0</v>
      </c>
      <c r="H122" s="5">
        <v>0</v>
      </c>
      <c r="I122" s="5">
        <v>114</v>
      </c>
      <c r="J122" s="5">
        <v>114</v>
      </c>
      <c r="K122" s="5">
        <v>2</v>
      </c>
      <c r="L122" s="5">
        <v>23</v>
      </c>
      <c r="M122" s="5">
        <v>50</v>
      </c>
      <c r="N122" s="5">
        <v>150</v>
      </c>
      <c r="O122" s="5">
        <v>194</v>
      </c>
      <c r="P122" s="7">
        <f>O122*E122/1000</f>
        <v>0.97</v>
      </c>
      <c r="Q122" s="5">
        <f>MIN(INT(O122/F122)*F122,ROUNDUP(MAX(0,(N122*0.5+(L122/7*30)*0.3+(K122*30)*0.2)*0.8-I122)/F122,0)*F122)</f>
        <v>0</v>
      </c>
      <c r="R122" s="7">
        <f>Q122*E122/1000</f>
        <v>0</v>
      </c>
      <c r="S122" s="5" t="s">
        <v>23</v>
      </c>
    </row>
    <row r="123" ht="23" customHeight="1" spans="1:19" s="4" customFormat="1" x14ac:dyDescent="0.25">
      <c r="A123" s="5" t="s">
        <v>49</v>
      </c>
      <c r="B123" s="6" t="s">
        <v>20</v>
      </c>
      <c r="C123" s="5" t="s">
        <v>21</v>
      </c>
      <c r="D123" s="5" t="s">
        <v>22</v>
      </c>
      <c r="E123" s="5">
        <v>25</v>
      </c>
      <c r="F123" s="5">
        <v>1</v>
      </c>
      <c r="G123" s="5">
        <v>0</v>
      </c>
      <c r="H123" s="5">
        <v>0</v>
      </c>
      <c r="I123" s="5">
        <v>61</v>
      </c>
      <c r="J123" s="5">
        <v>60</v>
      </c>
      <c r="K123" s="5">
        <v>2</v>
      </c>
      <c r="L123" s="5">
        <v>31</v>
      </c>
      <c r="M123" s="5">
        <v>44</v>
      </c>
      <c r="N123" s="5">
        <v>81</v>
      </c>
      <c r="O123" s="5">
        <v>118</v>
      </c>
      <c r="P123" s="7">
        <f>O123*E123/1000</f>
        <v>2.95</v>
      </c>
      <c r="Q123" s="5">
        <f>MIN(INT(O123/F123)*F123,ROUNDUP(MAX(0,(N123*0.5+(L123/7*30)*0.3+(K123*30)*0.2)*0.8-I123)/F123,0)*F123)</f>
        <v>13</v>
      </c>
      <c r="R123" s="7">
        <f>Q123*E123/1000</f>
        <v>0.325</v>
      </c>
      <c r="S123" s="5" t="s">
        <v>23</v>
      </c>
    </row>
    <row r="124" ht="23" customHeight="1" spans="1:19" s="4" customFormat="1" x14ac:dyDescent="0.25">
      <c r="A124" s="5" t="s">
        <v>49</v>
      </c>
      <c r="B124" s="6" t="s">
        <v>24</v>
      </c>
      <c r="C124" s="5" t="s">
        <v>21</v>
      </c>
      <c r="D124" s="5" t="s">
        <v>22</v>
      </c>
      <c r="E124" s="5">
        <v>5</v>
      </c>
      <c r="F124" s="5">
        <v>1</v>
      </c>
      <c r="G124" s="5">
        <v>0</v>
      </c>
      <c r="H124" s="5">
        <v>0</v>
      </c>
      <c r="I124" s="5">
        <v>145</v>
      </c>
      <c r="J124" s="5">
        <v>144</v>
      </c>
      <c r="K124" s="5">
        <v>14</v>
      </c>
      <c r="L124" s="5">
        <v>52</v>
      </c>
      <c r="M124" s="5">
        <v>75</v>
      </c>
      <c r="N124" s="5">
        <v>185</v>
      </c>
      <c r="O124" s="5">
        <v>243</v>
      </c>
      <c r="P124" s="7">
        <f>O124*E124/1000</f>
        <v>1.215</v>
      </c>
      <c r="Q124" s="5">
        <f>MIN(INT(O124/F124)*F124,ROUNDUP(MAX(0,(N124*0.5+(L124/7*30)*0.3+(K124*30)*0.2)*0.8-I124)/F124,0)*F124)</f>
        <v>50</v>
      </c>
      <c r="R124" s="7">
        <f>Q124*E124/1000</f>
        <v>0.25</v>
      </c>
      <c r="S124" s="5" t="s">
        <v>23</v>
      </c>
    </row>
    <row r="125" ht="23" customHeight="1" spans="1:19" s="4" customFormat="1" x14ac:dyDescent="0.25">
      <c r="A125" s="5" t="s">
        <v>49</v>
      </c>
      <c r="B125" s="6" t="s">
        <v>34</v>
      </c>
      <c r="C125" s="5" t="s">
        <v>21</v>
      </c>
      <c r="D125" s="5" t="s">
        <v>22</v>
      </c>
      <c r="E125" s="5">
        <v>2.5</v>
      </c>
      <c r="F125" s="5">
        <v>1</v>
      </c>
      <c r="G125" s="5">
        <v>0</v>
      </c>
      <c r="H125" s="5">
        <v>0</v>
      </c>
      <c r="I125" s="5">
        <v>111</v>
      </c>
      <c r="J125" s="5">
        <v>111</v>
      </c>
      <c r="K125" s="5">
        <v>0</v>
      </c>
      <c r="L125" s="5">
        <v>3</v>
      </c>
      <c r="M125" s="5">
        <v>17</v>
      </c>
      <c r="N125" s="5">
        <v>35</v>
      </c>
      <c r="O125" s="5">
        <v>21</v>
      </c>
      <c r="P125" s="7">
        <f>O125*E125/1000</f>
        <v>0.0525</v>
      </c>
      <c r="Q125" s="5">
        <f>MIN(INT(O125/F125)*F125,ROUNDUP(MAX(0,(N125*0.5+(L125/7*30)*0.3+(K125*30)*0.2)*0.8-I125)/F125,0)*F125)</f>
        <v>0</v>
      </c>
      <c r="R125" s="7">
        <f>Q125*E125/1000</f>
        <v>0</v>
      </c>
      <c r="S125" s="5" t="s">
        <v>23</v>
      </c>
    </row>
    <row r="126" ht="23" customHeight="1" spans="1:19" s="4" customFormat="1" x14ac:dyDescent="0.25">
      <c r="A126" s="5" t="s">
        <v>49</v>
      </c>
      <c r="B126" s="6" t="s">
        <v>27</v>
      </c>
      <c r="C126" s="5" t="s">
        <v>21</v>
      </c>
      <c r="D126" s="5" t="s">
        <v>22</v>
      </c>
      <c r="E126" s="5">
        <v>2.5</v>
      </c>
      <c r="F126" s="5">
        <v>1</v>
      </c>
      <c r="G126" s="5">
        <v>0</v>
      </c>
      <c r="H126" s="5">
        <v>0</v>
      </c>
      <c r="I126" s="5">
        <v>132</v>
      </c>
      <c r="J126" s="5">
        <v>132</v>
      </c>
      <c r="K126" s="5">
        <v>10</v>
      </c>
      <c r="L126" s="5">
        <v>95</v>
      </c>
      <c r="M126" s="5">
        <v>147</v>
      </c>
      <c r="N126" s="5">
        <v>196</v>
      </c>
      <c r="O126" s="5">
        <v>193</v>
      </c>
      <c r="P126" s="7">
        <f>O126*E126/1000</f>
        <v>0.4825</v>
      </c>
      <c r="Q126" s="5">
        <f>MIN(INT(O126/F126)*F126,ROUNDUP(MAX(0,(N126*0.5+(L126/7*30)*0.3+(K126*30)*0.2)*0.8-I126)/F126,0)*F126)</f>
        <v>93</v>
      </c>
      <c r="R126" s="7">
        <f>Q126*E126/1000</f>
        <v>0.2325</v>
      </c>
      <c r="S126" s="5" t="s">
        <v>23</v>
      </c>
    </row>
    <row r="127" ht="23" customHeight="1" spans="1:19" s="8" customFormat="1" x14ac:dyDescent="0.25">
      <c r="A127" s="9" t="s">
        <v>50</v>
      </c>
      <c r="B127" s="9" t="s">
        <v>23</v>
      </c>
      <c r="C127" s="9" t="s">
        <v>23</v>
      </c>
      <c r="D127" s="9" t="s">
        <v>23</v>
      </c>
      <c r="E127" s="9" t="s">
        <v>23</v>
      </c>
      <c r="F127" s="9" t="s">
        <v>23</v>
      </c>
      <c r="G127" s="9" t="s">
        <v>23</v>
      </c>
      <c r="H127" s="9" t="s">
        <v>23</v>
      </c>
      <c r="I127" s="9" t="s">
        <v>23</v>
      </c>
      <c r="J127" s="9" t="s">
        <v>23</v>
      </c>
      <c r="K127" s="9" t="s">
        <v>23</v>
      </c>
      <c r="L127" s="9" t="s">
        <v>23</v>
      </c>
      <c r="M127" s="9" t="s">
        <v>23</v>
      </c>
      <c r="N127" s="9" t="s">
        <v>23</v>
      </c>
      <c r="O127" s="9">
        <f>SUM(O108:O126)</f>
        <v>3250</v>
      </c>
      <c r="P127" s="10">
        <f>SUM(P108:P126)</f>
        <v>20.932499999999997</v>
      </c>
      <c r="Q127" s="9">
        <f>SUM(Q108:Q126)</f>
        <v>367</v>
      </c>
      <c r="R127" s="10">
        <f>SUM(R108:R126)</f>
        <v>2.3099999999999996</v>
      </c>
      <c r="S127" s="9" t="s">
        <v>23</v>
      </c>
    </row>
    <row r="128" ht="23" customHeight="1" spans="1:19" s="4" customFormat="1" x14ac:dyDescent="0.25">
      <c r="A128" s="5" t="s">
        <v>51</v>
      </c>
      <c r="B128" s="6" t="s">
        <v>27</v>
      </c>
      <c r="C128" s="5" t="s">
        <v>21</v>
      </c>
      <c r="D128" s="5" t="s">
        <v>22</v>
      </c>
      <c r="E128" s="5">
        <v>2.5</v>
      </c>
      <c r="F128" s="5">
        <v>1</v>
      </c>
      <c r="G128" s="5">
        <v>0</v>
      </c>
      <c r="H128" s="5">
        <v>0</v>
      </c>
      <c r="I128" s="5">
        <v>39</v>
      </c>
      <c r="J128" s="5">
        <v>38</v>
      </c>
      <c r="K128" s="5">
        <v>1</v>
      </c>
      <c r="L128" s="5">
        <v>18</v>
      </c>
      <c r="M128" s="5">
        <v>56</v>
      </c>
      <c r="N128" s="5">
        <v>88</v>
      </c>
      <c r="O128" s="5">
        <v>79</v>
      </c>
      <c r="P128" s="7">
        <f>O128*E128/1000</f>
        <v>0.1975</v>
      </c>
      <c r="Q128" s="5">
        <f>MIN(INT(O128/F128)*F128,ROUNDUP(MAX(0,(N128*0.5+(L128/7*30)*0.3+(K128*30)*0.2)*0.8-I128)/F128,0)*F128)</f>
        <v>20</v>
      </c>
      <c r="R128" s="7">
        <f>Q128*E128/1000</f>
        <v>0.05</v>
      </c>
      <c r="S128" s="5" t="s">
        <v>23</v>
      </c>
    </row>
    <row r="129" ht="23" customHeight="1" spans="1:19" s="4" customFormat="1" x14ac:dyDescent="0.25">
      <c r="A129" s="5" t="s">
        <v>51</v>
      </c>
      <c r="B129" s="6" t="s">
        <v>20</v>
      </c>
      <c r="C129" s="5" t="s">
        <v>21</v>
      </c>
      <c r="D129" s="5" t="s">
        <v>22</v>
      </c>
      <c r="E129" s="5">
        <v>25</v>
      </c>
      <c r="F129" s="5">
        <v>1</v>
      </c>
      <c r="G129" s="5">
        <v>0</v>
      </c>
      <c r="H129" s="5">
        <v>0</v>
      </c>
      <c r="I129" s="5">
        <v>75</v>
      </c>
      <c r="J129" s="5">
        <v>73</v>
      </c>
      <c r="K129" s="5">
        <v>8</v>
      </c>
      <c r="L129" s="5">
        <v>24</v>
      </c>
      <c r="M129" s="5">
        <v>50</v>
      </c>
      <c r="N129" s="5">
        <v>80</v>
      </c>
      <c r="O129" s="5">
        <v>30</v>
      </c>
      <c r="P129" s="7">
        <f>O129*E129/1000</f>
        <v>0.75</v>
      </c>
      <c r="Q129" s="5">
        <f>MIN(INT(O129/F129)*F129,ROUNDUP(MAX(0,(N129*0.5+(L129/7*30)*0.3+(K129*30)*0.2)*0.8-I129)/F129,0)*F129)</f>
        <v>21</v>
      </c>
      <c r="R129" s="7">
        <f>Q129*E129/1000</f>
        <v>0.525</v>
      </c>
      <c r="S129" s="5" t="s">
        <v>23</v>
      </c>
    </row>
    <row r="130" ht="23" customHeight="1" spans="1:19" s="4" customFormat="1" x14ac:dyDescent="0.25">
      <c r="A130" s="5" t="s">
        <v>51</v>
      </c>
      <c r="B130" s="6" t="s">
        <v>24</v>
      </c>
      <c r="C130" s="5" t="s">
        <v>21</v>
      </c>
      <c r="D130" s="5" t="s">
        <v>22</v>
      </c>
      <c r="E130" s="5">
        <v>5</v>
      </c>
      <c r="F130" s="5">
        <v>1</v>
      </c>
      <c r="G130" s="5">
        <v>0</v>
      </c>
      <c r="H130" s="5">
        <v>0</v>
      </c>
      <c r="I130" s="5">
        <v>44</v>
      </c>
      <c r="J130" s="5">
        <v>43</v>
      </c>
      <c r="K130" s="5">
        <v>3</v>
      </c>
      <c r="L130" s="5">
        <v>38</v>
      </c>
      <c r="M130" s="5">
        <v>54</v>
      </c>
      <c r="N130" s="5">
        <v>102</v>
      </c>
      <c r="O130" s="5">
        <v>27</v>
      </c>
      <c r="P130" s="7">
        <f>O130*E130/1000</f>
        <v>0.135</v>
      </c>
      <c r="Q130" s="5">
        <f>MIN(INT(O130/F130)*F130,ROUNDUP(MAX(0,(N130*0.5+(L130/7*30)*0.3+(K130*30)*0.2)*0.8-I130)/F130,0)*F130)</f>
        <v>27</v>
      </c>
      <c r="R130" s="7">
        <f>Q130*E130/1000</f>
        <v>0.135</v>
      </c>
      <c r="S130" s="5" t="s">
        <v>23</v>
      </c>
    </row>
    <row r="131" ht="23" customHeight="1" spans="1:19" s="4" customFormat="1" x14ac:dyDescent="0.25">
      <c r="A131" s="5" t="s">
        <v>51</v>
      </c>
      <c r="B131" s="6" t="s">
        <v>29</v>
      </c>
      <c r="C131" s="5" t="s">
        <v>21</v>
      </c>
      <c r="D131" s="5" t="s">
        <v>22</v>
      </c>
      <c r="E131" s="5">
        <v>5</v>
      </c>
      <c r="F131" s="5">
        <v>1</v>
      </c>
      <c r="G131" s="5">
        <v>0</v>
      </c>
      <c r="H131" s="5">
        <v>0</v>
      </c>
      <c r="I131" s="5">
        <v>180</v>
      </c>
      <c r="J131" s="5">
        <v>180</v>
      </c>
      <c r="K131" s="5">
        <v>8</v>
      </c>
      <c r="L131" s="5">
        <v>62</v>
      </c>
      <c r="M131" s="5">
        <v>122</v>
      </c>
      <c r="N131" s="5">
        <v>259</v>
      </c>
      <c r="O131" s="5">
        <v>100</v>
      </c>
      <c r="P131" s="7">
        <f>O131*E131/1000</f>
        <v>0.5</v>
      </c>
      <c r="Q131" s="5">
        <f>MIN(INT(O131/F131)*F131,ROUNDUP(MAX(0,(N131*0.5+(L131/7*30)*0.3+(K131*30)*0.2)*0.8-I131)/F131,0)*F131)</f>
        <v>26</v>
      </c>
      <c r="R131" s="7">
        <f>Q131*E131/1000</f>
        <v>0.13</v>
      </c>
      <c r="S131" s="5" t="s">
        <v>23</v>
      </c>
    </row>
    <row r="132" ht="23" customHeight="1" spans="1:19" s="4" customFormat="1" x14ac:dyDescent="0.25">
      <c r="A132" s="5" t="s">
        <v>51</v>
      </c>
      <c r="B132" s="6" t="s">
        <v>37</v>
      </c>
      <c r="C132" s="5" t="s">
        <v>21</v>
      </c>
      <c r="D132" s="5" t="s">
        <v>22</v>
      </c>
      <c r="E132" s="5">
        <v>10</v>
      </c>
      <c r="F132" s="5">
        <v>1</v>
      </c>
      <c r="G132" s="5">
        <v>0</v>
      </c>
      <c r="H132" s="5">
        <v>0</v>
      </c>
      <c r="I132" s="5">
        <v>85</v>
      </c>
      <c r="J132" s="5">
        <v>85</v>
      </c>
      <c r="K132" s="5">
        <v>5</v>
      </c>
      <c r="L132" s="5">
        <v>52</v>
      </c>
      <c r="M132" s="5">
        <v>108</v>
      </c>
      <c r="N132" s="5">
        <v>220</v>
      </c>
      <c r="O132" s="5">
        <v>60</v>
      </c>
      <c r="P132" s="7">
        <f>O132*E132/1000</f>
        <v>0.6</v>
      </c>
      <c r="Q132" s="5">
        <f>MIN(INT(O132/F132)*F132,ROUNDUP(MAX(0,(N132*0.5+(L132/7*30)*0.3+(K132*30)*0.2)*0.8-I132)/F132,0)*F132)</f>
        <v>60</v>
      </c>
      <c r="R132" s="7">
        <f>Q132*E132/1000</f>
        <v>0.6</v>
      </c>
      <c r="S132" s="5" t="s">
        <v>23</v>
      </c>
    </row>
    <row r="133" ht="23" customHeight="1" spans="1:19" s="4" customFormat="1" x14ac:dyDescent="0.25">
      <c r="A133" s="5" t="s">
        <v>51</v>
      </c>
      <c r="B133" s="6" t="s">
        <v>25</v>
      </c>
      <c r="C133" s="5" t="s">
        <v>21</v>
      </c>
      <c r="D133" s="5" t="s">
        <v>22</v>
      </c>
      <c r="E133" s="5">
        <v>10</v>
      </c>
      <c r="F133" s="5">
        <v>1</v>
      </c>
      <c r="G133" s="5">
        <v>0</v>
      </c>
      <c r="H133" s="5">
        <v>0</v>
      </c>
      <c r="I133" s="5">
        <v>51</v>
      </c>
      <c r="J133" s="5">
        <v>51</v>
      </c>
      <c r="K133" s="5">
        <v>6</v>
      </c>
      <c r="L133" s="5">
        <v>24</v>
      </c>
      <c r="M133" s="5">
        <v>66</v>
      </c>
      <c r="N133" s="5">
        <v>110</v>
      </c>
      <c r="O133" s="5">
        <v>12</v>
      </c>
      <c r="P133" s="7">
        <f>O133*E133/1000</f>
        <v>0.12</v>
      </c>
      <c r="Q133" s="5">
        <f>MIN(INT(O133/F133)*F133,ROUNDUP(MAX(0,(N133*0.5+(L133/7*30)*0.3+(K133*30)*0.2)*0.8-I133)/F133,0)*F133)</f>
        <v>12</v>
      </c>
      <c r="R133" s="7">
        <f>Q133*E133/1000</f>
        <v>0.12</v>
      </c>
      <c r="S133" s="5" t="s">
        <v>23</v>
      </c>
    </row>
    <row r="134" ht="23" customHeight="1" spans="1:19" s="4" customFormat="1" x14ac:dyDescent="0.25">
      <c r="A134" s="5" t="s">
        <v>51</v>
      </c>
      <c r="B134" s="6" t="s">
        <v>37</v>
      </c>
      <c r="C134" s="5" t="s">
        <v>21</v>
      </c>
      <c r="D134" s="5" t="s">
        <v>22</v>
      </c>
      <c r="E134" s="5">
        <v>10</v>
      </c>
      <c r="F134" s="5">
        <v>1</v>
      </c>
      <c r="G134" s="5">
        <v>0</v>
      </c>
      <c r="H134" s="5">
        <v>0</v>
      </c>
      <c r="I134" s="5">
        <v>85</v>
      </c>
      <c r="J134" s="5">
        <v>85</v>
      </c>
      <c r="K134" s="5">
        <v>5</v>
      </c>
      <c r="L134" s="5">
        <v>52</v>
      </c>
      <c r="M134" s="5">
        <v>108</v>
      </c>
      <c r="N134" s="5">
        <v>220</v>
      </c>
      <c r="O134" s="5">
        <v>77</v>
      </c>
      <c r="P134" s="7">
        <f>O134*E134/1000</f>
        <v>0.77</v>
      </c>
      <c r="Q134" s="5">
        <f>MIN(INT(O134/F134)*F134,ROUNDUP(MAX(0,(N134*0.5+(L134/7*30)*0.3+(K134*30)*0.2)*0.8-I134)/F134,0)*F134)</f>
        <v>77</v>
      </c>
      <c r="R134" s="7">
        <f>Q134*E134/1000</f>
        <v>0.77</v>
      </c>
      <c r="S134" s="5" t="s">
        <v>23</v>
      </c>
    </row>
    <row r="135" ht="23" customHeight="1" spans="1:19" s="4" customFormat="1" x14ac:dyDescent="0.25">
      <c r="A135" s="5" t="s">
        <v>51</v>
      </c>
      <c r="B135" s="6" t="s">
        <v>29</v>
      </c>
      <c r="C135" s="5" t="s">
        <v>21</v>
      </c>
      <c r="D135" s="5" t="s">
        <v>22</v>
      </c>
      <c r="E135" s="5">
        <v>5</v>
      </c>
      <c r="F135" s="5">
        <v>1</v>
      </c>
      <c r="G135" s="5">
        <v>0</v>
      </c>
      <c r="H135" s="5">
        <v>0</v>
      </c>
      <c r="I135" s="5">
        <v>180</v>
      </c>
      <c r="J135" s="5">
        <v>180</v>
      </c>
      <c r="K135" s="5">
        <v>8</v>
      </c>
      <c r="L135" s="5">
        <v>62</v>
      </c>
      <c r="M135" s="5">
        <v>122</v>
      </c>
      <c r="N135" s="5">
        <v>259</v>
      </c>
      <c r="O135" s="5">
        <v>58</v>
      </c>
      <c r="P135" s="7">
        <f>O135*E135/1000</f>
        <v>0.29</v>
      </c>
      <c r="Q135" s="5">
        <f>MIN(INT(O135/F135)*F135,ROUNDUP(MAX(0,(N135*0.5+(L135/7*30)*0.3+(K135*30)*0.2)*0.8-I135)/F135,0)*F135)</f>
        <v>26</v>
      </c>
      <c r="R135" s="7">
        <f>Q135*E135/1000</f>
        <v>0.13</v>
      </c>
      <c r="S135" s="5" t="s">
        <v>23</v>
      </c>
    </row>
    <row r="136" ht="23" customHeight="1" spans="1:19" s="4" customFormat="1" x14ac:dyDescent="0.25">
      <c r="A136" s="5" t="s">
        <v>51</v>
      </c>
      <c r="B136" s="6" t="s">
        <v>33</v>
      </c>
      <c r="C136" s="5" t="s">
        <v>21</v>
      </c>
      <c r="D136" s="5" t="s">
        <v>22</v>
      </c>
      <c r="E136" s="5">
        <v>10</v>
      </c>
      <c r="F136" s="5">
        <v>1</v>
      </c>
      <c r="G136" s="5">
        <v>0</v>
      </c>
      <c r="H136" s="5">
        <v>0</v>
      </c>
      <c r="I136" s="5">
        <v>123</v>
      </c>
      <c r="J136" s="5">
        <v>123</v>
      </c>
      <c r="K136" s="5">
        <v>2</v>
      </c>
      <c r="L136" s="5">
        <v>18</v>
      </c>
      <c r="M136" s="5">
        <v>51</v>
      </c>
      <c r="N136" s="5">
        <v>116</v>
      </c>
      <c r="O136" s="5">
        <v>26</v>
      </c>
      <c r="P136" s="7">
        <f>O136*E136/1000</f>
        <v>0.26</v>
      </c>
      <c r="Q136" s="5">
        <f>MIN(INT(O136/F136)*F136,ROUNDUP(MAX(0,(N136*0.5+(L136/7*30)*0.3+(K136*30)*0.2)*0.8-I136)/F136,0)*F136)</f>
        <v>0</v>
      </c>
      <c r="R136" s="7">
        <f>Q136*E136/1000</f>
        <v>0</v>
      </c>
      <c r="S136" s="5" t="s">
        <v>23</v>
      </c>
    </row>
    <row r="137" ht="23" customHeight="1" spans="1:19" s="4" customFormat="1" x14ac:dyDescent="0.25">
      <c r="A137" s="5" t="s">
        <v>51</v>
      </c>
      <c r="B137" s="6" t="s">
        <v>20</v>
      </c>
      <c r="C137" s="5" t="s">
        <v>21</v>
      </c>
      <c r="D137" s="5" t="s">
        <v>22</v>
      </c>
      <c r="E137" s="5">
        <v>25</v>
      </c>
      <c r="F137" s="5">
        <v>1</v>
      </c>
      <c r="G137" s="5">
        <v>0</v>
      </c>
      <c r="H137" s="5">
        <v>0</v>
      </c>
      <c r="I137" s="5">
        <v>75</v>
      </c>
      <c r="J137" s="5">
        <v>73</v>
      </c>
      <c r="K137" s="5">
        <v>8</v>
      </c>
      <c r="L137" s="5">
        <v>24</v>
      </c>
      <c r="M137" s="5">
        <v>50</v>
      </c>
      <c r="N137" s="5">
        <v>80</v>
      </c>
      <c r="O137" s="5">
        <v>15</v>
      </c>
      <c r="P137" s="7">
        <f>O137*E137/1000</f>
        <v>0.375</v>
      </c>
      <c r="Q137" s="5">
        <f>MIN(INT(O137/F137)*F137,ROUNDUP(MAX(0,(N137*0.5+(L137/7*30)*0.3+(K137*30)*0.2)*0.8-I137)/F137,0)*F137)</f>
        <v>15</v>
      </c>
      <c r="R137" s="7">
        <f>Q137*E137/1000</f>
        <v>0.375</v>
      </c>
      <c r="S137" s="5" t="s">
        <v>23</v>
      </c>
    </row>
    <row r="138" ht="23" customHeight="1" spans="1:19" s="4" customFormat="1" x14ac:dyDescent="0.25">
      <c r="A138" s="5" t="s">
        <v>51</v>
      </c>
      <c r="B138" s="6" t="s">
        <v>24</v>
      </c>
      <c r="C138" s="5" t="s">
        <v>21</v>
      </c>
      <c r="D138" s="5" t="s">
        <v>22</v>
      </c>
      <c r="E138" s="5">
        <v>5</v>
      </c>
      <c r="F138" s="5">
        <v>1</v>
      </c>
      <c r="G138" s="5">
        <v>0</v>
      </c>
      <c r="H138" s="5">
        <v>0</v>
      </c>
      <c r="I138" s="5">
        <v>44</v>
      </c>
      <c r="J138" s="5">
        <v>43</v>
      </c>
      <c r="K138" s="5">
        <v>3</v>
      </c>
      <c r="L138" s="5">
        <v>38</v>
      </c>
      <c r="M138" s="5">
        <v>54</v>
      </c>
      <c r="N138" s="5">
        <v>102</v>
      </c>
      <c r="O138" s="5">
        <v>9</v>
      </c>
      <c r="P138" s="7">
        <f>O138*E138/1000</f>
        <v>0.045</v>
      </c>
      <c r="Q138" s="5">
        <f>MIN(INT(O138/F138)*F138,ROUNDUP(MAX(0,(N138*0.5+(L138/7*30)*0.3+(K138*30)*0.2)*0.8-I138)/F138,0)*F138)</f>
        <v>9</v>
      </c>
      <c r="R138" s="7">
        <f>Q138*E138/1000</f>
        <v>0.045</v>
      </c>
      <c r="S138" s="5" t="s">
        <v>23</v>
      </c>
    </row>
    <row r="139" ht="23" customHeight="1" spans="1:19" s="4" customFormat="1" x14ac:dyDescent="0.25">
      <c r="A139" s="5" t="s">
        <v>51</v>
      </c>
      <c r="B139" s="6" t="s">
        <v>27</v>
      </c>
      <c r="C139" s="5" t="s">
        <v>21</v>
      </c>
      <c r="D139" s="5" t="s">
        <v>22</v>
      </c>
      <c r="E139" s="5">
        <v>2.5</v>
      </c>
      <c r="F139" s="5">
        <v>1</v>
      </c>
      <c r="G139" s="5">
        <v>0</v>
      </c>
      <c r="H139" s="5">
        <v>0</v>
      </c>
      <c r="I139" s="5">
        <v>39</v>
      </c>
      <c r="J139" s="5">
        <v>38</v>
      </c>
      <c r="K139" s="5">
        <v>1</v>
      </c>
      <c r="L139" s="5">
        <v>18</v>
      </c>
      <c r="M139" s="5">
        <v>56</v>
      </c>
      <c r="N139" s="5">
        <v>88</v>
      </c>
      <c r="O139" s="5">
        <v>11</v>
      </c>
      <c r="P139" s="7">
        <f>O139*E139/1000</f>
        <v>0.0275</v>
      </c>
      <c r="Q139" s="5">
        <f>MIN(INT(O139/F139)*F139,ROUNDUP(MAX(0,(N139*0.5+(L139/7*30)*0.3+(K139*30)*0.2)*0.8-I139)/F139,0)*F139)</f>
        <v>11</v>
      </c>
      <c r="R139" s="7">
        <f>Q139*E139/1000</f>
        <v>0.0275</v>
      </c>
      <c r="S139" s="5" t="s">
        <v>23</v>
      </c>
    </row>
    <row r="140" ht="23" customHeight="1" spans="1:19" s="4" customFormat="1" x14ac:dyDescent="0.25">
      <c r="A140" s="5" t="s">
        <v>51</v>
      </c>
      <c r="B140" s="6" t="s">
        <v>30</v>
      </c>
      <c r="C140" s="5" t="s">
        <v>21</v>
      </c>
      <c r="D140" s="5" t="s">
        <v>22</v>
      </c>
      <c r="E140" s="5">
        <v>5</v>
      </c>
      <c r="F140" s="5">
        <v>1</v>
      </c>
      <c r="G140" s="5">
        <v>0</v>
      </c>
      <c r="H140" s="5">
        <v>0</v>
      </c>
      <c r="I140" s="5">
        <v>103</v>
      </c>
      <c r="J140" s="5">
        <v>94</v>
      </c>
      <c r="K140" s="5">
        <v>56</v>
      </c>
      <c r="L140" s="5">
        <v>286</v>
      </c>
      <c r="M140" s="5">
        <v>597</v>
      </c>
      <c r="N140" s="5">
        <v>1006</v>
      </c>
      <c r="O140" s="5">
        <v>832</v>
      </c>
      <c r="P140" s="7">
        <f>O140*E140/1000</f>
        <v>4.16</v>
      </c>
      <c r="Q140" s="5">
        <f>MIN(INT(O140/F140)*F140,ROUNDUP(MAX(0,(N140*0.5+(L140/7*30)*0.3+(K140*30)*0.2)*0.8-I140)/F140,0)*F140)</f>
        <v>832</v>
      </c>
      <c r="R140" s="7">
        <f>Q140*E140/1000</f>
        <v>4.16</v>
      </c>
      <c r="S140" s="5" t="s">
        <v>23</v>
      </c>
    </row>
    <row r="141" ht="23" customHeight="1" spans="1:19" s="4" customFormat="1" x14ac:dyDescent="0.25">
      <c r="A141" s="5" t="s">
        <v>51</v>
      </c>
      <c r="B141" s="6" t="s">
        <v>29</v>
      </c>
      <c r="C141" s="5" t="s">
        <v>21</v>
      </c>
      <c r="D141" s="5" t="s">
        <v>22</v>
      </c>
      <c r="E141" s="5">
        <v>5</v>
      </c>
      <c r="F141" s="5">
        <v>1</v>
      </c>
      <c r="G141" s="5">
        <v>0</v>
      </c>
      <c r="H141" s="5">
        <v>0</v>
      </c>
      <c r="I141" s="5">
        <v>180</v>
      </c>
      <c r="J141" s="5">
        <v>180</v>
      </c>
      <c r="K141" s="5">
        <v>8</v>
      </c>
      <c r="L141" s="5">
        <v>62</v>
      </c>
      <c r="M141" s="5">
        <v>122</v>
      </c>
      <c r="N141" s="5">
        <v>259</v>
      </c>
      <c r="O141" s="5">
        <v>63</v>
      </c>
      <c r="P141" s="7">
        <f>O141*E141/1000</f>
        <v>0.315</v>
      </c>
      <c r="Q141" s="5">
        <f>MIN(INT(O141/F141)*F141,ROUNDUP(MAX(0,(N141*0.5+(L141/7*30)*0.3+(K141*30)*0.2)*0.8-I141)/F141,0)*F141)</f>
        <v>26</v>
      </c>
      <c r="R141" s="7">
        <f>Q141*E141/1000</f>
        <v>0.13</v>
      </c>
      <c r="S141" s="5" t="s">
        <v>23</v>
      </c>
    </row>
    <row r="142" ht="23" customHeight="1" spans="1:19" s="4" customFormat="1" x14ac:dyDescent="0.25">
      <c r="A142" s="5" t="s">
        <v>51</v>
      </c>
      <c r="B142" s="6" t="s">
        <v>25</v>
      </c>
      <c r="C142" s="5" t="s">
        <v>21</v>
      </c>
      <c r="D142" s="5" t="s">
        <v>22</v>
      </c>
      <c r="E142" s="5">
        <v>10</v>
      </c>
      <c r="F142" s="5">
        <v>1</v>
      </c>
      <c r="G142" s="5">
        <v>0</v>
      </c>
      <c r="H142" s="5">
        <v>0</v>
      </c>
      <c r="I142" s="5">
        <v>51</v>
      </c>
      <c r="J142" s="5">
        <v>51</v>
      </c>
      <c r="K142" s="5">
        <v>6</v>
      </c>
      <c r="L142" s="5">
        <v>24</v>
      </c>
      <c r="M142" s="5">
        <v>66</v>
      </c>
      <c r="N142" s="5">
        <v>110</v>
      </c>
      <c r="O142" s="5">
        <v>43</v>
      </c>
      <c r="P142" s="7">
        <f>O142*E142/1000</f>
        <v>0.43</v>
      </c>
      <c r="Q142" s="5">
        <f>MIN(INT(O142/F142)*F142,ROUNDUP(MAX(0,(N142*0.5+(L142/7*30)*0.3+(K142*30)*0.2)*0.8-I142)/F142,0)*F142)</f>
        <v>43</v>
      </c>
      <c r="R142" s="7">
        <f>Q142*E142/1000</f>
        <v>0.43</v>
      </c>
      <c r="S142" s="5" t="s">
        <v>23</v>
      </c>
    </row>
    <row r="143" ht="23" customHeight="1" spans="1:19" s="4" customFormat="1" x14ac:dyDescent="0.25">
      <c r="A143" s="5" t="s">
        <v>51</v>
      </c>
      <c r="B143" s="6" t="s">
        <v>24</v>
      </c>
      <c r="C143" s="5" t="s">
        <v>21</v>
      </c>
      <c r="D143" s="5" t="s">
        <v>22</v>
      </c>
      <c r="E143" s="5">
        <v>5</v>
      </c>
      <c r="F143" s="5">
        <v>1</v>
      </c>
      <c r="G143" s="5">
        <v>0</v>
      </c>
      <c r="H143" s="5">
        <v>0</v>
      </c>
      <c r="I143" s="5">
        <v>44</v>
      </c>
      <c r="J143" s="5">
        <v>43</v>
      </c>
      <c r="K143" s="5">
        <v>3</v>
      </c>
      <c r="L143" s="5">
        <v>38</v>
      </c>
      <c r="M143" s="5">
        <v>54</v>
      </c>
      <c r="N143" s="5">
        <v>102</v>
      </c>
      <c r="O143" s="5">
        <v>20</v>
      </c>
      <c r="P143" s="7">
        <f>O143*E143/1000</f>
        <v>0.1</v>
      </c>
      <c r="Q143" s="5">
        <f>MIN(INT(O143/F143)*F143,ROUNDUP(MAX(0,(N143*0.5+(L143/7*30)*0.3+(K143*30)*0.2)*0.8-I143)/F143,0)*F143)</f>
        <v>20</v>
      </c>
      <c r="R143" s="7">
        <f>Q143*E143/1000</f>
        <v>0.1</v>
      </c>
      <c r="S143" s="5" t="s">
        <v>23</v>
      </c>
    </row>
    <row r="144" ht="23" customHeight="1" spans="1:19" s="4" customFormat="1" x14ac:dyDescent="0.25">
      <c r="A144" s="5" t="s">
        <v>51</v>
      </c>
      <c r="B144" s="6" t="s">
        <v>20</v>
      </c>
      <c r="C144" s="5" t="s">
        <v>21</v>
      </c>
      <c r="D144" s="5" t="s">
        <v>22</v>
      </c>
      <c r="E144" s="5">
        <v>25</v>
      </c>
      <c r="F144" s="5">
        <v>1</v>
      </c>
      <c r="G144" s="5">
        <v>0</v>
      </c>
      <c r="H144" s="5">
        <v>0</v>
      </c>
      <c r="I144" s="5">
        <v>75</v>
      </c>
      <c r="J144" s="5">
        <v>73</v>
      </c>
      <c r="K144" s="5">
        <v>8</v>
      </c>
      <c r="L144" s="5">
        <v>24</v>
      </c>
      <c r="M144" s="5">
        <v>50</v>
      </c>
      <c r="N144" s="5">
        <v>80</v>
      </c>
      <c r="O144" s="5">
        <v>17</v>
      </c>
      <c r="P144" s="7">
        <f>O144*E144/1000</f>
        <v>0.425</v>
      </c>
      <c r="Q144" s="5">
        <f>MIN(INT(O144/F144)*F144,ROUNDUP(MAX(0,(N144*0.5+(L144/7*30)*0.3+(K144*30)*0.2)*0.8-I144)/F144,0)*F144)</f>
        <v>17</v>
      </c>
      <c r="R144" s="7">
        <f>Q144*E144/1000</f>
        <v>0.425</v>
      </c>
      <c r="S144" s="5" t="s">
        <v>23</v>
      </c>
    </row>
    <row r="145" ht="23" customHeight="1" spans="1:19" s="4" customFormat="1" x14ac:dyDescent="0.25">
      <c r="A145" s="5" t="s">
        <v>51</v>
      </c>
      <c r="B145" s="6" t="s">
        <v>26</v>
      </c>
      <c r="C145" s="5" t="s">
        <v>21</v>
      </c>
      <c r="D145" s="5" t="s">
        <v>22</v>
      </c>
      <c r="E145" s="5">
        <v>5</v>
      </c>
      <c r="F145" s="5">
        <v>5</v>
      </c>
      <c r="G145" s="5">
        <v>0</v>
      </c>
      <c r="H145" s="5">
        <v>0</v>
      </c>
      <c r="I145" s="5">
        <v>48</v>
      </c>
      <c r="J145" s="5">
        <v>48</v>
      </c>
      <c r="K145" s="5">
        <v>0</v>
      </c>
      <c r="L145" s="5">
        <v>9</v>
      </c>
      <c r="M145" s="5">
        <v>16</v>
      </c>
      <c r="N145" s="5">
        <v>36</v>
      </c>
      <c r="O145" s="5">
        <v>15</v>
      </c>
      <c r="P145" s="7">
        <f>O145*E145/1000</f>
        <v>0.075</v>
      </c>
      <c r="Q145" s="5">
        <f>MIN(INT(O145/F145)*F145,ROUNDUP(MAX(0,(N145*0.5+(L145/7*30)*0.3+(K145*30)*0.2)*0.8-I145)/F145,0)*F145)</f>
        <v>0</v>
      </c>
      <c r="R145" s="7">
        <f>Q145*E145/1000</f>
        <v>0</v>
      </c>
      <c r="S145" s="5" t="s">
        <v>23</v>
      </c>
    </row>
    <row r="146" ht="23" customHeight="1" spans="1:19" s="4" customFormat="1" x14ac:dyDescent="0.25">
      <c r="A146" s="5" t="s">
        <v>51</v>
      </c>
      <c r="B146" s="6" t="s">
        <v>37</v>
      </c>
      <c r="C146" s="5" t="s">
        <v>21</v>
      </c>
      <c r="D146" s="5" t="s">
        <v>22</v>
      </c>
      <c r="E146" s="5">
        <v>10</v>
      </c>
      <c r="F146" s="5">
        <v>1</v>
      </c>
      <c r="G146" s="5">
        <v>0</v>
      </c>
      <c r="H146" s="5">
        <v>0</v>
      </c>
      <c r="I146" s="5">
        <v>85</v>
      </c>
      <c r="J146" s="5">
        <v>85</v>
      </c>
      <c r="K146" s="5">
        <v>5</v>
      </c>
      <c r="L146" s="5">
        <v>52</v>
      </c>
      <c r="M146" s="5">
        <v>108</v>
      </c>
      <c r="N146" s="5">
        <v>220</v>
      </c>
      <c r="O146" s="5">
        <v>117</v>
      </c>
      <c r="P146" s="7">
        <f>O146*E146/1000</f>
        <v>1.17</v>
      </c>
      <c r="Q146" s="5">
        <f>MIN(INT(O146/F146)*F146,ROUNDUP(MAX(0,(N146*0.5+(L146/7*30)*0.3+(K146*30)*0.2)*0.8-I146)/F146,0)*F146)</f>
        <v>81</v>
      </c>
      <c r="R146" s="7">
        <f>Q146*E146/1000</f>
        <v>0.81</v>
      </c>
      <c r="S146" s="5" t="s">
        <v>23</v>
      </c>
    </row>
    <row r="147" ht="23" customHeight="1" spans="1:19" s="8" customFormat="1" x14ac:dyDescent="0.25">
      <c r="A147" s="9" t="s">
        <v>52</v>
      </c>
      <c r="B147" s="9" t="s">
        <v>23</v>
      </c>
      <c r="C147" s="9" t="s">
        <v>23</v>
      </c>
      <c r="D147" s="9" t="s">
        <v>23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  <c r="L147" s="9" t="s">
        <v>23</v>
      </c>
      <c r="M147" s="9" t="s">
        <v>23</v>
      </c>
      <c r="N147" s="9" t="s">
        <v>23</v>
      </c>
      <c r="O147" s="9">
        <f>SUM(O128:O146)</f>
        <v>1611</v>
      </c>
      <c r="P147" s="10">
        <f>SUM(P128:P146)</f>
        <v>10.745</v>
      </c>
      <c r="Q147" s="9">
        <f>SUM(Q128:Q146)</f>
        <v>1323</v>
      </c>
      <c r="R147" s="10">
        <f>SUM(R128:R146)</f>
        <v>8.9625</v>
      </c>
      <c r="S147" s="9" t="s">
        <v>23</v>
      </c>
    </row>
    <row r="148" ht="23" customHeight="1" spans="1:19" s="4" customFormat="1" x14ac:dyDescent="0.25">
      <c r="A148" s="5" t="s">
        <v>53</v>
      </c>
      <c r="B148" s="6" t="s">
        <v>28</v>
      </c>
      <c r="C148" s="5" t="s">
        <v>21</v>
      </c>
      <c r="D148" s="5" t="s">
        <v>22</v>
      </c>
      <c r="E148" s="5">
        <v>10</v>
      </c>
      <c r="F148" s="5">
        <v>1</v>
      </c>
      <c r="G148" s="5">
        <v>0</v>
      </c>
      <c r="H148" s="5">
        <v>0</v>
      </c>
      <c r="I148" s="5">
        <v>107</v>
      </c>
      <c r="J148" s="5">
        <v>107</v>
      </c>
      <c r="K148" s="5">
        <v>5</v>
      </c>
      <c r="L148" s="5">
        <v>33</v>
      </c>
      <c r="M148" s="5">
        <v>67</v>
      </c>
      <c r="N148" s="5">
        <v>121</v>
      </c>
      <c r="O148" s="5">
        <v>29</v>
      </c>
      <c r="P148" s="7">
        <f>O148*E148/1000</f>
        <v>0.29</v>
      </c>
      <c r="Q148" s="5">
        <f>MIN(INT(O148/F148)*F148,ROUNDUP(MAX(0,(N148*0.5+(L148/7*30)*0.3+(K148*30)*0.2)*0.8-I148)/F148,0)*F148)</f>
        <v>0</v>
      </c>
      <c r="R148" s="7">
        <f>Q148*E148/1000</f>
        <v>0</v>
      </c>
      <c r="S148" s="5" t="s">
        <v>23</v>
      </c>
    </row>
    <row r="149" ht="23" customHeight="1" spans="1:19" s="4" customFormat="1" x14ac:dyDescent="0.25">
      <c r="A149" s="5" t="s">
        <v>53</v>
      </c>
      <c r="B149" s="6" t="s">
        <v>29</v>
      </c>
      <c r="C149" s="5" t="s">
        <v>21</v>
      </c>
      <c r="D149" s="5" t="s">
        <v>22</v>
      </c>
      <c r="E149" s="5">
        <v>5</v>
      </c>
      <c r="F149" s="5">
        <v>1</v>
      </c>
      <c r="G149" s="5">
        <v>0</v>
      </c>
      <c r="H149" s="5">
        <v>0</v>
      </c>
      <c r="I149" s="5">
        <v>56</v>
      </c>
      <c r="J149" s="5">
        <v>56</v>
      </c>
      <c r="K149" s="5">
        <v>1</v>
      </c>
      <c r="L149" s="5">
        <v>28</v>
      </c>
      <c r="M149" s="5">
        <v>50</v>
      </c>
      <c r="N149" s="5">
        <v>109</v>
      </c>
      <c r="O149" s="5">
        <v>60</v>
      </c>
      <c r="P149" s="7">
        <f>O149*E149/1000</f>
        <v>0.3</v>
      </c>
      <c r="Q149" s="5">
        <f>MIN(INT(O149/F149)*F149,ROUNDUP(MAX(0,(N149*0.5+(L149/7*30)*0.3+(K149*30)*0.2)*0.8-I149)/F149,0)*F149)</f>
        <v>22</v>
      </c>
      <c r="R149" s="7">
        <f>Q149*E149/1000</f>
        <v>0.11</v>
      </c>
      <c r="S149" s="5" t="s">
        <v>23</v>
      </c>
    </row>
    <row r="150" ht="23" customHeight="1" spans="1:19" s="4" customFormat="1" x14ac:dyDescent="0.25">
      <c r="A150" s="5" t="s">
        <v>53</v>
      </c>
      <c r="B150" s="6" t="s">
        <v>24</v>
      </c>
      <c r="C150" s="5" t="s">
        <v>21</v>
      </c>
      <c r="D150" s="5" t="s">
        <v>22</v>
      </c>
      <c r="E150" s="5">
        <v>5</v>
      </c>
      <c r="F150" s="5">
        <v>1</v>
      </c>
      <c r="G150" s="5">
        <v>0</v>
      </c>
      <c r="H150" s="5">
        <v>0</v>
      </c>
      <c r="I150" s="5">
        <v>13</v>
      </c>
      <c r="J150" s="5">
        <v>2</v>
      </c>
      <c r="K150" s="5">
        <v>16</v>
      </c>
      <c r="L150" s="5">
        <v>35</v>
      </c>
      <c r="M150" s="5">
        <v>53</v>
      </c>
      <c r="N150" s="5">
        <v>92</v>
      </c>
      <c r="O150" s="5">
        <v>50</v>
      </c>
      <c r="P150" s="7">
        <f>O150*E150/1000</f>
        <v>0.25</v>
      </c>
      <c r="Q150" s="5">
        <f>MIN(INT(O150/F150)*F150,ROUNDUP(MAX(0,(N150*0.5+(L150/7*30)*0.3+(K150*30)*0.2)*0.8-I150)/F150,0)*F150)</f>
        <v>50</v>
      </c>
      <c r="R150" s="7">
        <f>Q150*E150/1000</f>
        <v>0.25</v>
      </c>
      <c r="S150" s="5" t="s">
        <v>23</v>
      </c>
    </row>
    <row r="151" ht="23" customHeight="1" spans="1:19" s="4" customFormat="1" x14ac:dyDescent="0.25">
      <c r="A151" s="5" t="s">
        <v>53</v>
      </c>
      <c r="B151" s="6" t="s">
        <v>33</v>
      </c>
      <c r="C151" s="5" t="s">
        <v>21</v>
      </c>
      <c r="D151" s="5" t="s">
        <v>22</v>
      </c>
      <c r="E151" s="5">
        <v>10</v>
      </c>
      <c r="F151" s="5">
        <v>1</v>
      </c>
      <c r="G151" s="5">
        <v>0</v>
      </c>
      <c r="H151" s="5">
        <v>0</v>
      </c>
      <c r="I151" s="5">
        <v>52</v>
      </c>
      <c r="J151" s="5">
        <v>52</v>
      </c>
      <c r="K151" s="5">
        <v>12</v>
      </c>
      <c r="L151" s="5">
        <v>34</v>
      </c>
      <c r="M151" s="5">
        <v>64</v>
      </c>
      <c r="N151" s="5">
        <v>134</v>
      </c>
      <c r="O151" s="5">
        <v>51</v>
      </c>
      <c r="P151" s="7">
        <f>O151*E151/1000</f>
        <v>0.51</v>
      </c>
      <c r="Q151" s="5">
        <f>MIN(INT(O151/F151)*F151,ROUNDUP(MAX(0,(N151*0.5+(L151/7*30)*0.3+(K151*30)*0.2)*0.8-I151)/F151,0)*F151)</f>
        <v>51</v>
      </c>
      <c r="R151" s="7">
        <f>Q151*E151/1000</f>
        <v>0.51</v>
      </c>
      <c r="S151" s="5" t="s">
        <v>23</v>
      </c>
    </row>
    <row r="152" ht="23" customHeight="1" spans="1:19" s="8" customFormat="1" x14ac:dyDescent="0.25">
      <c r="A152" s="9" t="s">
        <v>54</v>
      </c>
      <c r="B152" s="9" t="s">
        <v>23</v>
      </c>
      <c r="C152" s="9" t="s">
        <v>23</v>
      </c>
      <c r="D152" s="9" t="s">
        <v>23</v>
      </c>
      <c r="E152" s="9" t="s">
        <v>23</v>
      </c>
      <c r="F152" s="9" t="s">
        <v>23</v>
      </c>
      <c r="G152" s="9" t="s">
        <v>23</v>
      </c>
      <c r="H152" s="9" t="s">
        <v>23</v>
      </c>
      <c r="I152" s="9" t="s">
        <v>23</v>
      </c>
      <c r="J152" s="9" t="s">
        <v>23</v>
      </c>
      <c r="K152" s="9" t="s">
        <v>23</v>
      </c>
      <c r="L152" s="9" t="s">
        <v>23</v>
      </c>
      <c r="M152" s="9" t="s">
        <v>23</v>
      </c>
      <c r="N152" s="9" t="s">
        <v>23</v>
      </c>
      <c r="O152" s="9">
        <f>SUM(O148:O151)</f>
        <v>190</v>
      </c>
      <c r="P152" s="10">
        <f>SUM(P148:P151)</f>
        <v>1.35</v>
      </c>
      <c r="Q152" s="9">
        <f>SUM(Q148:Q151)</f>
        <v>123</v>
      </c>
      <c r="R152" s="10">
        <f>SUM(R148:R151)</f>
        <v>0.87</v>
      </c>
      <c r="S152" s="9" t="s">
        <v>23</v>
      </c>
    </row>
  </sheetData>
  <autoFilter ref="A1:S15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稻花翁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仓配订单汇总工具</dc:creator>
  <dc:title/>
  <dc:subject/>
  <dc:description/>
  <cp:keywords/>
  <cp:category/>
  <cp:lastModifiedBy>Unknown</cp:lastModifiedBy>
  <dcterms:created xsi:type="dcterms:W3CDTF">2026-09-28T06:02:40Z</dcterms:created>
  <dcterms:modified xsi:type="dcterms:W3CDTF">2026-09-28T06:02:40Z</dcterms:modified>
</cp:coreProperties>
</file>